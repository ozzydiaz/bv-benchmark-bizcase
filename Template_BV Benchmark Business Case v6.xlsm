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ml.chartshapes+xml"/>
  <Override PartName="/xl/charts/chart2.xml" ContentType="application/vnd.openxmlformats-officedocument.drawingml.chart+xml"/>
  <Override PartName="/xl/drawings/drawing7.xml" ContentType="application/vnd.openxmlformats-officedocument.drawingml.chartshapes+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customProperty1.bin" ContentType="application/vnd.openxmlformats-officedocument.spreadsheetml.customProperty"/>
  <Override PartName="/xl/drawings/drawing10.xml" ContentType="application/vnd.openxmlformats-officedocument.drawing+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3.xml" ContentType="application/vnd.openxmlformats-officedocument.drawing+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7.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omments6.xml" ContentType="application/vnd.openxmlformats-officedocument.spreadsheetml.comments+xml"/>
  <Override PartName="/xl/threadedComments/threadedComment6.xml" ContentType="application/vnd.ms-excel.threadedcomments+xml"/>
  <Override PartName="/xl/drawings/drawing18.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drawings/drawing19.xml" ContentType="application/vnd.openxmlformats-officedocument.drawing+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8" codeName="{643B0D74-A683-FBA9-23B4-8A0AA6E0B6B9}"/>
  <fileSharing readOnlyRecommended="1"/>
  <workbookPr codeName="ThisWorkbook" hidePivotFieldList="1" defaultThemeVersion="166925"/>
  <mc:AlternateContent xmlns:mc="http://schemas.openxmlformats.org/markup-compatibility/2006">
    <mc:Choice Requires="x15">
      <x15ac:absPath xmlns:x15ac="http://schemas.microsoft.com/office/spreadsheetml/2010/11/ac" url="/Users/ozdiaz/dev/bv-benchmark-bizcase/"/>
    </mc:Choice>
  </mc:AlternateContent>
  <xr:revisionPtr revIDLastSave="0" documentId="13_ncr:1_{63C2FE1F-78D4-ED4C-8586-4F7033E440F4}" xr6:coauthVersionLast="47" xr6:coauthVersionMax="47" xr10:uidLastSave="{00000000-0000-0000-0000-000000000000}"/>
  <bookViews>
    <workbookView xWindow="0" yWindow="680" windowWidth="30240" windowHeight="17840" tabRatio="792" activeTab="2" xr2:uid="{9D9138B4-CFA4-4038-B9A8-AD319A5D3F63}"/>
  </bookViews>
  <sheets>
    <sheet name="User Guide" sheetId="86" state="hidden" r:id="rId1"/>
    <sheet name="1-Client Variables" sheetId="68" r:id="rId2"/>
    <sheet name="2a-Consumption Plan Wk1" sheetId="77" r:id="rId3"/>
    <sheet name="2b-Consumption Plan Wk2" sheetId="80" state="hidden" r:id="rId4"/>
    <sheet name="2c-Consumption Plan Wk3" sheetId="81" state="hidden" r:id="rId5"/>
    <sheet name="Summary Financial Case" sheetId="90" r:id="rId6"/>
    <sheet name="5Y CF with Payback" sheetId="95" state="hidden" r:id="rId7"/>
    <sheet name="Cost per VM" sheetId="85" state="hidden" r:id="rId8"/>
    <sheet name="Cost per CPU" sheetId="87" state="hidden" r:id="rId9"/>
    <sheet name="Transfo Value Waterfall" sheetId="88" r:id="rId10"/>
    <sheet name="IT Productivity" sheetId="96" state="hidden" r:id="rId11"/>
    <sheet name="Net Interest Income" sheetId="94" state="hidden" r:id="rId12"/>
    <sheet name="Payback Analysis" sheetId="89" state="hidden" r:id="rId13"/>
    <sheet name="AVS Output" sheetId="102" r:id="rId14"/>
    <sheet name="Cash Flow Output - Detailed" sheetId="103" r:id="rId15"/>
    <sheet name="Detailed Financial Case" sheetId="45" r:id="rId16"/>
    <sheet name="Benchmark Assumptions" sheetId="67" r:id="rId17"/>
    <sheet name="Status Quo Estimation" sheetId="70" state="hidden" r:id="rId18"/>
    <sheet name="Retained Costs Estimation" sheetId="82" state="hidden" r:id="rId19"/>
    <sheet name="Depreciation Schedule" sheetId="83" state="hidden" r:id="rId20"/>
    <sheet name="Azure Run Rate" sheetId="91" state="hidden" r:id="rId21"/>
    <sheet name="VBA_Do_Not_Delete &gt;&gt;" sheetId="100" state="hidden" r:id="rId22"/>
    <sheet name="Slide 4" sheetId="98" state="hidden" r:id="rId23"/>
    <sheet name="Slide 5" sheetId="97" state="hidden" r:id="rId24"/>
    <sheet name="Appendix" sheetId="101" state="hidden" r:id="rId25"/>
  </sheets>
  <definedNames>
    <definedName name="_xlnm._FilterDatabase" localSheetId="14" hidden="1">'Cash Flow Output - Detailed'!$A$20:$N$34</definedName>
    <definedName name="_xleta.SUM" hidden="1" xlm="1">#NAME?</definedName>
    <definedName name="EPMWorkbookOptions_2" hidden="1">"hWnUuNVcQxQtrczeRCNY9LbqicIoGBM36qoTAmkRGACLZ0OeJZSt9u5ajd5tS22YAt97XDr1AxsFgQMT/GfeRixAmJ8gz4MZRvNOkddH+CWPgXIhCuZo7qn32G3ess87F88Hza4GyAvhSebmSa1TVILAc220QefBqcYxtqNsmJcMVJc57HS9YG5NZoZ7s+nedRzANXcEOIwSfRu6TjLcwjCUOfSnqxiq7/mkSsmYpZXQ8J5rNIoEz73RLR2Z"</definedName>
    <definedName name="EPMWorkbookOptions_3" hidden="1">"Oii80js08YlLWV7RTCyc99oO8L9zSUg3Ekhu3wm0yvJtgg5FbeI62P1rDNHIFdv2x5jKXFLjezEWjLM1LvFCsSJsBEiai8jXIA6QKi9zi4vE6GHgoVmL+AEQOqsKUkkaQH+Qk0qOmBMLg6tcRQLI8QgKotMvi+V+cd7ztldCYB2F1ASPLXdwGjDqs6qVANsWZSKAQRb+GzQ9KqpqdJrWU/7xXmAflqXfKrp5b7F1uwd+I+i9CwQRezhbQzOs"</definedName>
    <definedName name="EPMWorkbookOptions_4" hidden="1">"Ql5j17vJzlWT3Vk+78/rYb4y97vhnoSPushf8SkXsTZqets8dzZk7pAVtVEU/rMCpiIKzz6ZHV/BeF6s8PzhBUy4vAKmKpb23Wg/xCpVVKuj6KlIE9M8QqTzDaZJ7KM1WixKkiiKh2u0cHkarSmWYrbVVSE1LEVXaj9SkSameaRIrVkAR6u0VBb4SqV8uEqLl6lS66GlxTLVjMa5K/RUVCjd7ykV611g9P3M+fhExQsCRCiz/4tHWZ4vlYrF"</definedName>
    <definedName name="EPMWorkbookOptions_5" hidden="1">"f7ATFC+wfmktpW01tPUTS7d52+qpRtM0zn5DeFJS2pqiWw8pMzvM8LwgSULKR8zHFXsVzp2Oz1Pn65iq/gf+WildXomvNy3VWG3KdL3HDFqbmVKRJqV5hEgtZvtAjZYuT6NWvbHaLBd4oZQ3tda56/NkXCid/+2D1A4XUqqLDV386DRTLpZcGOrZ//v2ee5nDU0xO23N/MB7Wvny7mkxi0yi7N3S2nWjVlfPXaWnYePBqqVEzIn4ef5EnLBu"</definedName>
    <definedName name="EPMWorkbookOptions_6" hidden="1">"HQDayiYZJHNJJ522rDGcRds/FbZp3D9JJrdhQCAcGtgIAMfHhLaNEU71AJF5UAObaAIxctccYeMjc6xa0YjGGL3fsI2fOstZk+thFxEX9T1oAHleR9izf/2yDrs8olf9G7QpmG3dJwAA"</definedName>
    <definedName name="EV__LASTREFTIME__" hidden="1">42325.494837963</definedName>
    <definedName name="IQ_ADDIN" hidden="1">"AUTO"</definedName>
    <definedName name="IQ_CH" hidden="1">110000</definedName>
    <definedName name="IQ_CQ" hidden="1">5000</definedName>
    <definedName name="IQ_CY" hidden="1">10000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MONTH" hidden="1">15000</definedName>
    <definedName name="IQ_NAMES_REVISION_DATE_" hidden="1">40325.6119675926</definedName>
    <definedName name="IQ_NTM" hidden="1">6000</definedName>
    <definedName name="IQ_TODAY" hidden="1">0</definedName>
    <definedName name="IQ_WEEK" hidden="1">50000</definedName>
    <definedName name="IQ_YTD" hidden="1">3000</definedName>
    <definedName name="PM_sparklinesForInputs" hidden="1">TRUE</definedName>
    <definedName name="PM_sparklinesForOutputs" hidden="1">TRUE</definedName>
    <definedName name="PM_sparklinesIONumberOfBins" hidden="1">10</definedName>
    <definedName name="WACC">'Benchmark Assumptions'!$K$5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1" i="103" l="1"/>
  <c r="O15" i="103"/>
  <c r="O14" i="103"/>
  <c r="K12" i="67" l="1"/>
  <c r="O7" i="77"/>
  <c r="O9" i="77"/>
  <c r="O8" i="77"/>
  <c r="M14" i="103"/>
  <c r="L14" i="103"/>
  <c r="K14" i="103"/>
  <c r="J14" i="103"/>
  <c r="I14" i="103"/>
  <c r="H14" i="103"/>
  <c r="G14" i="103"/>
  <c r="F14" i="103"/>
  <c r="E14" i="103"/>
  <c r="D14" i="103"/>
  <c r="C14" i="103"/>
  <c r="C30" i="103" s="1"/>
  <c r="C45" i="103" s="1"/>
  <c r="D41" i="68"/>
  <c r="C228" i="68" s="1"/>
  <c r="D2" i="102"/>
  <c r="D19" i="102"/>
  <c r="C19" i="102"/>
  <c r="D70" i="68"/>
  <c r="D71" i="68"/>
  <c r="M43" i="70" s="1"/>
  <c r="B21" i="101" s="1"/>
  <c r="D22" i="87"/>
  <c r="E40" i="103"/>
  <c r="F40" i="103" s="1"/>
  <c r="G40" i="103" s="1"/>
  <c r="H40" i="103" s="1"/>
  <c r="I40" i="103" s="1"/>
  <c r="J40" i="103" s="1"/>
  <c r="K40" i="103" s="1"/>
  <c r="L40" i="103" s="1"/>
  <c r="M40" i="103" s="1"/>
  <c r="E20" i="103"/>
  <c r="F20" i="103" s="1"/>
  <c r="G20" i="103" s="1"/>
  <c r="H20" i="103" s="1"/>
  <c r="I20" i="103" s="1"/>
  <c r="J20" i="103" s="1"/>
  <c r="K20" i="103" s="1"/>
  <c r="L20" i="103" s="1"/>
  <c r="M20" i="103" s="1"/>
  <c r="E4" i="103"/>
  <c r="F4" i="103" s="1"/>
  <c r="G4" i="103" s="1"/>
  <c r="H4" i="103" s="1"/>
  <c r="I4" i="103" s="1"/>
  <c r="J4" i="103" s="1"/>
  <c r="K4" i="103" s="1"/>
  <c r="L4" i="103" s="1"/>
  <c r="M4" i="103" s="1"/>
  <c r="D21" i="102"/>
  <c r="R43" i="45"/>
  <c r="E34" i="103" s="1"/>
  <c r="S43" i="45"/>
  <c r="F34" i="103" s="1"/>
  <c r="T43" i="45"/>
  <c r="G34" i="103" s="1"/>
  <c r="U43" i="45"/>
  <c r="H34" i="103" s="1"/>
  <c r="V43" i="45"/>
  <c r="I34" i="103" s="1"/>
  <c r="W43" i="45"/>
  <c r="J34" i="103" s="1"/>
  <c r="X43" i="45"/>
  <c r="K34" i="103" s="1"/>
  <c r="Y43" i="45"/>
  <c r="L34" i="103" s="1"/>
  <c r="Z43" i="45"/>
  <c r="M34" i="103" s="1"/>
  <c r="J44" i="68"/>
  <c r="D21" i="77"/>
  <c r="A54" i="101"/>
  <c r="A52" i="101"/>
  <c r="A51" i="101"/>
  <c r="C29" i="101"/>
  <c r="C69" i="101"/>
  <c r="C68" i="101"/>
  <c r="C12" i="101"/>
  <c r="C11" i="101"/>
  <c r="B2" i="101"/>
  <c r="F7" i="97"/>
  <c r="F5" i="97"/>
  <c r="B72" i="101"/>
  <c r="B73" i="101"/>
  <c r="A73" i="101" s="1"/>
  <c r="L7" i="97"/>
  <c r="L5" i="97"/>
  <c r="B40" i="101"/>
  <c r="B39" i="101"/>
  <c r="B38" i="101"/>
  <c r="B37"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B32" i="101"/>
  <c r="B14" i="101"/>
  <c r="B13" i="101"/>
  <c r="B9" i="101"/>
  <c r="B6" i="101"/>
  <c r="B5" i="101"/>
  <c r="B4" i="101"/>
  <c r="B3" i="101"/>
  <c r="C80" i="95"/>
  <c r="J7" i="98"/>
  <c r="J6" i="98"/>
  <c r="I6" i="98"/>
  <c r="I7" i="98"/>
  <c r="H7" i="98"/>
  <c r="H6" i="98"/>
  <c r="G4" i="98"/>
  <c r="G3" i="98"/>
  <c r="F4" i="98"/>
  <c r="F10" i="98" s="1"/>
  <c r="F3" i="98"/>
  <c r="F9" i="98" s="1"/>
  <c r="E4" i="98"/>
  <c r="E3" i="98"/>
  <c r="E9" i="98" s="1"/>
  <c r="E10" i="98"/>
  <c r="G9" i="98"/>
  <c r="D4" i="98"/>
  <c r="D7" i="98" s="1"/>
  <c r="D10" i="98" s="1"/>
  <c r="D3" i="98"/>
  <c r="D6" i="98" s="1"/>
  <c r="D9" i="98" s="1"/>
  <c r="D2" i="98"/>
  <c r="D5" i="98" s="1"/>
  <c r="D8" i="98" s="1"/>
  <c r="D42" i="68"/>
  <c r="K8" i="98"/>
  <c r="K11" i="98" s="1"/>
  <c r="J5" i="98"/>
  <c r="I5" i="98"/>
  <c r="H5" i="98"/>
  <c r="G2" i="98"/>
  <c r="G8" i="98" s="1"/>
  <c r="F2" i="98"/>
  <c r="F8" i="98" s="1"/>
  <c r="E2" i="98"/>
  <c r="E8" i="98" s="1"/>
  <c r="D162" i="68"/>
  <c r="G7" i="90"/>
  <c r="G6" i="90"/>
  <c r="L16" i="96"/>
  <c r="K65" i="67"/>
  <c r="S11" i="85"/>
  <c r="S10" i="85"/>
  <c r="K53" i="67"/>
  <c r="I82" i="70" s="1"/>
  <c r="C276" i="82"/>
  <c r="D140" i="68"/>
  <c r="C255" i="82" s="1"/>
  <c r="D138" i="68"/>
  <c r="C210" i="82" s="1"/>
  <c r="D101" i="68"/>
  <c r="C241" i="82" s="1"/>
  <c r="D99" i="68"/>
  <c r="C196" i="82" s="1"/>
  <c r="D61" i="68"/>
  <c r="C227" i="82" s="1"/>
  <c r="D59" i="68"/>
  <c r="C183" i="68" s="1"/>
  <c r="J52" i="70"/>
  <c r="J51" i="70"/>
  <c r="J50" i="70"/>
  <c r="I52" i="70"/>
  <c r="I51" i="70"/>
  <c r="I50" i="70"/>
  <c r="B24" i="101" s="1"/>
  <c r="D14" i="81"/>
  <c r="D14" i="80"/>
  <c r="O46" i="85"/>
  <c r="O45" i="85"/>
  <c r="O44" i="85"/>
  <c r="O39" i="85"/>
  <c r="C369" i="82"/>
  <c r="I165" i="70"/>
  <c r="K158" i="70"/>
  <c r="L158" i="70" s="1"/>
  <c r="M158" i="70" s="1"/>
  <c r="N158" i="70" s="1"/>
  <c r="O158" i="70" s="1"/>
  <c r="P158" i="70" s="1"/>
  <c r="Q158" i="70" s="1"/>
  <c r="R158" i="70" s="1"/>
  <c r="S158" i="70" s="1"/>
  <c r="K151" i="70"/>
  <c r="L151" i="70" s="1"/>
  <c r="M151" i="70" s="1"/>
  <c r="N151" i="70" s="1"/>
  <c r="O151" i="70" s="1"/>
  <c r="P151" i="70" s="1"/>
  <c r="Q151" i="70" s="1"/>
  <c r="R151" i="70" s="1"/>
  <c r="S151" i="70" s="1"/>
  <c r="K144" i="70"/>
  <c r="L144" i="70" s="1"/>
  <c r="M144" i="70" s="1"/>
  <c r="N144" i="70" s="1"/>
  <c r="O144" i="70" s="1"/>
  <c r="P144" i="70" s="1"/>
  <c r="Q144" i="70" s="1"/>
  <c r="R144" i="70" s="1"/>
  <c r="S144" i="70" s="1"/>
  <c r="I142" i="70"/>
  <c r="C328" i="82"/>
  <c r="M360" i="82"/>
  <c r="L360" i="82"/>
  <c r="M361" i="82" s="1"/>
  <c r="K360" i="82"/>
  <c r="L361" i="82" s="1"/>
  <c r="J360" i="82"/>
  <c r="K361" i="82" s="1"/>
  <c r="I360" i="82"/>
  <c r="J361" i="82" s="1"/>
  <c r="H360" i="82"/>
  <c r="I361" i="82" s="1"/>
  <c r="G360" i="82"/>
  <c r="H361" i="82" s="1"/>
  <c r="F360" i="82"/>
  <c r="G361" i="82" s="1"/>
  <c r="E360" i="82"/>
  <c r="F361" i="82" s="1"/>
  <c r="D360" i="82"/>
  <c r="E361" i="82" s="1"/>
  <c r="M347" i="82"/>
  <c r="L347" i="82"/>
  <c r="M348" i="82" s="1"/>
  <c r="K347" i="82"/>
  <c r="L348" i="82" s="1"/>
  <c r="J347" i="82"/>
  <c r="K348" i="82" s="1"/>
  <c r="I347" i="82"/>
  <c r="J348" i="82" s="1"/>
  <c r="H347" i="82"/>
  <c r="I348" i="82" s="1"/>
  <c r="G347" i="82"/>
  <c r="H348" i="82" s="1"/>
  <c r="F347" i="82"/>
  <c r="G348" i="82" s="1"/>
  <c r="E347" i="82"/>
  <c r="F348" i="82" s="1"/>
  <c r="D347" i="82"/>
  <c r="E348" i="82" s="1"/>
  <c r="E356" i="82"/>
  <c r="F356" i="82" s="1"/>
  <c r="G356" i="82" s="1"/>
  <c r="H356" i="82" s="1"/>
  <c r="I356" i="82" s="1"/>
  <c r="J356" i="82" s="1"/>
  <c r="K356" i="82" s="1"/>
  <c r="L356" i="82" s="1"/>
  <c r="M356" i="82" s="1"/>
  <c r="E343" i="82"/>
  <c r="F343" i="82" s="1"/>
  <c r="G343" i="82" s="1"/>
  <c r="H343" i="82" s="1"/>
  <c r="I343" i="82" s="1"/>
  <c r="J343" i="82" s="1"/>
  <c r="K343" i="82" s="1"/>
  <c r="L343" i="82" s="1"/>
  <c r="M343" i="82" s="1"/>
  <c r="K68" i="67"/>
  <c r="K67" i="67"/>
  <c r="M334" i="82"/>
  <c r="L334" i="82"/>
  <c r="M335" i="82" s="1"/>
  <c r="K334" i="82"/>
  <c r="L335" i="82" s="1"/>
  <c r="J334" i="82"/>
  <c r="K335" i="82" s="1"/>
  <c r="I334" i="82"/>
  <c r="J335" i="82" s="1"/>
  <c r="H334" i="82"/>
  <c r="I335" i="82" s="1"/>
  <c r="G334" i="82"/>
  <c r="H335" i="82" s="1"/>
  <c r="F334" i="82"/>
  <c r="G335" i="82" s="1"/>
  <c r="E334" i="82"/>
  <c r="F335" i="82" s="1"/>
  <c r="D334" i="82"/>
  <c r="E335" i="82" s="1"/>
  <c r="E330" i="82"/>
  <c r="F330" i="82" s="1"/>
  <c r="G330" i="82" s="1"/>
  <c r="H330" i="82" s="1"/>
  <c r="I330" i="82" s="1"/>
  <c r="J330" i="82" s="1"/>
  <c r="K330" i="82" s="1"/>
  <c r="L330" i="82" s="1"/>
  <c r="M330" i="82" s="1"/>
  <c r="K66" i="67"/>
  <c r="K5" i="67"/>
  <c r="C100" i="45" s="1"/>
  <c r="D21" i="87"/>
  <c r="C171" i="82"/>
  <c r="C170" i="82"/>
  <c r="C166" i="82"/>
  <c r="C165" i="82"/>
  <c r="M169" i="82"/>
  <c r="L169" i="82"/>
  <c r="K169" i="82"/>
  <c r="J169" i="82"/>
  <c r="I169" i="82"/>
  <c r="H169" i="82"/>
  <c r="G169" i="82"/>
  <c r="F169" i="82"/>
  <c r="E169" i="82"/>
  <c r="D169" i="82"/>
  <c r="M164" i="82"/>
  <c r="L164" i="82"/>
  <c r="K164" i="82"/>
  <c r="J164" i="82"/>
  <c r="I164" i="82"/>
  <c r="H164" i="82"/>
  <c r="G164" i="82"/>
  <c r="F164" i="82"/>
  <c r="E164" i="82"/>
  <c r="D164" i="82"/>
  <c r="M159" i="82"/>
  <c r="L159" i="82"/>
  <c r="K159" i="82"/>
  <c r="J159" i="82"/>
  <c r="I159" i="82"/>
  <c r="H159" i="82"/>
  <c r="G159" i="82"/>
  <c r="F159" i="82"/>
  <c r="E159" i="82"/>
  <c r="D159" i="82"/>
  <c r="E157" i="82"/>
  <c r="F157" i="82" s="1"/>
  <c r="G157" i="82" s="1"/>
  <c r="H157" i="82" s="1"/>
  <c r="I157" i="82" s="1"/>
  <c r="J157" i="82" s="1"/>
  <c r="K157" i="82" s="1"/>
  <c r="L157" i="82" s="1"/>
  <c r="M157" i="82" s="1"/>
  <c r="C150" i="82"/>
  <c r="C149" i="82"/>
  <c r="C145" i="82"/>
  <c r="C144" i="82"/>
  <c r="C140" i="82"/>
  <c r="C139" i="82"/>
  <c r="M148" i="82"/>
  <c r="L148" i="82"/>
  <c r="K148" i="82"/>
  <c r="J148" i="82"/>
  <c r="I148" i="82"/>
  <c r="H148" i="82"/>
  <c r="G148" i="82"/>
  <c r="F148" i="82"/>
  <c r="E148" i="82"/>
  <c r="D148" i="82"/>
  <c r="M143" i="82"/>
  <c r="L143" i="82"/>
  <c r="K143" i="82"/>
  <c r="J143" i="82"/>
  <c r="I143" i="82"/>
  <c r="H143" i="82"/>
  <c r="G143" i="82"/>
  <c r="F143" i="82"/>
  <c r="E143" i="82"/>
  <c r="D143" i="82"/>
  <c r="M138" i="82"/>
  <c r="L138" i="82"/>
  <c r="K138" i="82"/>
  <c r="J138" i="82"/>
  <c r="I138" i="82"/>
  <c r="H138" i="82"/>
  <c r="G138" i="82"/>
  <c r="F138" i="82"/>
  <c r="E138" i="82"/>
  <c r="D138" i="82"/>
  <c r="E136" i="82"/>
  <c r="F136" i="82" s="1"/>
  <c r="G136" i="82" s="1"/>
  <c r="H136" i="82" s="1"/>
  <c r="I136" i="82" s="1"/>
  <c r="J136" i="82" s="1"/>
  <c r="K136" i="82" s="1"/>
  <c r="L136" i="82" s="1"/>
  <c r="M136" i="82" s="1"/>
  <c r="M45" i="70"/>
  <c r="L45" i="70"/>
  <c r="M44" i="70"/>
  <c r="L44" i="70"/>
  <c r="L43" i="70"/>
  <c r="B20" i="101" s="1"/>
  <c r="K45" i="67"/>
  <c r="K44" i="67"/>
  <c r="K43" i="67"/>
  <c r="K42" i="67"/>
  <c r="K41" i="67"/>
  <c r="K40" i="67"/>
  <c r="D20" i="87"/>
  <c r="J128" i="68"/>
  <c r="J89" i="68"/>
  <c r="J49" i="68"/>
  <c r="K13" i="67"/>
  <c r="J123" i="68"/>
  <c r="J124" i="68"/>
  <c r="D125" i="68"/>
  <c r="G8" i="81" s="1"/>
  <c r="D120" i="68"/>
  <c r="J84" i="68"/>
  <c r="D81" i="68"/>
  <c r="D46" i="68"/>
  <c r="G8" i="77" s="1"/>
  <c r="I88" i="70"/>
  <c r="B28" i="101" s="1"/>
  <c r="D21" i="81"/>
  <c r="D22" i="81"/>
  <c r="E23" i="81"/>
  <c r="F23" i="81"/>
  <c r="G23" i="81"/>
  <c r="H23" i="81"/>
  <c r="I23" i="81"/>
  <c r="J23" i="81"/>
  <c r="K23" i="81"/>
  <c r="L23" i="81"/>
  <c r="M23" i="81"/>
  <c r="N23" i="81"/>
  <c r="E23" i="80"/>
  <c r="D21" i="80"/>
  <c r="D22" i="80"/>
  <c r="F23" i="80"/>
  <c r="G23" i="80"/>
  <c r="H23" i="80"/>
  <c r="I23" i="80"/>
  <c r="J23" i="80"/>
  <c r="K23" i="80"/>
  <c r="L23" i="80"/>
  <c r="M23" i="80"/>
  <c r="N23" i="80"/>
  <c r="D22" i="77"/>
  <c r="F23" i="77"/>
  <c r="G23" i="77"/>
  <c r="H23" i="77"/>
  <c r="I23" i="77"/>
  <c r="J23" i="77"/>
  <c r="K23" i="77"/>
  <c r="L23" i="77"/>
  <c r="M23" i="77"/>
  <c r="N23" i="77"/>
  <c r="E23" i="77"/>
  <c r="H26" i="95"/>
  <c r="H12" i="95"/>
  <c r="H14" i="95"/>
  <c r="H16" i="95"/>
  <c r="F7" i="94"/>
  <c r="G7" i="94" s="1"/>
  <c r="H7" i="94" s="1"/>
  <c r="I7" i="94" s="1"/>
  <c r="J7" i="94" s="1"/>
  <c r="K7" i="94" s="1"/>
  <c r="L7" i="94" s="1"/>
  <c r="M7" i="94" s="1"/>
  <c r="N7" i="94" s="1"/>
  <c r="C43" i="82"/>
  <c r="B1" i="90"/>
  <c r="S17" i="85"/>
  <c r="S16" i="85"/>
  <c r="S15" i="85"/>
  <c r="S14" i="85"/>
  <c r="S13" i="85"/>
  <c r="AA34" i="45"/>
  <c r="N34" i="45"/>
  <c r="D23" i="87" l="1"/>
  <c r="C160" i="82"/>
  <c r="C161" i="82"/>
  <c r="B25" i="101"/>
  <c r="G28" i="77"/>
  <c r="S41" i="45" s="1"/>
  <c r="F32" i="103" s="1"/>
  <c r="F28" i="77"/>
  <c r="R41" i="45" s="1"/>
  <c r="E32" i="103" s="1"/>
  <c r="M28" i="77"/>
  <c r="Y41" i="45" s="1"/>
  <c r="L32" i="103" s="1"/>
  <c r="L28" i="77"/>
  <c r="X41" i="45" s="1"/>
  <c r="K32" i="103" s="1"/>
  <c r="K28" i="77"/>
  <c r="W41" i="45" s="1"/>
  <c r="J32" i="103" s="1"/>
  <c r="H28" i="77"/>
  <c r="T41" i="45" s="1"/>
  <c r="G32" i="103" s="1"/>
  <c r="I28" i="77"/>
  <c r="U41" i="45" s="1"/>
  <c r="J28" i="77"/>
  <c r="V41" i="45" s="1"/>
  <c r="I32" i="103" s="1"/>
  <c r="Z41" i="45"/>
  <c r="M32" i="103" s="1"/>
  <c r="E28" i="77"/>
  <c r="M29" i="77"/>
  <c r="Y42" i="45" s="1"/>
  <c r="L33" i="103" s="1"/>
  <c r="L29" i="77"/>
  <c r="X42" i="45" s="1"/>
  <c r="K33" i="103" s="1"/>
  <c r="E29" i="77"/>
  <c r="F29" i="77"/>
  <c r="R42" i="45" s="1"/>
  <c r="E33" i="103" s="1"/>
  <c r="G29" i="77"/>
  <c r="S42" i="45" s="1"/>
  <c r="F33" i="103" s="1"/>
  <c r="H29" i="77"/>
  <c r="T42" i="45" s="1"/>
  <c r="G33" i="103" s="1"/>
  <c r="I29" i="77"/>
  <c r="U42" i="45" s="1"/>
  <c r="D6" i="102" s="1"/>
  <c r="J29" i="77"/>
  <c r="V42" i="45" s="1"/>
  <c r="I33" i="103" s="1"/>
  <c r="K29" i="77"/>
  <c r="W42" i="45" s="1"/>
  <c r="J33" i="103" s="1"/>
  <c r="Z42" i="45"/>
  <c r="M33" i="103" s="1"/>
  <c r="A72" i="101"/>
  <c r="A71" i="101"/>
  <c r="H8" i="98"/>
  <c r="J54" i="68"/>
  <c r="F11" i="98"/>
  <c r="E11" i="98"/>
  <c r="G10" i="98"/>
  <c r="G11" i="98" s="1"/>
  <c r="H2" i="98"/>
  <c r="N2" i="98" s="1"/>
  <c r="C182" i="82"/>
  <c r="M363" i="82"/>
  <c r="G363" i="82"/>
  <c r="M350" i="82"/>
  <c r="H350" i="82"/>
  <c r="F350" i="82"/>
  <c r="J350" i="82"/>
  <c r="D350" i="82"/>
  <c r="H363" i="82"/>
  <c r="K363" i="82"/>
  <c r="F363" i="82"/>
  <c r="L363" i="82"/>
  <c r="E363" i="82"/>
  <c r="L350" i="82"/>
  <c r="G350" i="82"/>
  <c r="J363" i="82"/>
  <c r="D363" i="82"/>
  <c r="K350" i="82"/>
  <c r="E350" i="82"/>
  <c r="I363" i="82"/>
  <c r="I350" i="82"/>
  <c r="I349" i="82"/>
  <c r="K362" i="82"/>
  <c r="F362" i="82"/>
  <c r="H362" i="82"/>
  <c r="J349" i="82"/>
  <c r="D349" i="82"/>
  <c r="G349" i="82"/>
  <c r="L362" i="82"/>
  <c r="D362" i="82"/>
  <c r="I362" i="82"/>
  <c r="E362" i="82"/>
  <c r="L349" i="82"/>
  <c r="H349" i="82"/>
  <c r="K349" i="82"/>
  <c r="E349" i="82"/>
  <c r="J362" i="82"/>
  <c r="M362" i="82"/>
  <c r="G362" i="82"/>
  <c r="M349" i="82"/>
  <c r="F349" i="82"/>
  <c r="C357" i="82"/>
  <c r="D357" i="82" s="1"/>
  <c r="C344" i="82"/>
  <c r="C331" i="82"/>
  <c r="D23" i="80"/>
  <c r="I159" i="70"/>
  <c r="J159" i="70" s="1"/>
  <c r="K159" i="70" s="1"/>
  <c r="L159" i="70" s="1"/>
  <c r="M159" i="70" s="1"/>
  <c r="N159" i="70" s="1"/>
  <c r="O159" i="70" s="1"/>
  <c r="P159" i="70" s="1"/>
  <c r="Q159" i="70" s="1"/>
  <c r="R159" i="70" s="1"/>
  <c r="S159" i="70" s="1"/>
  <c r="D7" i="96" s="1"/>
  <c r="I152" i="70"/>
  <c r="J152" i="70" s="1"/>
  <c r="K152" i="70" s="1"/>
  <c r="L152" i="70" s="1"/>
  <c r="M152" i="70" s="1"/>
  <c r="N152" i="70" s="1"/>
  <c r="O152" i="70" s="1"/>
  <c r="P152" i="70" s="1"/>
  <c r="Q152" i="70" s="1"/>
  <c r="R152" i="70" s="1"/>
  <c r="S152" i="70" s="1"/>
  <c r="D6" i="96" s="1"/>
  <c r="G53" i="85"/>
  <c r="I145" i="70"/>
  <c r="J282" i="82"/>
  <c r="F282" i="82"/>
  <c r="K282" i="82"/>
  <c r="E282" i="82"/>
  <c r="L282" i="82"/>
  <c r="H282" i="82"/>
  <c r="M282" i="82"/>
  <c r="G282" i="82"/>
  <c r="R10" i="90"/>
  <c r="I282" i="82"/>
  <c r="D282" i="82"/>
  <c r="L337" i="82"/>
  <c r="F337" i="82"/>
  <c r="J337" i="82"/>
  <c r="H337" i="82"/>
  <c r="I337" i="82"/>
  <c r="E337" i="82"/>
  <c r="K337" i="82"/>
  <c r="M337" i="82"/>
  <c r="G337" i="82"/>
  <c r="D337" i="82"/>
  <c r="K336" i="82"/>
  <c r="G336" i="82"/>
  <c r="L336" i="82"/>
  <c r="M336" i="82"/>
  <c r="H336" i="82"/>
  <c r="E336" i="82"/>
  <c r="I336" i="82"/>
  <c r="D336" i="82"/>
  <c r="J336" i="82"/>
  <c r="F336" i="82"/>
  <c r="M46" i="70"/>
  <c r="M47" i="70" s="1"/>
  <c r="C21" i="101" s="1"/>
  <c r="C155" i="82"/>
  <c r="C173" i="82" s="1"/>
  <c r="D173" i="82" s="1"/>
  <c r="Q28" i="45" s="1"/>
  <c r="D47" i="68"/>
  <c r="I8" i="98" s="1"/>
  <c r="C134" i="82"/>
  <c r="C152" i="82" s="1"/>
  <c r="D152" i="82" s="1"/>
  <c r="Q27" i="45" s="1"/>
  <c r="D28" i="103" s="1"/>
  <c r="L46" i="70"/>
  <c r="L47" i="70" s="1"/>
  <c r="C20" i="101" s="1"/>
  <c r="N19" i="81"/>
  <c r="M19" i="81"/>
  <c r="L19" i="81"/>
  <c r="K19" i="81"/>
  <c r="J19" i="81"/>
  <c r="I19" i="81"/>
  <c r="H19" i="81"/>
  <c r="G19" i="81"/>
  <c r="F19" i="81"/>
  <c r="D104" i="68"/>
  <c r="D143" i="68"/>
  <c r="D64" i="68"/>
  <c r="D126" i="68"/>
  <c r="I10" i="98" s="1"/>
  <c r="I4" i="98" s="1"/>
  <c r="O4" i="98" s="1"/>
  <c r="D131" i="68"/>
  <c r="J10" i="98" s="1"/>
  <c r="J4" i="98" s="1"/>
  <c r="P4" i="98" s="1"/>
  <c r="D23" i="81"/>
  <c r="E19" i="81"/>
  <c r="E20" i="81" s="1"/>
  <c r="F19" i="80"/>
  <c r="G19" i="80"/>
  <c r="H19" i="80"/>
  <c r="I19" i="80"/>
  <c r="I20" i="80" s="1"/>
  <c r="J19" i="80"/>
  <c r="E19" i="80"/>
  <c r="E20" i="80" s="1"/>
  <c r="K19" i="80"/>
  <c r="L19" i="80"/>
  <c r="L20" i="80" s="1"/>
  <c r="M19" i="80"/>
  <c r="M20" i="80" s="1"/>
  <c r="N19" i="80"/>
  <c r="G19" i="77"/>
  <c r="F19" i="77"/>
  <c r="E19" i="77"/>
  <c r="E20" i="77" s="1"/>
  <c r="N19" i="77"/>
  <c r="M19" i="77"/>
  <c r="M20" i="77" s="1"/>
  <c r="L19" i="77"/>
  <c r="L20" i="77" s="1"/>
  <c r="K19" i="77"/>
  <c r="K20" i="77" s="1"/>
  <c r="J19" i="77"/>
  <c r="I19" i="77"/>
  <c r="H19" i="77"/>
  <c r="J129" i="68"/>
  <c r="D130" i="68"/>
  <c r="G9" i="81" s="1"/>
  <c r="J90" i="68"/>
  <c r="D92" i="68"/>
  <c r="D91" i="68"/>
  <c r="G9" i="80" s="1"/>
  <c r="D52" i="68"/>
  <c r="J50" i="68"/>
  <c r="D51" i="68"/>
  <c r="G9" i="77" s="1"/>
  <c r="J45" i="68"/>
  <c r="J85" i="68"/>
  <c r="D87" i="68"/>
  <c r="I9" i="98" s="1"/>
  <c r="D86" i="68"/>
  <c r="G8" i="80" s="1"/>
  <c r="G20" i="77" l="1"/>
  <c r="I20" i="77"/>
  <c r="H20" i="77"/>
  <c r="J20" i="77"/>
  <c r="N20" i="77"/>
  <c r="F18" i="77"/>
  <c r="F20" i="77"/>
  <c r="D5" i="102"/>
  <c r="H32" i="103"/>
  <c r="H33" i="103"/>
  <c r="K10" i="70"/>
  <c r="J9" i="98"/>
  <c r="J3" i="98" s="1"/>
  <c r="P3" i="98" s="1"/>
  <c r="I11" i="98"/>
  <c r="I3" i="98"/>
  <c r="O3" i="98" s="1"/>
  <c r="J10" i="70"/>
  <c r="J8" i="98"/>
  <c r="J11" i="98" s="1"/>
  <c r="D28" i="87"/>
  <c r="D19" i="87"/>
  <c r="G20" i="80"/>
  <c r="F20" i="80"/>
  <c r="N20" i="80"/>
  <c r="F20" i="81"/>
  <c r="H20" i="80"/>
  <c r="D344" i="82"/>
  <c r="D331" i="82"/>
  <c r="N20" i="81"/>
  <c r="M20" i="81"/>
  <c r="K20" i="81"/>
  <c r="J20" i="81"/>
  <c r="J145" i="70"/>
  <c r="H20" i="81"/>
  <c r="L20" i="81"/>
  <c r="G20" i="81"/>
  <c r="I20" i="81"/>
  <c r="C28" i="45"/>
  <c r="C32" i="85"/>
  <c r="J67" i="68"/>
  <c r="J70" i="68"/>
  <c r="J9" i="70"/>
  <c r="D25" i="87"/>
  <c r="D24" i="87"/>
  <c r="D18" i="87"/>
  <c r="D17" i="87"/>
  <c r="C27" i="45"/>
  <c r="C31" i="85"/>
  <c r="K20" i="80"/>
  <c r="J20" i="80"/>
  <c r="G18" i="77"/>
  <c r="M39" i="85"/>
  <c r="I39" i="85"/>
  <c r="E39" i="85"/>
  <c r="N18" i="81"/>
  <c r="M18" i="81"/>
  <c r="L18" i="81"/>
  <c r="K18" i="81"/>
  <c r="J18" i="81"/>
  <c r="I18" i="81"/>
  <c r="H18" i="81"/>
  <c r="G18" i="81"/>
  <c r="F18" i="81"/>
  <c r="E18" i="81"/>
  <c r="F18" i="80"/>
  <c r="G18" i="80"/>
  <c r="H18" i="80"/>
  <c r="I18" i="80"/>
  <c r="J18" i="80"/>
  <c r="E18" i="80"/>
  <c r="K18" i="80"/>
  <c r="L18" i="80"/>
  <c r="M18" i="80"/>
  <c r="N18" i="80"/>
  <c r="E18" i="77"/>
  <c r="N18" i="77"/>
  <c r="M18" i="77"/>
  <c r="L18" i="77"/>
  <c r="K18" i="77"/>
  <c r="J18" i="77"/>
  <c r="I18" i="77"/>
  <c r="H18" i="77"/>
  <c r="E357" i="82"/>
  <c r="J64" i="68"/>
  <c r="J145" i="68"/>
  <c r="J148" i="68"/>
  <c r="J143" i="68"/>
  <c r="L9" i="70"/>
  <c r="K62" i="70"/>
  <c r="J109" i="68"/>
  <c r="J106" i="68"/>
  <c r="J104" i="68"/>
  <c r="L10" i="70"/>
  <c r="D9" i="87"/>
  <c r="D10" i="87"/>
  <c r="D29" i="87"/>
  <c r="D27" i="87"/>
  <c r="D26" i="87"/>
  <c r="D16" i="87"/>
  <c r="D15" i="87"/>
  <c r="D14" i="87"/>
  <c r="D8" i="87"/>
  <c r="K9" i="70"/>
  <c r="C12" i="103" l="1"/>
  <c r="C28" i="103" s="1"/>
  <c r="G31" i="85"/>
  <c r="I31" i="85" s="1"/>
  <c r="E31" i="85"/>
  <c r="J11" i="70"/>
  <c r="L11" i="70"/>
  <c r="G32" i="85"/>
  <c r="I32" i="85" s="1"/>
  <c r="E32" i="85"/>
  <c r="E344" i="82"/>
  <c r="E331" i="82"/>
  <c r="K145" i="70"/>
  <c r="D20" i="77"/>
  <c r="C23" i="87"/>
  <c r="E23" i="87" s="1"/>
  <c r="D28" i="45"/>
  <c r="C22" i="87"/>
  <c r="E22" i="87" s="1"/>
  <c r="D27" i="45"/>
  <c r="F357" i="82"/>
  <c r="D29" i="77"/>
  <c r="D28" i="77"/>
  <c r="E27" i="45" l="1"/>
  <c r="F27" i="45" s="1"/>
  <c r="D12" i="103"/>
  <c r="E28" i="45"/>
  <c r="L145" i="70"/>
  <c r="F344" i="82"/>
  <c r="F331" i="82"/>
  <c r="G357" i="82"/>
  <c r="K57" i="67"/>
  <c r="K64" i="70" s="1"/>
  <c r="E12" i="103" l="1"/>
  <c r="G27" i="45"/>
  <c r="H27" i="45" s="1"/>
  <c r="F28" i="45"/>
  <c r="F12" i="103" s="1"/>
  <c r="M145" i="70"/>
  <c r="N145" i="70" s="1"/>
  <c r="O145" i="70" s="1"/>
  <c r="P145" i="70" s="1"/>
  <c r="Q145" i="70" s="1"/>
  <c r="R145" i="70" s="1"/>
  <c r="S145" i="70" s="1"/>
  <c r="D5" i="96" s="1"/>
  <c r="G344" i="82"/>
  <c r="G331" i="82"/>
  <c r="H357" i="82"/>
  <c r="K71" i="70"/>
  <c r="G28" i="45" l="1"/>
  <c r="G12" i="103" s="1"/>
  <c r="D4" i="96"/>
  <c r="H344" i="82"/>
  <c r="H331" i="82"/>
  <c r="I357" i="82"/>
  <c r="I27" i="45"/>
  <c r="J6" i="67"/>
  <c r="K6" i="67" s="1"/>
  <c r="K70" i="70" s="1"/>
  <c r="J27" i="45" l="1"/>
  <c r="K27" i="45" s="1"/>
  <c r="H28" i="45"/>
  <c r="H12" i="103" s="1"/>
  <c r="O12" i="103" s="1"/>
  <c r="I344" i="82"/>
  <c r="I331" i="82"/>
  <c r="J357" i="82"/>
  <c r="K68" i="70"/>
  <c r="K56" i="67"/>
  <c r="K69" i="70" s="1"/>
  <c r="K55" i="67"/>
  <c r="K63" i="70" s="1"/>
  <c r="K54" i="67"/>
  <c r="K72" i="70" s="1"/>
  <c r="L27" i="45" l="1"/>
  <c r="I28" i="45"/>
  <c r="I12" i="103" s="1"/>
  <c r="C11" i="102"/>
  <c r="J344" i="82"/>
  <c r="K344" i="82" s="1"/>
  <c r="J331" i="82"/>
  <c r="K331" i="82" s="1"/>
  <c r="K357" i="82"/>
  <c r="K73" i="70"/>
  <c r="K65" i="70"/>
  <c r="M27" i="45" l="1"/>
  <c r="J28" i="45"/>
  <c r="J12" i="103" s="1"/>
  <c r="L331" i="82"/>
  <c r="L357" i="82"/>
  <c r="L344" i="82"/>
  <c r="C6" i="91"/>
  <c r="C7" i="91" s="1"/>
  <c r="N27" i="45" l="1"/>
  <c r="K28" i="45"/>
  <c r="K12" i="103" s="1"/>
  <c r="M331" i="82"/>
  <c r="M357" i="82"/>
  <c r="M344" i="82"/>
  <c r="D7" i="91"/>
  <c r="C8" i="91"/>
  <c r="D6" i="91"/>
  <c r="L28" i="45" l="1"/>
  <c r="L12" i="103" s="1"/>
  <c r="D8" i="91"/>
  <c r="C13" i="91"/>
  <c r="D13" i="91" s="1"/>
  <c r="C18" i="91"/>
  <c r="D18" i="91" s="1"/>
  <c r="C9" i="91"/>
  <c r="M28" i="45" l="1"/>
  <c r="M12" i="103" s="1"/>
  <c r="D9" i="91"/>
  <c r="C17" i="91"/>
  <c r="D17" i="91" s="1"/>
  <c r="C12" i="91"/>
  <c r="D12" i="91" s="1"/>
  <c r="N14" i="103" l="1"/>
  <c r="N28" i="45"/>
  <c r="C19" i="91"/>
  <c r="D19" i="91" s="1"/>
  <c r="C14" i="91"/>
  <c r="Z39" i="45" l="1"/>
  <c r="T39" i="45"/>
  <c r="G31" i="103" s="1"/>
  <c r="G44" i="103" s="1"/>
  <c r="S39" i="45"/>
  <c r="F31" i="103" s="1"/>
  <c r="F44" i="103" s="1"/>
  <c r="U39" i="45"/>
  <c r="H31" i="103" s="1"/>
  <c r="H44" i="103" s="1"/>
  <c r="V39" i="45"/>
  <c r="I31" i="103" s="1"/>
  <c r="I44" i="103" s="1"/>
  <c r="X39" i="45"/>
  <c r="K31" i="103" s="1"/>
  <c r="K44" i="103" s="1"/>
  <c r="R39" i="45"/>
  <c r="E31" i="103" s="1"/>
  <c r="E44" i="103" s="1"/>
  <c r="W39" i="45"/>
  <c r="J31" i="103" s="1"/>
  <c r="J44" i="103" s="1"/>
  <c r="Y39" i="45"/>
  <c r="L31" i="103" s="1"/>
  <c r="L44" i="103" s="1"/>
  <c r="D14" i="91"/>
  <c r="E39" i="45" s="1"/>
  <c r="E34" i="90" s="1"/>
  <c r="C43" i="85"/>
  <c r="Q39" i="45"/>
  <c r="D31" i="103" s="1"/>
  <c r="C21" i="91"/>
  <c r="D21" i="91" s="1"/>
  <c r="C40" i="90"/>
  <c r="C39" i="90"/>
  <c r="AQ31" i="90"/>
  <c r="AR31" i="90" s="1"/>
  <c r="AS31" i="90" s="1"/>
  <c r="AT31" i="90" s="1"/>
  <c r="AU31" i="90" s="1"/>
  <c r="AV31" i="90" s="1"/>
  <c r="AW31" i="90" s="1"/>
  <c r="AX31" i="90" s="1"/>
  <c r="AY31" i="90" s="1"/>
  <c r="E31" i="90"/>
  <c r="F31" i="90" s="1"/>
  <c r="G31" i="90" s="1"/>
  <c r="H31" i="90" s="1"/>
  <c r="I31" i="90" s="1"/>
  <c r="J31" i="90" s="1"/>
  <c r="K31" i="90" s="1"/>
  <c r="L31" i="90" s="1"/>
  <c r="M31" i="90" s="1"/>
  <c r="AQ14" i="90"/>
  <c r="AR14" i="90" s="1"/>
  <c r="AS14" i="90" s="1"/>
  <c r="AT14" i="90" s="1"/>
  <c r="AU14" i="90" s="1"/>
  <c r="AV14" i="90" s="1"/>
  <c r="AW14" i="90" s="1"/>
  <c r="AX14" i="90" s="1"/>
  <c r="AY14" i="90" s="1"/>
  <c r="E14" i="90"/>
  <c r="F14" i="90" s="1"/>
  <c r="G14" i="90" s="1"/>
  <c r="H14" i="90" s="1"/>
  <c r="I14" i="90" s="1"/>
  <c r="J14" i="90" s="1"/>
  <c r="K14" i="90" s="1"/>
  <c r="L14" i="90" s="1"/>
  <c r="M14" i="90" s="1"/>
  <c r="F23" i="89"/>
  <c r="G23" i="89" s="1"/>
  <c r="H23" i="89" s="1"/>
  <c r="I23" i="89" s="1"/>
  <c r="J23" i="89" s="1"/>
  <c r="K23" i="89" s="1"/>
  <c r="L23" i="89" s="1"/>
  <c r="M23" i="89" s="1"/>
  <c r="N23" i="89" s="1"/>
  <c r="F6" i="89"/>
  <c r="G6" i="89" s="1"/>
  <c r="H6" i="89" s="1"/>
  <c r="I6" i="89" s="1"/>
  <c r="J6" i="89" s="1"/>
  <c r="K6" i="89" s="1"/>
  <c r="L6" i="89" s="1"/>
  <c r="M6" i="89" s="1"/>
  <c r="N6" i="89" s="1"/>
  <c r="K43" i="85" l="1"/>
  <c r="M43" i="85" s="1"/>
  <c r="U14" i="85" s="1"/>
  <c r="M31" i="103"/>
  <c r="M44" i="103" s="1"/>
  <c r="E43" i="85"/>
  <c r="C48" i="85"/>
  <c r="E48" i="85" s="1"/>
  <c r="L39" i="45"/>
  <c r="J39" i="45"/>
  <c r="J70" i="45" s="1"/>
  <c r="J15" i="103" s="1"/>
  <c r="M39" i="45"/>
  <c r="F39" i="45"/>
  <c r="H39" i="45"/>
  <c r="H34" i="90" s="1"/>
  <c r="G39" i="45"/>
  <c r="G34" i="90" s="1"/>
  <c r="C39" i="45"/>
  <c r="C70" i="45" s="1"/>
  <c r="C15" i="103" s="1"/>
  <c r="C31" i="103" s="1"/>
  <c r="C44" i="103" s="1"/>
  <c r="D39" i="45"/>
  <c r="D34" i="90" s="1"/>
  <c r="I39" i="45"/>
  <c r="K39" i="45"/>
  <c r="AA39" i="45"/>
  <c r="G43" i="85"/>
  <c r="O43" i="85" s="1"/>
  <c r="E70" i="45"/>
  <c r="E15" i="103" s="1"/>
  <c r="E48" i="45"/>
  <c r="J18" i="90" l="1"/>
  <c r="J80" i="45"/>
  <c r="C18" i="90"/>
  <c r="C23" i="90" s="1"/>
  <c r="C80" i="45"/>
  <c r="E18" i="90"/>
  <c r="E80" i="45"/>
  <c r="I43" i="85"/>
  <c r="G48" i="85"/>
  <c r="J34" i="90"/>
  <c r="J48" i="45"/>
  <c r="M34" i="90"/>
  <c r="M48" i="45"/>
  <c r="L34" i="90"/>
  <c r="L70" i="45"/>
  <c r="L15" i="103" s="1"/>
  <c r="L48" i="45"/>
  <c r="F34" i="90"/>
  <c r="F70" i="45"/>
  <c r="F15" i="103" s="1"/>
  <c r="I34" i="90"/>
  <c r="I48" i="45"/>
  <c r="I70" i="45"/>
  <c r="I15" i="103" s="1"/>
  <c r="K34" i="90"/>
  <c r="K48" i="45"/>
  <c r="F48" i="45"/>
  <c r="H48" i="45"/>
  <c r="M70" i="45"/>
  <c r="M15" i="103" s="1"/>
  <c r="K70" i="45"/>
  <c r="K15" i="103" s="1"/>
  <c r="D70" i="45"/>
  <c r="D15" i="103" s="1"/>
  <c r="G70" i="45"/>
  <c r="G15" i="103" s="1"/>
  <c r="C48" i="45"/>
  <c r="G48" i="45"/>
  <c r="H70" i="45"/>
  <c r="H15" i="103" s="1"/>
  <c r="D48" i="45"/>
  <c r="C34" i="90"/>
  <c r="C38" i="90"/>
  <c r="N39" i="45"/>
  <c r="N48" i="45" s="1"/>
  <c r="F46" i="77"/>
  <c r="F46" i="80"/>
  <c r="F46" i="81"/>
  <c r="L18" i="90" l="1"/>
  <c r="L80" i="45"/>
  <c r="F18" i="90"/>
  <c r="F80" i="45"/>
  <c r="I18" i="90"/>
  <c r="I80" i="45"/>
  <c r="M18" i="90"/>
  <c r="M80" i="45"/>
  <c r="K18" i="90"/>
  <c r="K80" i="45"/>
  <c r="D18" i="90"/>
  <c r="D80" i="45"/>
  <c r="G18" i="90"/>
  <c r="G80" i="45"/>
  <c r="H18" i="90"/>
  <c r="H80" i="45"/>
  <c r="I48" i="85"/>
  <c r="O48" i="85"/>
  <c r="N34" i="90"/>
  <c r="T14" i="85"/>
  <c r="C254" i="82"/>
  <c r="C253" i="82"/>
  <c r="C240" i="82"/>
  <c r="C239" i="82"/>
  <c r="C226" i="82"/>
  <c r="C225" i="82"/>
  <c r="M258" i="82"/>
  <c r="M259" i="82" s="1"/>
  <c r="L258" i="82"/>
  <c r="L259" i="82" s="1"/>
  <c r="K258" i="82"/>
  <c r="K259" i="82" s="1"/>
  <c r="J258" i="82"/>
  <c r="J259" i="82" s="1"/>
  <c r="I258" i="82"/>
  <c r="I259" i="82" s="1"/>
  <c r="H258" i="82"/>
  <c r="H259" i="82" s="1"/>
  <c r="G258" i="82"/>
  <c r="G259" i="82" s="1"/>
  <c r="F258" i="82"/>
  <c r="F259" i="82" s="1"/>
  <c r="E258" i="82"/>
  <c r="E259" i="82" s="1"/>
  <c r="D258" i="82"/>
  <c r="D259" i="82" s="1"/>
  <c r="E257" i="82"/>
  <c r="F257" i="82" s="1"/>
  <c r="G257" i="82" s="1"/>
  <c r="H257" i="82" s="1"/>
  <c r="I257" i="82" s="1"/>
  <c r="J257" i="82" s="1"/>
  <c r="K257" i="82" s="1"/>
  <c r="L257" i="82" s="1"/>
  <c r="M257" i="82" s="1"/>
  <c r="M244" i="82"/>
  <c r="M245" i="82" s="1"/>
  <c r="L244" i="82"/>
  <c r="L245" i="82" s="1"/>
  <c r="K244" i="82"/>
  <c r="K245" i="82" s="1"/>
  <c r="J244" i="82"/>
  <c r="J245" i="82" s="1"/>
  <c r="I244" i="82"/>
  <c r="I245" i="82" s="1"/>
  <c r="H244" i="82"/>
  <c r="H245" i="82" s="1"/>
  <c r="G244" i="82"/>
  <c r="G245" i="82" s="1"/>
  <c r="F244" i="82"/>
  <c r="F245" i="82" s="1"/>
  <c r="E244" i="82"/>
  <c r="E245" i="82" s="1"/>
  <c r="D244" i="82"/>
  <c r="D245" i="82" s="1"/>
  <c r="E243" i="82"/>
  <c r="F243" i="82" s="1"/>
  <c r="G243" i="82" s="1"/>
  <c r="H243" i="82" s="1"/>
  <c r="I243" i="82" s="1"/>
  <c r="J243" i="82" s="1"/>
  <c r="K243" i="82" s="1"/>
  <c r="L243" i="82" s="1"/>
  <c r="M243" i="82" s="1"/>
  <c r="M230" i="82"/>
  <c r="M231" i="82" s="1"/>
  <c r="L230" i="82"/>
  <c r="L231" i="82" s="1"/>
  <c r="K230" i="82"/>
  <c r="K231" i="82" s="1"/>
  <c r="J230" i="82"/>
  <c r="J231" i="82" s="1"/>
  <c r="I230" i="82"/>
  <c r="I231" i="82" s="1"/>
  <c r="H230" i="82"/>
  <c r="H231" i="82" s="1"/>
  <c r="G230" i="82"/>
  <c r="G231" i="82" s="1"/>
  <c r="F230" i="82"/>
  <c r="F231" i="82" s="1"/>
  <c r="E230" i="82"/>
  <c r="E231" i="82" s="1"/>
  <c r="D230" i="82"/>
  <c r="D231" i="82" s="1"/>
  <c r="E229" i="82"/>
  <c r="F229" i="82" s="1"/>
  <c r="G229" i="82" s="1"/>
  <c r="H229" i="82" s="1"/>
  <c r="I229" i="82" s="1"/>
  <c r="J229" i="82" s="1"/>
  <c r="K229" i="82" s="1"/>
  <c r="L229" i="82" s="1"/>
  <c r="M229" i="82" s="1"/>
  <c r="C209" i="82"/>
  <c r="C208" i="82"/>
  <c r="C195" i="82"/>
  <c r="C194" i="82"/>
  <c r="E198" i="82"/>
  <c r="F198" i="82" s="1"/>
  <c r="G198" i="82" s="1"/>
  <c r="H198" i="82" s="1"/>
  <c r="I198" i="82" s="1"/>
  <c r="J198" i="82" s="1"/>
  <c r="K198" i="82" s="1"/>
  <c r="L198" i="82" s="1"/>
  <c r="M198" i="82" s="1"/>
  <c r="D199" i="82"/>
  <c r="D200" i="82" s="1"/>
  <c r="E199" i="82"/>
  <c r="E200" i="82" s="1"/>
  <c r="F199" i="82"/>
  <c r="F200" i="82" s="1"/>
  <c r="G199" i="82"/>
  <c r="G200" i="82" s="1"/>
  <c r="H199" i="82"/>
  <c r="H200" i="82" s="1"/>
  <c r="I199" i="82"/>
  <c r="I200" i="82" s="1"/>
  <c r="J199" i="82"/>
  <c r="J200" i="82" s="1"/>
  <c r="K199" i="82"/>
  <c r="K200" i="82" s="1"/>
  <c r="L199" i="82"/>
  <c r="L200" i="82" s="1"/>
  <c r="M199" i="82"/>
  <c r="M200" i="82" s="1"/>
  <c r="E212" i="82"/>
  <c r="F212" i="82" s="1"/>
  <c r="G212" i="82" s="1"/>
  <c r="H212" i="82" s="1"/>
  <c r="I212" i="82" s="1"/>
  <c r="J212" i="82" s="1"/>
  <c r="K212" i="82" s="1"/>
  <c r="L212" i="82" s="1"/>
  <c r="M212" i="82" s="1"/>
  <c r="D213" i="82"/>
  <c r="D214" i="82" s="1"/>
  <c r="E213" i="82"/>
  <c r="E214" i="82" s="1"/>
  <c r="F213" i="82"/>
  <c r="F214" i="82" s="1"/>
  <c r="G213" i="82"/>
  <c r="G214" i="82" s="1"/>
  <c r="H213" i="82"/>
  <c r="H214" i="82" s="1"/>
  <c r="I213" i="82"/>
  <c r="I214" i="82" s="1"/>
  <c r="J213" i="82"/>
  <c r="J214" i="82" s="1"/>
  <c r="K213" i="82"/>
  <c r="K214" i="82" s="1"/>
  <c r="L213" i="82"/>
  <c r="L214" i="82" s="1"/>
  <c r="M213" i="82"/>
  <c r="M214" i="82" s="1"/>
  <c r="C181" i="82"/>
  <c r="E45" i="77"/>
  <c r="E45" i="80"/>
  <c r="E45" i="81"/>
  <c r="E38" i="77"/>
  <c r="E38" i="81"/>
  <c r="E38" i="80"/>
  <c r="C180" i="82"/>
  <c r="M185" i="82"/>
  <c r="M186" i="82" s="1"/>
  <c r="L185" i="82"/>
  <c r="L186" i="82" s="1"/>
  <c r="K185" i="82"/>
  <c r="K186" i="82" s="1"/>
  <c r="J185" i="82"/>
  <c r="J186" i="82" s="1"/>
  <c r="I185" i="82"/>
  <c r="I186" i="82" s="1"/>
  <c r="H185" i="82"/>
  <c r="H186" i="82" s="1"/>
  <c r="G185" i="82"/>
  <c r="G186" i="82" s="1"/>
  <c r="F185" i="82"/>
  <c r="F186" i="82" s="1"/>
  <c r="E185" i="82"/>
  <c r="E186" i="82" s="1"/>
  <c r="D185" i="82"/>
  <c r="D186" i="82" s="1"/>
  <c r="E184" i="82"/>
  <c r="F184" i="82" s="1"/>
  <c r="G184" i="82" s="1"/>
  <c r="H184" i="82" s="1"/>
  <c r="I184" i="82" s="1"/>
  <c r="J184" i="82" s="1"/>
  <c r="K184" i="82" s="1"/>
  <c r="L184" i="82" s="1"/>
  <c r="M184" i="82" s="1"/>
  <c r="M132" i="70"/>
  <c r="L132" i="70"/>
  <c r="K132" i="70"/>
  <c r="M122" i="70"/>
  <c r="L122" i="70"/>
  <c r="K122" i="70"/>
  <c r="M134" i="70"/>
  <c r="L134" i="70"/>
  <c r="K134" i="70"/>
  <c r="K124" i="70"/>
  <c r="J48" i="67"/>
  <c r="N18" i="90" l="1"/>
  <c r="M135" i="70"/>
  <c r="C323" i="82" s="1"/>
  <c r="D323" i="82" s="1"/>
  <c r="C249" i="82"/>
  <c r="D249" i="82" s="1"/>
  <c r="C204" i="82"/>
  <c r="D204" i="82" s="1"/>
  <c r="C263" i="82"/>
  <c r="D263" i="82" s="1"/>
  <c r="C218" i="82"/>
  <c r="D218" i="82" s="1"/>
  <c r="C235" i="82"/>
  <c r="D235" i="82" s="1"/>
  <c r="C190" i="82"/>
  <c r="D190" i="82" s="1"/>
  <c r="L135" i="70"/>
  <c r="C317" i="82" s="1"/>
  <c r="K125" i="70"/>
  <c r="K135" i="70"/>
  <c r="C311" i="82" s="1"/>
  <c r="D311" i="82" s="1"/>
  <c r="Q30" i="45" l="1"/>
  <c r="Q29" i="45"/>
  <c r="J135" i="70"/>
  <c r="C128" i="70" s="1"/>
  <c r="D317" i="82"/>
  <c r="Q13" i="45" l="1"/>
  <c r="C13" i="45"/>
  <c r="D13" i="45" s="1"/>
  <c r="E13" i="45" s="1"/>
  <c r="F13" i="45" s="1"/>
  <c r="G13" i="45" s="1"/>
  <c r="H13" i="45" s="1"/>
  <c r="I13" i="45" s="1"/>
  <c r="J13" i="45" s="1"/>
  <c r="K13" i="45" s="1"/>
  <c r="L13" i="45" s="1"/>
  <c r="M13" i="45" s="1"/>
  <c r="C14" i="85"/>
  <c r="C64" i="45" l="1"/>
  <c r="C18" i="87" s="1"/>
  <c r="E18" i="87" s="1"/>
  <c r="E14" i="85"/>
  <c r="G14" i="85"/>
  <c r="D64" i="45" l="1"/>
  <c r="I14" i="85"/>
  <c r="E64" i="45" l="1"/>
  <c r="F64" i="45" l="1"/>
  <c r="G64" i="45" l="1"/>
  <c r="H64" i="45" l="1"/>
  <c r="I64" i="45" l="1"/>
  <c r="J64" i="45" l="1"/>
  <c r="K64" i="45" l="1"/>
  <c r="K48" i="67"/>
  <c r="K47" i="67"/>
  <c r="L64" i="45" l="1"/>
  <c r="C176" i="82"/>
  <c r="I53" i="70"/>
  <c r="I54" i="70" s="1"/>
  <c r="C24" i="101" s="1"/>
  <c r="C221" i="82"/>
  <c r="J53" i="70"/>
  <c r="J54" i="70" s="1"/>
  <c r="C25" i="101" s="1"/>
  <c r="K19" i="67"/>
  <c r="K18" i="67"/>
  <c r="F39" i="81"/>
  <c r="F39" i="80"/>
  <c r="F39" i="77"/>
  <c r="M64" i="45" l="1"/>
  <c r="N64" i="45" s="1"/>
  <c r="N13" i="45"/>
  <c r="C29" i="45"/>
  <c r="C33" i="85"/>
  <c r="C30" i="45"/>
  <c r="C34" i="85"/>
  <c r="K123" i="70"/>
  <c r="M123" i="70"/>
  <c r="L123" i="70"/>
  <c r="K133" i="70"/>
  <c r="M133" i="70"/>
  <c r="L133" i="70"/>
  <c r="K17" i="67"/>
  <c r="D29" i="45" l="1"/>
  <c r="E29" i="45" s="1"/>
  <c r="C24" i="87"/>
  <c r="E24" i="87" s="1"/>
  <c r="D30" i="45"/>
  <c r="C25" i="87"/>
  <c r="E25" i="87" s="1"/>
  <c r="E33" i="85"/>
  <c r="G33" i="85"/>
  <c r="E34" i="85"/>
  <c r="G34" i="85"/>
  <c r="F29" i="45" l="1"/>
  <c r="G29" i="45" s="1"/>
  <c r="H29" i="45" s="1"/>
  <c r="I33" i="85"/>
  <c r="O33" i="85"/>
  <c r="I34" i="85"/>
  <c r="O34" i="85"/>
  <c r="M244" i="83"/>
  <c r="I29" i="45" l="1"/>
  <c r="M126" i="83"/>
  <c r="M166" i="83"/>
  <c r="M48" i="83"/>
  <c r="M204" i="83"/>
  <c r="M10" i="83"/>
  <c r="M88" i="83"/>
  <c r="J29" i="45" l="1"/>
  <c r="K29" i="45" s="1"/>
  <c r="M12" i="83"/>
  <c r="M246" i="83"/>
  <c r="M206" i="83"/>
  <c r="M168" i="83"/>
  <c r="M128" i="83"/>
  <c r="M90" i="83"/>
  <c r="M50" i="83"/>
  <c r="L29" i="45" l="1"/>
  <c r="M29" i="45" s="1"/>
  <c r="N29" i="45" s="1"/>
  <c r="V264" i="83"/>
  <c r="U264" i="83"/>
  <c r="T264" i="83"/>
  <c r="S264" i="83"/>
  <c r="R264" i="83"/>
  <c r="Q264" i="83"/>
  <c r="P264" i="83"/>
  <c r="O264" i="83"/>
  <c r="N264" i="83"/>
  <c r="M264" i="83"/>
  <c r="N263" i="83"/>
  <c r="O263" i="83" s="1"/>
  <c r="P263" i="83" s="1"/>
  <c r="Q263" i="83" s="1"/>
  <c r="R263" i="83" s="1"/>
  <c r="S263" i="83" s="1"/>
  <c r="T263" i="83" s="1"/>
  <c r="U263" i="83" s="1"/>
  <c r="V263" i="83" s="1"/>
  <c r="N249" i="83"/>
  <c r="O249" i="83" s="1"/>
  <c r="P249" i="83" s="1"/>
  <c r="Q249" i="83" s="1"/>
  <c r="R249" i="83" s="1"/>
  <c r="S249" i="83" s="1"/>
  <c r="T249" i="83" s="1"/>
  <c r="U249" i="83" s="1"/>
  <c r="V249" i="83" s="1"/>
  <c r="V224" i="83"/>
  <c r="U224" i="83"/>
  <c r="T224" i="83"/>
  <c r="S224" i="83"/>
  <c r="R224" i="83"/>
  <c r="Q224" i="83"/>
  <c r="P224" i="83"/>
  <c r="O224" i="83"/>
  <c r="N224" i="83"/>
  <c r="M224" i="83"/>
  <c r="V186" i="83"/>
  <c r="U186" i="83"/>
  <c r="T186" i="83"/>
  <c r="S186" i="83"/>
  <c r="R186" i="83"/>
  <c r="Q186" i="83"/>
  <c r="P186" i="83"/>
  <c r="O186" i="83"/>
  <c r="N186" i="83"/>
  <c r="M186" i="83"/>
  <c r="V146" i="83"/>
  <c r="U146" i="83"/>
  <c r="T146" i="83"/>
  <c r="S146" i="83"/>
  <c r="R146" i="83"/>
  <c r="Q146" i="83"/>
  <c r="P146" i="83"/>
  <c r="O146" i="83"/>
  <c r="N146" i="83"/>
  <c r="M146" i="83"/>
  <c r="V108" i="83"/>
  <c r="U108" i="83"/>
  <c r="T108" i="83"/>
  <c r="S108" i="83"/>
  <c r="R108" i="83"/>
  <c r="Q108" i="83"/>
  <c r="P108" i="83"/>
  <c r="O108" i="83"/>
  <c r="N108" i="83"/>
  <c r="M108" i="83"/>
  <c r="M30" i="83"/>
  <c r="N223" i="83"/>
  <c r="O223" i="83" s="1"/>
  <c r="P223" i="83" s="1"/>
  <c r="Q223" i="83" s="1"/>
  <c r="R223" i="83" s="1"/>
  <c r="S223" i="83" s="1"/>
  <c r="T223" i="83" s="1"/>
  <c r="U223" i="83" s="1"/>
  <c r="V223" i="83" s="1"/>
  <c r="N209" i="83"/>
  <c r="O209" i="83" s="1"/>
  <c r="P209" i="83" s="1"/>
  <c r="Q209" i="83" s="1"/>
  <c r="R209" i="83" s="1"/>
  <c r="S209" i="83" s="1"/>
  <c r="T209" i="83" s="1"/>
  <c r="U209" i="83" s="1"/>
  <c r="V209" i="83" s="1"/>
  <c r="N185" i="83"/>
  <c r="O185" i="83" s="1"/>
  <c r="P185" i="83" s="1"/>
  <c r="Q185" i="83" s="1"/>
  <c r="R185" i="83" s="1"/>
  <c r="S185" i="83" s="1"/>
  <c r="T185" i="83" s="1"/>
  <c r="U185" i="83" s="1"/>
  <c r="V185" i="83" s="1"/>
  <c r="N171" i="83"/>
  <c r="O171" i="83" s="1"/>
  <c r="P171" i="83" s="1"/>
  <c r="Q171" i="83" s="1"/>
  <c r="R171" i="83" s="1"/>
  <c r="S171" i="83" s="1"/>
  <c r="T171" i="83" s="1"/>
  <c r="U171" i="83" s="1"/>
  <c r="V171" i="83" s="1"/>
  <c r="N145" i="83"/>
  <c r="O145" i="83" s="1"/>
  <c r="P145" i="83" s="1"/>
  <c r="Q145" i="83" s="1"/>
  <c r="R145" i="83" s="1"/>
  <c r="S145" i="83" s="1"/>
  <c r="T145" i="83" s="1"/>
  <c r="U145" i="83" s="1"/>
  <c r="V145" i="83" s="1"/>
  <c r="N131" i="83"/>
  <c r="O131" i="83" s="1"/>
  <c r="P131" i="83" s="1"/>
  <c r="Q131" i="83" s="1"/>
  <c r="R131" i="83" s="1"/>
  <c r="S131" i="83" s="1"/>
  <c r="T131" i="83" s="1"/>
  <c r="U131" i="83" s="1"/>
  <c r="V131" i="83" s="1"/>
  <c r="N107" i="83"/>
  <c r="O107" i="83" s="1"/>
  <c r="P107" i="83" s="1"/>
  <c r="Q107" i="83" s="1"/>
  <c r="R107" i="83" s="1"/>
  <c r="S107" i="83" s="1"/>
  <c r="T107" i="83" s="1"/>
  <c r="U107" i="83" s="1"/>
  <c r="V107" i="83" s="1"/>
  <c r="N93" i="83"/>
  <c r="O93" i="83" s="1"/>
  <c r="P93" i="83" s="1"/>
  <c r="Q93" i="83" s="1"/>
  <c r="R93" i="83" s="1"/>
  <c r="S93" i="83" s="1"/>
  <c r="T93" i="83" s="1"/>
  <c r="U93" i="83" s="1"/>
  <c r="V93" i="83" s="1"/>
  <c r="V68" i="83"/>
  <c r="U68" i="83"/>
  <c r="T68" i="83"/>
  <c r="S68" i="83"/>
  <c r="R68" i="83"/>
  <c r="Q68" i="83"/>
  <c r="P68" i="83"/>
  <c r="O68" i="83"/>
  <c r="N68" i="83"/>
  <c r="M68" i="83"/>
  <c r="N67" i="83"/>
  <c r="O67" i="83" s="1"/>
  <c r="P67" i="83" s="1"/>
  <c r="Q67" i="83" s="1"/>
  <c r="R67" i="83" s="1"/>
  <c r="S67" i="83" s="1"/>
  <c r="T67" i="83" s="1"/>
  <c r="U67" i="83" s="1"/>
  <c r="V67" i="83" s="1"/>
  <c r="N53" i="83"/>
  <c r="O53" i="83" s="1"/>
  <c r="P53" i="83" s="1"/>
  <c r="Q53" i="83" s="1"/>
  <c r="R53" i="83" s="1"/>
  <c r="S53" i="83" s="1"/>
  <c r="T53" i="83" s="1"/>
  <c r="U53" i="83" s="1"/>
  <c r="V53" i="83" s="1"/>
  <c r="V30" i="83"/>
  <c r="U30" i="83"/>
  <c r="T30" i="83"/>
  <c r="S30" i="83"/>
  <c r="R30" i="83"/>
  <c r="Q30" i="83"/>
  <c r="P30" i="83"/>
  <c r="O30" i="83"/>
  <c r="N30" i="83"/>
  <c r="N29" i="83"/>
  <c r="O29" i="83" s="1"/>
  <c r="P29" i="83" s="1"/>
  <c r="Q29" i="83" s="1"/>
  <c r="R29" i="83" s="1"/>
  <c r="S29" i="83" s="1"/>
  <c r="T29" i="83" s="1"/>
  <c r="U29" i="83" s="1"/>
  <c r="V29" i="83" s="1"/>
  <c r="M9" i="83" l="1"/>
  <c r="E16" i="83" s="1"/>
  <c r="N15" i="83"/>
  <c r="O15" i="83" s="1"/>
  <c r="P15" i="83" s="1"/>
  <c r="Q15" i="83" s="1"/>
  <c r="R15" i="83" s="1"/>
  <c r="S15" i="83" s="1"/>
  <c r="T15" i="83" s="1"/>
  <c r="U15" i="83" s="1"/>
  <c r="V15" i="83" s="1"/>
  <c r="F31" i="83" l="1"/>
  <c r="F35" i="83" s="1"/>
  <c r="G31" i="83"/>
  <c r="G35" i="83" s="1"/>
  <c r="E31" i="83"/>
  <c r="F16" i="83"/>
  <c r="F20" i="83" s="1"/>
  <c r="E18" i="83" l="1"/>
  <c r="E20" i="83"/>
  <c r="E22" i="83" s="1"/>
  <c r="F22" i="83" s="1"/>
  <c r="E33" i="83"/>
  <c r="E35" i="83"/>
  <c r="E37" i="83" s="1"/>
  <c r="F37" i="83" s="1"/>
  <c r="G37" i="83" s="1"/>
  <c r="F18" i="83" l="1"/>
  <c r="E24" i="83"/>
  <c r="F24" i="83" s="1"/>
  <c r="E39" i="83"/>
  <c r="F39" i="83" s="1"/>
  <c r="G39" i="83" s="1"/>
  <c r="F33" i="83"/>
  <c r="G33" i="83" l="1"/>
  <c r="Q42" i="45" l="1"/>
  <c r="D33" i="103" s="1"/>
  <c r="O33" i="103" s="1"/>
  <c r="C72" i="45"/>
  <c r="C71" i="45"/>
  <c r="C81" i="45" s="1"/>
  <c r="M72" i="45"/>
  <c r="L72" i="45"/>
  <c r="K72" i="45"/>
  <c r="J72" i="45"/>
  <c r="I72" i="45"/>
  <c r="H72" i="45"/>
  <c r="G72" i="45"/>
  <c r="F72" i="45"/>
  <c r="E72" i="45"/>
  <c r="D72" i="45"/>
  <c r="M71" i="45"/>
  <c r="M81" i="45" s="1"/>
  <c r="L71" i="45"/>
  <c r="L81" i="45" s="1"/>
  <c r="K71" i="45"/>
  <c r="K81" i="45" s="1"/>
  <c r="J71" i="45"/>
  <c r="J81" i="45" s="1"/>
  <c r="I71" i="45"/>
  <c r="I81" i="45" s="1"/>
  <c r="H71" i="45"/>
  <c r="H81" i="45" s="1"/>
  <c r="G71" i="45"/>
  <c r="G81" i="45" s="1"/>
  <c r="F71" i="45"/>
  <c r="F81" i="45" s="1"/>
  <c r="E71" i="45"/>
  <c r="E81" i="45" s="1"/>
  <c r="D71" i="45"/>
  <c r="D81" i="45" s="1"/>
  <c r="N71" i="45" l="1"/>
  <c r="N72" i="45"/>
  <c r="N70" i="45" l="1"/>
  <c r="S12" i="85" l="1"/>
  <c r="S9" i="85"/>
  <c r="S8" i="85"/>
  <c r="K46" i="85"/>
  <c r="M46" i="85" s="1"/>
  <c r="Q43" i="45"/>
  <c r="D34" i="103" s="1"/>
  <c r="O34" i="103" s="1"/>
  <c r="C14" i="82"/>
  <c r="C32" i="82"/>
  <c r="C33" i="82"/>
  <c r="C27" i="82"/>
  <c r="C28" i="82"/>
  <c r="C305" i="82"/>
  <c r="C121" i="82"/>
  <c r="C106" i="82"/>
  <c r="C91" i="82"/>
  <c r="M126" i="82"/>
  <c r="M127" i="82" s="1"/>
  <c r="L126" i="82"/>
  <c r="L127" i="82" s="1"/>
  <c r="K126" i="82"/>
  <c r="K127" i="82" s="1"/>
  <c r="J126" i="82"/>
  <c r="J127" i="82" s="1"/>
  <c r="I126" i="82"/>
  <c r="I127" i="82" s="1"/>
  <c r="H126" i="82"/>
  <c r="H127" i="82" s="1"/>
  <c r="G126" i="82"/>
  <c r="G127" i="82" s="1"/>
  <c r="F126" i="82"/>
  <c r="F127" i="82" s="1"/>
  <c r="E126" i="82"/>
  <c r="E127" i="82" s="1"/>
  <c r="D126" i="82"/>
  <c r="D127" i="82" s="1"/>
  <c r="E125" i="82"/>
  <c r="F125" i="82" s="1"/>
  <c r="G125" i="82" s="1"/>
  <c r="H125" i="82" s="1"/>
  <c r="I125" i="82" s="1"/>
  <c r="J125" i="82" s="1"/>
  <c r="K125" i="82" s="1"/>
  <c r="L125" i="82" s="1"/>
  <c r="M125" i="82" s="1"/>
  <c r="M111" i="82"/>
  <c r="M112" i="82" s="1"/>
  <c r="L111" i="82"/>
  <c r="L112" i="82" s="1"/>
  <c r="K111" i="82"/>
  <c r="K112" i="82" s="1"/>
  <c r="J111" i="82"/>
  <c r="J112" i="82" s="1"/>
  <c r="I111" i="82"/>
  <c r="I112" i="82" s="1"/>
  <c r="H111" i="82"/>
  <c r="H112" i="82" s="1"/>
  <c r="G111" i="82"/>
  <c r="G112" i="82" s="1"/>
  <c r="F111" i="82"/>
  <c r="F112" i="82" s="1"/>
  <c r="E111" i="82"/>
  <c r="E112" i="82" s="1"/>
  <c r="D111" i="82"/>
  <c r="D112" i="82" s="1"/>
  <c r="E110" i="82"/>
  <c r="F110" i="82" s="1"/>
  <c r="G110" i="82" s="1"/>
  <c r="H110" i="82" s="1"/>
  <c r="I110" i="82" s="1"/>
  <c r="J110" i="82" s="1"/>
  <c r="K110" i="82" s="1"/>
  <c r="L110" i="82" s="1"/>
  <c r="M110" i="82" s="1"/>
  <c r="M96" i="82"/>
  <c r="M97" i="82" s="1"/>
  <c r="L96" i="82"/>
  <c r="L97" i="82" s="1"/>
  <c r="K96" i="82"/>
  <c r="K97" i="82" s="1"/>
  <c r="J96" i="82"/>
  <c r="J97" i="82" s="1"/>
  <c r="I96" i="82"/>
  <c r="I97" i="82" s="1"/>
  <c r="H96" i="82"/>
  <c r="H97" i="82" s="1"/>
  <c r="G96" i="82"/>
  <c r="G97" i="82" s="1"/>
  <c r="F96" i="82"/>
  <c r="F97" i="82" s="1"/>
  <c r="E96" i="82"/>
  <c r="E97" i="82" s="1"/>
  <c r="D96" i="82"/>
  <c r="D97" i="82" s="1"/>
  <c r="E95" i="82"/>
  <c r="F95" i="82" s="1"/>
  <c r="G95" i="82" s="1"/>
  <c r="H95" i="82" s="1"/>
  <c r="I95" i="82" s="1"/>
  <c r="J95" i="82" s="1"/>
  <c r="K95" i="82" s="1"/>
  <c r="L95" i="82" s="1"/>
  <c r="M95" i="82" s="1"/>
  <c r="M78" i="82"/>
  <c r="M79" i="82" s="1"/>
  <c r="L78" i="82"/>
  <c r="L79" i="82" s="1"/>
  <c r="K78" i="82"/>
  <c r="K79" i="82" s="1"/>
  <c r="J78" i="82"/>
  <c r="J79" i="82" s="1"/>
  <c r="I78" i="82"/>
  <c r="I79" i="82" s="1"/>
  <c r="H78" i="82"/>
  <c r="H79" i="82" s="1"/>
  <c r="G78" i="82"/>
  <c r="G79" i="82" s="1"/>
  <c r="F78" i="82"/>
  <c r="F79" i="82" s="1"/>
  <c r="E78" i="82"/>
  <c r="E79" i="82" s="1"/>
  <c r="D78" i="82"/>
  <c r="D79" i="82" s="1"/>
  <c r="C73" i="82"/>
  <c r="M63" i="82"/>
  <c r="M64" i="82" s="1"/>
  <c r="L63" i="82"/>
  <c r="L64" i="82" s="1"/>
  <c r="K63" i="82"/>
  <c r="K64" i="82" s="1"/>
  <c r="J63" i="82"/>
  <c r="J64" i="82" s="1"/>
  <c r="I63" i="82"/>
  <c r="I64" i="82" s="1"/>
  <c r="H63" i="82"/>
  <c r="H64" i="82" s="1"/>
  <c r="G63" i="82"/>
  <c r="G64" i="82" s="1"/>
  <c r="F63" i="82"/>
  <c r="F64" i="82" s="1"/>
  <c r="E63" i="82"/>
  <c r="E64" i="82" s="1"/>
  <c r="D63" i="82"/>
  <c r="D64" i="82" s="1"/>
  <c r="C58" i="82"/>
  <c r="E77" i="82"/>
  <c r="F77" i="82" s="1"/>
  <c r="G77" i="82" s="1"/>
  <c r="H77" i="82" s="1"/>
  <c r="I77" i="82" s="1"/>
  <c r="J77" i="82" s="1"/>
  <c r="K77" i="82" s="1"/>
  <c r="L77" i="82" s="1"/>
  <c r="M77" i="82" s="1"/>
  <c r="E62" i="82"/>
  <c r="F62" i="82" s="1"/>
  <c r="G62" i="82" s="1"/>
  <c r="H62" i="82" s="1"/>
  <c r="I62" i="82" s="1"/>
  <c r="J62" i="82" s="1"/>
  <c r="K62" i="82" s="1"/>
  <c r="L62" i="82" s="1"/>
  <c r="M62" i="82" s="1"/>
  <c r="M48" i="82"/>
  <c r="M49" i="82" s="1"/>
  <c r="L48" i="82"/>
  <c r="L49" i="82" s="1"/>
  <c r="K48" i="82"/>
  <c r="K49" i="82" s="1"/>
  <c r="J48" i="82"/>
  <c r="J49" i="82" s="1"/>
  <c r="I48" i="82"/>
  <c r="I49" i="82" s="1"/>
  <c r="H48" i="82"/>
  <c r="H49" i="82" s="1"/>
  <c r="G48" i="82"/>
  <c r="G49" i="82" s="1"/>
  <c r="F48" i="82"/>
  <c r="F49" i="82" s="1"/>
  <c r="F50" i="82" s="1"/>
  <c r="E48" i="82"/>
  <c r="E49" i="82" s="1"/>
  <c r="D48" i="82"/>
  <c r="D49" i="82" s="1"/>
  <c r="E47" i="82"/>
  <c r="F47" i="82" s="1"/>
  <c r="G47" i="82" s="1"/>
  <c r="H47" i="82" s="1"/>
  <c r="I47" i="82" s="1"/>
  <c r="J47" i="82" s="1"/>
  <c r="K47" i="82" s="1"/>
  <c r="L47" i="82" s="1"/>
  <c r="M47" i="82" s="1"/>
  <c r="H98" i="82" l="1"/>
  <c r="E50" i="82"/>
  <c r="H50" i="82"/>
  <c r="H65" i="82"/>
  <c r="D149" i="82"/>
  <c r="D144" i="82"/>
  <c r="D139" i="82"/>
  <c r="D140" i="82" s="1"/>
  <c r="H188" i="82"/>
  <c r="H201" i="82"/>
  <c r="H232" i="82"/>
  <c r="D165" i="82"/>
  <c r="D160" i="82"/>
  <c r="D170" i="82"/>
  <c r="U17" i="85"/>
  <c r="D50" i="82"/>
  <c r="E246" i="82"/>
  <c r="F249" i="82" s="1"/>
  <c r="M247" i="82"/>
  <c r="M246" i="82"/>
  <c r="M233" i="82"/>
  <c r="F247" i="82"/>
  <c r="F232" i="82"/>
  <c r="G235" i="82" s="1"/>
  <c r="E247" i="82"/>
  <c r="J260" i="82"/>
  <c r="K263" i="82" s="1"/>
  <c r="E233" i="82"/>
  <c r="H246" i="82"/>
  <c r="I249" i="82" s="1"/>
  <c r="I246" i="82"/>
  <c r="J249" i="82" s="1"/>
  <c r="K233" i="82"/>
  <c r="D232" i="82"/>
  <c r="E235" i="82" s="1"/>
  <c r="E261" i="82"/>
  <c r="F261" i="82"/>
  <c r="J232" i="82"/>
  <c r="K235" i="82" s="1"/>
  <c r="J246" i="82"/>
  <c r="K249" i="82" s="1"/>
  <c r="G261" i="82"/>
  <c r="K246" i="82"/>
  <c r="L249" i="82" s="1"/>
  <c r="L232" i="82"/>
  <c r="M235" i="82" s="1"/>
  <c r="D260" i="82"/>
  <c r="E263" i="82" s="1"/>
  <c r="H261" i="82"/>
  <c r="K247" i="82"/>
  <c r="M260" i="82"/>
  <c r="J261" i="82"/>
  <c r="L261" i="82"/>
  <c r="I235" i="82"/>
  <c r="E232" i="82"/>
  <c r="F235" i="82" s="1"/>
  <c r="H247" i="82"/>
  <c r="J247" i="82"/>
  <c r="K232" i="82"/>
  <c r="L235" i="82" s="1"/>
  <c r="L233" i="82"/>
  <c r="E260" i="82"/>
  <c r="F263" i="82" s="1"/>
  <c r="F260" i="82"/>
  <c r="G263" i="82" s="1"/>
  <c r="G247" i="82"/>
  <c r="G260" i="82"/>
  <c r="H263" i="82" s="1"/>
  <c r="H260" i="82"/>
  <c r="I263" i="82" s="1"/>
  <c r="M261" i="82"/>
  <c r="D261" i="82"/>
  <c r="D246" i="82"/>
  <c r="E249" i="82" s="1"/>
  <c r="K260" i="82"/>
  <c r="L263" i="82" s="1"/>
  <c r="I232" i="82"/>
  <c r="J235" i="82" s="1"/>
  <c r="M232" i="82"/>
  <c r="L260" i="82"/>
  <c r="M263" i="82" s="1"/>
  <c r="D247" i="82"/>
  <c r="I233" i="82"/>
  <c r="I260" i="82"/>
  <c r="J263" i="82" s="1"/>
  <c r="G233" i="82"/>
  <c r="L246" i="82"/>
  <c r="M249" i="82" s="1"/>
  <c r="K261" i="82"/>
  <c r="H233" i="82"/>
  <c r="J233" i="82"/>
  <c r="I261" i="82"/>
  <c r="G246" i="82"/>
  <c r="H249" i="82" s="1"/>
  <c r="L247" i="82"/>
  <c r="F233" i="82"/>
  <c r="G232" i="82"/>
  <c r="H235" i="82" s="1"/>
  <c r="I247" i="82"/>
  <c r="D233" i="82"/>
  <c r="F246" i="82"/>
  <c r="G249" i="82" s="1"/>
  <c r="I216" i="82"/>
  <c r="K215" i="82"/>
  <c r="L218" i="82" s="1"/>
  <c r="H216" i="82"/>
  <c r="K216" i="82"/>
  <c r="F215" i="82"/>
  <c r="G218" i="82" s="1"/>
  <c r="M215" i="82"/>
  <c r="G216" i="82"/>
  <c r="J215" i="82"/>
  <c r="K218" i="82" s="1"/>
  <c r="I215" i="82"/>
  <c r="J218" i="82" s="1"/>
  <c r="M216" i="82"/>
  <c r="H215" i="82"/>
  <c r="I218" i="82" s="1"/>
  <c r="D215" i="82"/>
  <c r="E218" i="82" s="1"/>
  <c r="E216" i="82"/>
  <c r="J216" i="82"/>
  <c r="E215" i="82"/>
  <c r="G215" i="82"/>
  <c r="H218" i="82" s="1"/>
  <c r="L215" i="82"/>
  <c r="M218" i="82" s="1"/>
  <c r="D216" i="82"/>
  <c r="L216" i="82"/>
  <c r="F216" i="82"/>
  <c r="L202" i="82"/>
  <c r="F187" i="82"/>
  <c r="G190" i="82" s="1"/>
  <c r="D201" i="82"/>
  <c r="E204" i="82" s="1"/>
  <c r="G187" i="82"/>
  <c r="H190" i="82" s="1"/>
  <c r="D187" i="82"/>
  <c r="E190" i="82" s="1"/>
  <c r="M187" i="82"/>
  <c r="I204" i="82"/>
  <c r="M201" i="82"/>
  <c r="J202" i="82"/>
  <c r="E202" i="82"/>
  <c r="M202" i="82"/>
  <c r="F188" i="82"/>
  <c r="K201" i="82"/>
  <c r="L204" i="82" s="1"/>
  <c r="D202" i="82"/>
  <c r="E187" i="82"/>
  <c r="F190" i="82" s="1"/>
  <c r="I187" i="82"/>
  <c r="J190" i="82" s="1"/>
  <c r="G202" i="82"/>
  <c r="L201" i="82"/>
  <c r="M204" i="82" s="1"/>
  <c r="D188" i="82"/>
  <c r="M188" i="82"/>
  <c r="K188" i="82"/>
  <c r="J201" i="82"/>
  <c r="K204" i="82" s="1"/>
  <c r="I202" i="82"/>
  <c r="J188" i="82"/>
  <c r="H202" i="82"/>
  <c r="I201" i="82"/>
  <c r="J204" i="82" s="1"/>
  <c r="L187" i="82"/>
  <c r="M190" i="82" s="1"/>
  <c r="K187" i="82"/>
  <c r="L190" i="82" s="1"/>
  <c r="H187" i="82"/>
  <c r="I190" i="82" s="1"/>
  <c r="G188" i="82"/>
  <c r="F201" i="82"/>
  <c r="G204" i="82" s="1"/>
  <c r="L188" i="82"/>
  <c r="E201" i="82"/>
  <c r="F204" i="82" s="1"/>
  <c r="I188" i="82"/>
  <c r="K202" i="82"/>
  <c r="F202" i="82"/>
  <c r="J187" i="82"/>
  <c r="K190" i="82" s="1"/>
  <c r="G201" i="82"/>
  <c r="H204" i="82" s="1"/>
  <c r="E188" i="82"/>
  <c r="D128" i="82"/>
  <c r="L128" i="82"/>
  <c r="E128" i="82"/>
  <c r="I128" i="82"/>
  <c r="M128" i="82"/>
  <c r="H128" i="82"/>
  <c r="F128" i="82"/>
  <c r="J128" i="82"/>
  <c r="G128" i="82"/>
  <c r="K128" i="82"/>
  <c r="G98" i="82"/>
  <c r="K98" i="82"/>
  <c r="D113" i="82"/>
  <c r="H113" i="82"/>
  <c r="L113" i="82"/>
  <c r="K113" i="82"/>
  <c r="D98" i="82"/>
  <c r="L98" i="82"/>
  <c r="E113" i="82"/>
  <c r="I113" i="82"/>
  <c r="M113" i="82"/>
  <c r="F98" i="82"/>
  <c r="J98" i="82"/>
  <c r="G113" i="82"/>
  <c r="E98" i="82"/>
  <c r="I98" i="82"/>
  <c r="M98" i="82"/>
  <c r="F113" i="82"/>
  <c r="J113" i="82"/>
  <c r="D80" i="82"/>
  <c r="F80" i="82"/>
  <c r="J80" i="82"/>
  <c r="I80" i="82"/>
  <c r="G80" i="82"/>
  <c r="K80" i="82"/>
  <c r="E80" i="82"/>
  <c r="M80" i="82"/>
  <c r="H80" i="82"/>
  <c r="L80" i="82"/>
  <c r="I50" i="82"/>
  <c r="J50" i="82"/>
  <c r="M50" i="82"/>
  <c r="G50" i="82"/>
  <c r="K50" i="82"/>
  <c r="L50" i="82"/>
  <c r="E65" i="82"/>
  <c r="I65" i="82"/>
  <c r="M65" i="82"/>
  <c r="F65" i="82"/>
  <c r="J65" i="82"/>
  <c r="D65" i="82"/>
  <c r="L65" i="82"/>
  <c r="G65" i="82"/>
  <c r="K65" i="82"/>
  <c r="D32" i="82"/>
  <c r="E32" i="82" s="1"/>
  <c r="F32" i="82" s="1"/>
  <c r="D27" i="82"/>
  <c r="E27" i="82" s="1"/>
  <c r="F27" i="82" s="1"/>
  <c r="G10" i="81"/>
  <c r="G10" i="80"/>
  <c r="G10" i="77"/>
  <c r="R29" i="45" l="1"/>
  <c r="X29" i="45"/>
  <c r="T29" i="45"/>
  <c r="U30" i="45"/>
  <c r="W29" i="45"/>
  <c r="S30" i="45"/>
  <c r="W30" i="45"/>
  <c r="E217" i="82"/>
  <c r="F218" i="82"/>
  <c r="S29" i="45" s="1"/>
  <c r="V30" i="45"/>
  <c r="U29" i="45"/>
  <c r="Z29" i="45"/>
  <c r="K33" i="85" s="1"/>
  <c r="M33" i="85" s="1"/>
  <c r="Y29" i="45"/>
  <c r="V29" i="45"/>
  <c r="Y30" i="45"/>
  <c r="T30" i="45"/>
  <c r="R30" i="45"/>
  <c r="X30" i="45"/>
  <c r="Z30" i="45"/>
  <c r="K34" i="85" s="1"/>
  <c r="M34" i="85" s="1"/>
  <c r="E165" i="82"/>
  <c r="D166" i="82"/>
  <c r="E160" i="82"/>
  <c r="D161" i="82"/>
  <c r="D171" i="82"/>
  <c r="E170" i="82"/>
  <c r="E144" i="82"/>
  <c r="D145" i="82"/>
  <c r="E149" i="82"/>
  <c r="D150" i="82"/>
  <c r="E139" i="82"/>
  <c r="F139" i="82" s="1"/>
  <c r="H217" i="82"/>
  <c r="F217" i="82"/>
  <c r="L217" i="82"/>
  <c r="M217" i="82"/>
  <c r="K217" i="82"/>
  <c r="J262" i="82"/>
  <c r="I262" i="82"/>
  <c r="K234" i="82"/>
  <c r="J234" i="82"/>
  <c r="G248" i="82"/>
  <c r="F234" i="82"/>
  <c r="H262" i="82"/>
  <c r="D262" i="82"/>
  <c r="D234" i="82"/>
  <c r="D248" i="82"/>
  <c r="F248" i="82"/>
  <c r="L262" i="82"/>
  <c r="G262" i="82"/>
  <c r="E234" i="82"/>
  <c r="L234" i="82"/>
  <c r="M262" i="82"/>
  <c r="M234" i="82"/>
  <c r="H234" i="82"/>
  <c r="K248" i="82"/>
  <c r="I248" i="82"/>
  <c r="M248" i="82"/>
  <c r="I234" i="82"/>
  <c r="F262" i="82"/>
  <c r="H248" i="82"/>
  <c r="G234" i="82"/>
  <c r="L248" i="82"/>
  <c r="K262" i="82"/>
  <c r="E262" i="82"/>
  <c r="J248" i="82"/>
  <c r="E248" i="82"/>
  <c r="D217" i="82"/>
  <c r="D189" i="82"/>
  <c r="L203" i="82"/>
  <c r="K189" i="82"/>
  <c r="D203" i="82"/>
  <c r="H189" i="82"/>
  <c r="F203" i="82"/>
  <c r="I189" i="82"/>
  <c r="G217" i="82"/>
  <c r="L189" i="82"/>
  <c r="J203" i="82"/>
  <c r="E189" i="82"/>
  <c r="M203" i="82"/>
  <c r="F189" i="82"/>
  <c r="J189" i="82"/>
  <c r="I217" i="82"/>
  <c r="G189" i="82"/>
  <c r="I203" i="82"/>
  <c r="H203" i="82"/>
  <c r="G203" i="82"/>
  <c r="E203" i="82"/>
  <c r="J217" i="82"/>
  <c r="K203" i="82"/>
  <c r="M189" i="82"/>
  <c r="H8" i="81"/>
  <c r="I8" i="81" s="1"/>
  <c r="H10" i="81"/>
  <c r="I10" i="81" s="1"/>
  <c r="D60" i="101" s="1"/>
  <c r="H9" i="81"/>
  <c r="I9" i="81" s="1"/>
  <c r="D59" i="101" s="1"/>
  <c r="H8" i="80"/>
  <c r="I8" i="80" s="1"/>
  <c r="H9" i="80"/>
  <c r="I9" i="80" s="1"/>
  <c r="C59" i="101" s="1"/>
  <c r="H10" i="80"/>
  <c r="I10" i="80" s="1"/>
  <c r="C60" i="101" s="1"/>
  <c r="H9" i="77"/>
  <c r="I9" i="77" s="1"/>
  <c r="B59" i="101" s="1"/>
  <c r="H8" i="77"/>
  <c r="I8" i="77" s="1"/>
  <c r="H10" i="77"/>
  <c r="I10" i="77" s="1"/>
  <c r="B60" i="101" s="1"/>
  <c r="C122" i="82" l="1"/>
  <c r="D58" i="101"/>
  <c r="C59" i="82"/>
  <c r="C60" i="82" s="1"/>
  <c r="E66" i="82" s="1"/>
  <c r="E67" i="82" s="1"/>
  <c r="C58" i="101"/>
  <c r="C44" i="82"/>
  <c r="C45" i="82" s="1"/>
  <c r="B58" i="101"/>
  <c r="E173" i="82"/>
  <c r="R28" i="45" s="1"/>
  <c r="F165" i="82"/>
  <c r="E166" i="82"/>
  <c r="F160" i="82"/>
  <c r="E161" i="82"/>
  <c r="E171" i="82"/>
  <c r="F170" i="82"/>
  <c r="E152" i="82"/>
  <c r="R27" i="45" s="1"/>
  <c r="F144" i="82"/>
  <c r="E145" i="82"/>
  <c r="F149" i="82"/>
  <c r="E150" i="82"/>
  <c r="E140" i="82"/>
  <c r="C74" i="82"/>
  <c r="C107" i="82"/>
  <c r="C108" i="82" s="1"/>
  <c r="C92" i="82"/>
  <c r="G32" i="82"/>
  <c r="G27" i="82"/>
  <c r="E28" i="103" l="1"/>
  <c r="C123" i="82"/>
  <c r="K129" i="82" s="1"/>
  <c r="K130" i="82" s="1"/>
  <c r="D129" i="82"/>
  <c r="D130" i="82" s="1"/>
  <c r="F152" i="82"/>
  <c r="S27" i="45" s="1"/>
  <c r="F173" i="82"/>
  <c r="S28" i="45" s="1"/>
  <c r="D81" i="82"/>
  <c r="D82" i="82" s="1"/>
  <c r="C75" i="82"/>
  <c r="H81" i="82" s="1"/>
  <c r="G165" i="82"/>
  <c r="H165" i="82" s="1"/>
  <c r="F166" i="82"/>
  <c r="G160" i="82"/>
  <c r="F161" i="82"/>
  <c r="G170" i="82"/>
  <c r="F171" i="82"/>
  <c r="F145" i="82"/>
  <c r="G144" i="82"/>
  <c r="H144" i="82" s="1"/>
  <c r="G149" i="82"/>
  <c r="H149" i="82" s="1"/>
  <c r="F150" i="82"/>
  <c r="G139" i="82"/>
  <c r="H139" i="82" s="1"/>
  <c r="H140" i="82" s="1"/>
  <c r="F140" i="82"/>
  <c r="D66" i="82"/>
  <c r="D67" i="82" s="1"/>
  <c r="J129" i="82"/>
  <c r="J130" i="82" s="1"/>
  <c r="H129" i="82"/>
  <c r="H130" i="82" s="1"/>
  <c r="I129" i="82"/>
  <c r="I130" i="82" s="1"/>
  <c r="L129" i="82"/>
  <c r="L130" i="82" s="1"/>
  <c r="E129" i="82"/>
  <c r="E130" i="82" s="1"/>
  <c r="G129" i="82"/>
  <c r="G130" i="82" s="1"/>
  <c r="F129" i="82"/>
  <c r="F130" i="82" s="1"/>
  <c r="M129" i="82"/>
  <c r="M130" i="82" s="1"/>
  <c r="AA29" i="45"/>
  <c r="D114" i="82"/>
  <c r="D115" i="82" s="1"/>
  <c r="E114" i="82"/>
  <c r="E115" i="82" s="1"/>
  <c r="H114" i="82"/>
  <c r="H115" i="82" s="1"/>
  <c r="K114" i="82"/>
  <c r="K115" i="82" s="1"/>
  <c r="M114" i="82"/>
  <c r="M115" i="82" s="1"/>
  <c r="I114" i="82"/>
  <c r="I115" i="82" s="1"/>
  <c r="G114" i="82"/>
  <c r="G115" i="82" s="1"/>
  <c r="F114" i="82"/>
  <c r="F115" i="82" s="1"/>
  <c r="L114" i="82"/>
  <c r="L115" i="82" s="1"/>
  <c r="J114" i="82"/>
  <c r="J115" i="82" s="1"/>
  <c r="H66" i="82"/>
  <c r="H67" i="82" s="1"/>
  <c r="I66" i="82"/>
  <c r="I67" i="82" s="1"/>
  <c r="F66" i="82"/>
  <c r="F67" i="82" s="1"/>
  <c r="G66" i="82"/>
  <c r="G67" i="82" s="1"/>
  <c r="M66" i="82"/>
  <c r="M67" i="82" s="1"/>
  <c r="J66" i="82"/>
  <c r="J67" i="82" s="1"/>
  <c r="L66" i="82"/>
  <c r="L67" i="82" s="1"/>
  <c r="K66" i="82"/>
  <c r="K67" i="82" s="1"/>
  <c r="E51" i="82"/>
  <c r="E52" i="82" s="1"/>
  <c r="C93" i="82"/>
  <c r="E99" i="82" s="1"/>
  <c r="E100" i="82" s="1"/>
  <c r="H32" i="82"/>
  <c r="H27" i="82"/>
  <c r="F28" i="103" l="1"/>
  <c r="I81" i="82"/>
  <c r="I82" i="82" s="1"/>
  <c r="L81" i="82"/>
  <c r="L82" i="82" s="1"/>
  <c r="H82" i="82"/>
  <c r="F81" i="82"/>
  <c r="F82" i="82" s="1"/>
  <c r="K81" i="82"/>
  <c r="K82" i="82" s="1"/>
  <c r="E81" i="82"/>
  <c r="E82" i="82" s="1"/>
  <c r="M81" i="82"/>
  <c r="M82" i="82" s="1"/>
  <c r="G81" i="82"/>
  <c r="G82" i="82" s="1"/>
  <c r="J81" i="82"/>
  <c r="J82" i="82" s="1"/>
  <c r="G152" i="82"/>
  <c r="T27" i="45" s="1"/>
  <c r="G166" i="82"/>
  <c r="H160" i="82"/>
  <c r="G161" i="82"/>
  <c r="H170" i="82"/>
  <c r="G171" i="82"/>
  <c r="G173" i="82"/>
  <c r="T28" i="45" s="1"/>
  <c r="G145" i="82"/>
  <c r="G150" i="82"/>
  <c r="G140" i="82"/>
  <c r="D99" i="82"/>
  <c r="D100" i="82" s="1"/>
  <c r="D51" i="82"/>
  <c r="D52" i="82" s="1"/>
  <c r="H99" i="82"/>
  <c r="H100" i="82" s="1"/>
  <c r="M99" i="82"/>
  <c r="M100" i="82" s="1"/>
  <c r="G99" i="82"/>
  <c r="G100" i="82" s="1"/>
  <c r="F99" i="82"/>
  <c r="F100" i="82" s="1"/>
  <c r="J99" i="82"/>
  <c r="J100" i="82" s="1"/>
  <c r="L99" i="82"/>
  <c r="L100" i="82" s="1"/>
  <c r="I99" i="82"/>
  <c r="I100" i="82" s="1"/>
  <c r="K99" i="82"/>
  <c r="K100" i="82" s="1"/>
  <c r="J51" i="82"/>
  <c r="J52" i="82" s="1"/>
  <c r="K51" i="82"/>
  <c r="K52" i="82" s="1"/>
  <c r="I51" i="82"/>
  <c r="I52" i="82" s="1"/>
  <c r="M51" i="82"/>
  <c r="M52" i="82" s="1"/>
  <c r="H51" i="82"/>
  <c r="H52" i="82" s="1"/>
  <c r="F51" i="82"/>
  <c r="F52" i="82" s="1"/>
  <c r="G51" i="82"/>
  <c r="G52" i="82" s="1"/>
  <c r="L51" i="82"/>
  <c r="L52" i="82" s="1"/>
  <c r="I32" i="82"/>
  <c r="I27" i="82"/>
  <c r="G28" i="103" l="1"/>
  <c r="H173" i="82"/>
  <c r="U28" i="45" s="1"/>
  <c r="I165" i="82"/>
  <c r="H166" i="82"/>
  <c r="I160" i="82"/>
  <c r="H161" i="82"/>
  <c r="I170" i="82"/>
  <c r="H171" i="82"/>
  <c r="I144" i="82"/>
  <c r="H145" i="82"/>
  <c r="I149" i="82"/>
  <c r="H150" i="82"/>
  <c r="I139" i="82"/>
  <c r="H152" i="82"/>
  <c r="U27" i="45" s="1"/>
  <c r="J32" i="82"/>
  <c r="J27" i="82"/>
  <c r="H28" i="103" l="1"/>
  <c r="O28" i="103" s="1"/>
  <c r="I152" i="82"/>
  <c r="V27" i="45" s="1"/>
  <c r="I173" i="82"/>
  <c r="V28" i="45" s="1"/>
  <c r="J165" i="82"/>
  <c r="I166" i="82"/>
  <c r="J160" i="82"/>
  <c r="I161" i="82"/>
  <c r="I171" i="82"/>
  <c r="J170" i="82"/>
  <c r="J144" i="82"/>
  <c r="I145" i="82"/>
  <c r="J149" i="82"/>
  <c r="I150" i="82"/>
  <c r="J139" i="82"/>
  <c r="I140" i="82"/>
  <c r="K32" i="82"/>
  <c r="K27" i="82"/>
  <c r="I28" i="103" l="1"/>
  <c r="J152" i="82"/>
  <c r="W27" i="45" s="1"/>
  <c r="K165" i="82"/>
  <c r="J166" i="82"/>
  <c r="K160" i="82"/>
  <c r="J161" i="82"/>
  <c r="J171" i="82"/>
  <c r="K170" i="82"/>
  <c r="J173" i="82"/>
  <c r="W28" i="45" s="1"/>
  <c r="K144" i="82"/>
  <c r="J145" i="82"/>
  <c r="K149" i="82"/>
  <c r="J150" i="82"/>
  <c r="K139" i="82"/>
  <c r="J140" i="82"/>
  <c r="L32" i="82"/>
  <c r="L27" i="82"/>
  <c r="J28" i="103" l="1"/>
  <c r="K152" i="82"/>
  <c r="X27" i="45" s="1"/>
  <c r="K173" i="82"/>
  <c r="X28" i="45" s="1"/>
  <c r="L165" i="82"/>
  <c r="K166" i="82"/>
  <c r="L160" i="82"/>
  <c r="K161" i="82"/>
  <c r="L170" i="82"/>
  <c r="K171" i="82"/>
  <c r="L144" i="82"/>
  <c r="K145" i="82"/>
  <c r="L149" i="82"/>
  <c r="K150" i="82"/>
  <c r="L139" i="82"/>
  <c r="K140" i="82"/>
  <c r="M32" i="82"/>
  <c r="M27" i="82"/>
  <c r="K28" i="103" l="1"/>
  <c r="M165" i="82"/>
  <c r="M166" i="82" s="1"/>
  <c r="L166" i="82"/>
  <c r="M160" i="82"/>
  <c r="M161" i="82" s="1"/>
  <c r="L161" i="82"/>
  <c r="M170" i="82"/>
  <c r="M171" i="82" s="1"/>
  <c r="L171" i="82"/>
  <c r="L173" i="82"/>
  <c r="Y28" i="45" s="1"/>
  <c r="L145" i="82"/>
  <c r="M144" i="82"/>
  <c r="M145" i="82" s="1"/>
  <c r="M149" i="82"/>
  <c r="M150" i="82" s="1"/>
  <c r="L150" i="82"/>
  <c r="M139" i="82"/>
  <c r="M140" i="82" s="1"/>
  <c r="L140" i="82"/>
  <c r="M152" i="82" s="1"/>
  <c r="Z27" i="45" s="1"/>
  <c r="L152" i="82"/>
  <c r="Y27" i="45" s="1"/>
  <c r="Z47" i="45"/>
  <c r="Y47" i="45"/>
  <c r="X47" i="45"/>
  <c r="W47" i="45"/>
  <c r="V47" i="45"/>
  <c r="U47" i="45"/>
  <c r="T47" i="45"/>
  <c r="Z46" i="45"/>
  <c r="Y46" i="45"/>
  <c r="X46" i="45"/>
  <c r="W46" i="45"/>
  <c r="V46" i="45"/>
  <c r="Z290" i="83"/>
  <c r="AA290" i="83" s="1"/>
  <c r="AB290" i="83" s="1"/>
  <c r="AC290" i="83" s="1"/>
  <c r="AD290" i="83" s="1"/>
  <c r="AE290" i="83" s="1"/>
  <c r="AF290" i="83" s="1"/>
  <c r="AG290" i="83" s="1"/>
  <c r="AH290" i="83" s="1"/>
  <c r="N290" i="83"/>
  <c r="O290" i="83" s="1"/>
  <c r="P290" i="83" s="1"/>
  <c r="Q290" i="83" s="1"/>
  <c r="R290" i="83" s="1"/>
  <c r="S290" i="83" s="1"/>
  <c r="T290" i="83" s="1"/>
  <c r="U290" i="83" s="1"/>
  <c r="V290" i="83" s="1"/>
  <c r="Z281" i="83"/>
  <c r="AA281" i="83" s="1"/>
  <c r="AB281" i="83" s="1"/>
  <c r="AC281" i="83" s="1"/>
  <c r="AD281" i="83" s="1"/>
  <c r="AE281" i="83" s="1"/>
  <c r="AF281" i="83" s="1"/>
  <c r="AG281" i="83" s="1"/>
  <c r="AH281" i="83" s="1"/>
  <c r="N281" i="83"/>
  <c r="O281" i="83" s="1"/>
  <c r="P281" i="83" s="1"/>
  <c r="Q281" i="83" s="1"/>
  <c r="R281" i="83" s="1"/>
  <c r="S281" i="83" s="1"/>
  <c r="T281" i="83" s="1"/>
  <c r="U281" i="83" s="1"/>
  <c r="V281" i="83" s="1"/>
  <c r="D30" i="81"/>
  <c r="D30" i="80"/>
  <c r="D30" i="77"/>
  <c r="M320" i="82"/>
  <c r="M321" i="82" s="1"/>
  <c r="L320" i="82"/>
  <c r="L321" i="82" s="1"/>
  <c r="K320" i="82"/>
  <c r="K321" i="82" s="1"/>
  <c r="J320" i="82"/>
  <c r="J321" i="82" s="1"/>
  <c r="I320" i="82"/>
  <c r="I321" i="82" s="1"/>
  <c r="H320" i="82"/>
  <c r="H321" i="82" s="1"/>
  <c r="G320" i="82"/>
  <c r="G321" i="82" s="1"/>
  <c r="F320" i="82"/>
  <c r="E320" i="82"/>
  <c r="E321" i="82" s="1"/>
  <c r="D320" i="82"/>
  <c r="D321" i="82" s="1"/>
  <c r="E323" i="82" s="1"/>
  <c r="F323" i="82" s="1"/>
  <c r="M314" i="82"/>
  <c r="M315" i="82" s="1"/>
  <c r="L314" i="82"/>
  <c r="L315" i="82" s="1"/>
  <c r="K314" i="82"/>
  <c r="K315" i="82" s="1"/>
  <c r="J314" i="82"/>
  <c r="J315" i="82" s="1"/>
  <c r="I314" i="82"/>
  <c r="I315" i="82" s="1"/>
  <c r="H314" i="82"/>
  <c r="H315" i="82" s="1"/>
  <c r="G314" i="82"/>
  <c r="G315" i="82" s="1"/>
  <c r="F314" i="82"/>
  <c r="F315" i="82" s="1"/>
  <c r="E314" i="82"/>
  <c r="E315" i="82" s="1"/>
  <c r="D314" i="82"/>
  <c r="D315" i="82" s="1"/>
  <c r="E317" i="82" s="1"/>
  <c r="F317" i="82" s="1"/>
  <c r="G317" i="82" s="1"/>
  <c r="H317" i="82" s="1"/>
  <c r="I317" i="82" s="1"/>
  <c r="J317" i="82" s="1"/>
  <c r="K317" i="82" s="1"/>
  <c r="L317" i="82" s="1"/>
  <c r="M317" i="82" s="1"/>
  <c r="E319" i="82"/>
  <c r="F319" i="82" s="1"/>
  <c r="G319" i="82" s="1"/>
  <c r="H319" i="82" s="1"/>
  <c r="I319" i="82" s="1"/>
  <c r="J319" i="82" s="1"/>
  <c r="K319" i="82" s="1"/>
  <c r="L319" i="82" s="1"/>
  <c r="M319" i="82" s="1"/>
  <c r="E313" i="82"/>
  <c r="F313" i="82" s="1"/>
  <c r="G313" i="82" s="1"/>
  <c r="H313" i="82" s="1"/>
  <c r="I313" i="82" s="1"/>
  <c r="J313" i="82" s="1"/>
  <c r="K313" i="82" s="1"/>
  <c r="L313" i="82" s="1"/>
  <c r="M313" i="82" s="1"/>
  <c r="M308" i="82"/>
  <c r="M309" i="82" s="1"/>
  <c r="L308" i="82"/>
  <c r="L309" i="82" s="1"/>
  <c r="K308" i="82"/>
  <c r="K309" i="82" s="1"/>
  <c r="J308" i="82"/>
  <c r="J309" i="82" s="1"/>
  <c r="I308" i="82"/>
  <c r="I309" i="82" s="1"/>
  <c r="H308" i="82"/>
  <c r="H309" i="82" s="1"/>
  <c r="G308" i="82"/>
  <c r="G309" i="82" s="1"/>
  <c r="F308" i="82"/>
  <c r="F309" i="82" s="1"/>
  <c r="E308" i="82"/>
  <c r="E309" i="82" s="1"/>
  <c r="D308" i="82"/>
  <c r="D309" i="82" s="1"/>
  <c r="E311" i="82" s="1"/>
  <c r="E307" i="82"/>
  <c r="F307" i="82" s="1"/>
  <c r="G307" i="82" s="1"/>
  <c r="H307" i="82" s="1"/>
  <c r="I307" i="82" s="1"/>
  <c r="J307" i="82" s="1"/>
  <c r="K307" i="82" s="1"/>
  <c r="L307" i="82" s="1"/>
  <c r="M307" i="82" s="1"/>
  <c r="J114" i="70"/>
  <c r="B48" i="101" s="1"/>
  <c r="M106" i="70"/>
  <c r="D55" i="101" s="1"/>
  <c r="L106" i="70"/>
  <c r="C55" i="101" s="1"/>
  <c r="K106" i="70"/>
  <c r="B55" i="101" s="1"/>
  <c r="E55" i="101" s="1"/>
  <c r="M98" i="70"/>
  <c r="D53" i="101" s="1"/>
  <c r="L98" i="70"/>
  <c r="C53" i="101" s="1"/>
  <c r="K98" i="70"/>
  <c r="B53" i="101" s="1"/>
  <c r="E53" i="101" s="1"/>
  <c r="E297" i="82"/>
  <c r="F297" i="82" s="1"/>
  <c r="G297" i="82" s="1"/>
  <c r="H297" i="82" s="1"/>
  <c r="I297" i="82" s="1"/>
  <c r="J297" i="82" s="1"/>
  <c r="K297" i="82" s="1"/>
  <c r="L297" i="82" s="1"/>
  <c r="M297" i="82" s="1"/>
  <c r="M281" i="82"/>
  <c r="L281" i="82"/>
  <c r="K281" i="82"/>
  <c r="J281" i="82"/>
  <c r="I281" i="82"/>
  <c r="H281" i="82"/>
  <c r="G281" i="82"/>
  <c r="F281" i="82"/>
  <c r="E281" i="82"/>
  <c r="D281" i="82"/>
  <c r="M280" i="82"/>
  <c r="L280" i="82"/>
  <c r="K280" i="82"/>
  <c r="J280" i="82"/>
  <c r="I280" i="82"/>
  <c r="H280" i="82"/>
  <c r="G280" i="82"/>
  <c r="F280" i="82"/>
  <c r="E280" i="82"/>
  <c r="D280" i="82"/>
  <c r="M279" i="82"/>
  <c r="L279" i="82"/>
  <c r="K279" i="82"/>
  <c r="J279" i="82"/>
  <c r="I279" i="82"/>
  <c r="H279" i="82"/>
  <c r="G279" i="82"/>
  <c r="F279" i="82"/>
  <c r="E279" i="82"/>
  <c r="D279" i="82"/>
  <c r="E278" i="82"/>
  <c r="F278" i="82" s="1"/>
  <c r="G278" i="82" s="1"/>
  <c r="H278" i="82" s="1"/>
  <c r="I278" i="82" s="1"/>
  <c r="J278" i="82" s="1"/>
  <c r="K278" i="82" s="1"/>
  <c r="L278" i="82" s="1"/>
  <c r="M278" i="82" s="1"/>
  <c r="B1" i="45"/>
  <c r="M31" i="82"/>
  <c r="M33" i="82" s="1"/>
  <c r="L31" i="82"/>
  <c r="L33" i="82" s="1"/>
  <c r="K31" i="82"/>
  <c r="K33" i="82" s="1"/>
  <c r="J31" i="82"/>
  <c r="J33" i="82" s="1"/>
  <c r="I31" i="82"/>
  <c r="I33" i="82" s="1"/>
  <c r="H31" i="82"/>
  <c r="H33" i="82" s="1"/>
  <c r="G31" i="82"/>
  <c r="G33" i="82" s="1"/>
  <c r="F31" i="82"/>
  <c r="F33" i="82" s="1"/>
  <c r="E31" i="82"/>
  <c r="E33" i="82" s="1"/>
  <c r="D31" i="82"/>
  <c r="D33" i="82" s="1"/>
  <c r="M26" i="82"/>
  <c r="M28" i="82" s="1"/>
  <c r="L26" i="82"/>
  <c r="L28" i="82" s="1"/>
  <c r="K26" i="82"/>
  <c r="K28" i="82" s="1"/>
  <c r="J26" i="82"/>
  <c r="J28" i="82" s="1"/>
  <c r="I26" i="82"/>
  <c r="I28" i="82" s="1"/>
  <c r="H26" i="82"/>
  <c r="H28" i="82" s="1"/>
  <c r="G26" i="82"/>
  <c r="G28" i="82" s="1"/>
  <c r="F26" i="82"/>
  <c r="F28" i="82" s="1"/>
  <c r="E26" i="82"/>
  <c r="E28" i="82" s="1"/>
  <c r="D26" i="82"/>
  <c r="D28" i="82" s="1"/>
  <c r="M21" i="82"/>
  <c r="L21" i="82"/>
  <c r="K21" i="82"/>
  <c r="J21" i="82"/>
  <c r="I21" i="82"/>
  <c r="H21" i="82"/>
  <c r="G21" i="82"/>
  <c r="F21" i="82"/>
  <c r="E21" i="82"/>
  <c r="D21" i="82"/>
  <c r="L28" i="103" l="1"/>
  <c r="K31" i="85"/>
  <c r="F311" i="82"/>
  <c r="G311" i="82" s="1"/>
  <c r="H311" i="82" s="1"/>
  <c r="I311" i="82" s="1"/>
  <c r="J311" i="82" s="1"/>
  <c r="K311" i="82" s="1"/>
  <c r="L311" i="82" s="1"/>
  <c r="M311" i="82" s="1"/>
  <c r="M31" i="85"/>
  <c r="O31" i="85"/>
  <c r="AA27" i="45"/>
  <c r="M173" i="82"/>
  <c r="Z28" i="45" s="1"/>
  <c r="M28" i="103" s="1"/>
  <c r="E291" i="82"/>
  <c r="E292" i="82" s="1"/>
  <c r="T72" i="45"/>
  <c r="G40" i="90"/>
  <c r="U72" i="45"/>
  <c r="H40" i="90"/>
  <c r="V72" i="45"/>
  <c r="I40" i="90"/>
  <c r="V71" i="45"/>
  <c r="I39" i="90"/>
  <c r="W71" i="45"/>
  <c r="J39" i="90"/>
  <c r="X71" i="45"/>
  <c r="K39" i="90"/>
  <c r="Y72" i="45"/>
  <c r="L40" i="90"/>
  <c r="W72" i="45"/>
  <c r="J40" i="90"/>
  <c r="X72" i="45"/>
  <c r="K40" i="90"/>
  <c r="Y71" i="45"/>
  <c r="L39" i="90"/>
  <c r="Z72" i="45"/>
  <c r="M40" i="90"/>
  <c r="Z71" i="45"/>
  <c r="M39" i="90"/>
  <c r="D291" i="82"/>
  <c r="D292" i="82" s="1"/>
  <c r="L291" i="82"/>
  <c r="L292" i="82" s="1"/>
  <c r="K291" i="82"/>
  <c r="K292" i="82" s="1"/>
  <c r="F291" i="82"/>
  <c r="F292" i="82" s="1"/>
  <c r="M291" i="82"/>
  <c r="M292" i="82" s="1"/>
  <c r="G291" i="82"/>
  <c r="G292" i="82" s="1"/>
  <c r="H291" i="82"/>
  <c r="H292" i="82" s="1"/>
  <c r="I291" i="82"/>
  <c r="I292" i="82" s="1"/>
  <c r="J291" i="82"/>
  <c r="J292" i="82" s="1"/>
  <c r="D283" i="82"/>
  <c r="D284" i="82" s="1"/>
  <c r="H283" i="82"/>
  <c r="H284" i="82" s="1"/>
  <c r="L283" i="82"/>
  <c r="L284" i="82" s="1"/>
  <c r="E283" i="82"/>
  <c r="E284" i="82" s="1"/>
  <c r="I283" i="82"/>
  <c r="I284" i="82" s="1"/>
  <c r="M283" i="82"/>
  <c r="M284" i="82" s="1"/>
  <c r="F283" i="82"/>
  <c r="F284" i="82" s="1"/>
  <c r="J283" i="82"/>
  <c r="J284" i="82" s="1"/>
  <c r="G283" i="82"/>
  <c r="G284" i="82" s="1"/>
  <c r="K283" i="82"/>
  <c r="K284" i="82" s="1"/>
  <c r="F321" i="82"/>
  <c r="G323" i="82" s="1"/>
  <c r="H323" i="82" s="1"/>
  <c r="I323" i="82" s="1"/>
  <c r="J323" i="82" s="1"/>
  <c r="K323" i="82" s="1"/>
  <c r="L323" i="82" s="1"/>
  <c r="M323" i="82" s="1"/>
  <c r="V81" i="45" l="1"/>
  <c r="I30" i="103"/>
  <c r="I45" i="103" s="1"/>
  <c r="W81" i="45"/>
  <c r="J30" i="103"/>
  <c r="J45" i="103" s="1"/>
  <c r="X81" i="45"/>
  <c r="K30" i="103"/>
  <c r="K45" i="103" s="1"/>
  <c r="Y81" i="45"/>
  <c r="L30" i="103"/>
  <c r="L45" i="103" s="1"/>
  <c r="Z81" i="45"/>
  <c r="M30" i="103"/>
  <c r="M45" i="103" s="1"/>
  <c r="K32" i="85"/>
  <c r="N33" i="103"/>
  <c r="O14" i="85"/>
  <c r="AA28" i="45"/>
  <c r="N10" i="89"/>
  <c r="M24" i="90"/>
  <c r="N27" i="89"/>
  <c r="J25" i="90"/>
  <c r="K11" i="89"/>
  <c r="K28" i="89"/>
  <c r="J10" i="89"/>
  <c r="I24" i="90"/>
  <c r="J27" i="89"/>
  <c r="N28" i="89"/>
  <c r="M25" i="90"/>
  <c r="N11" i="89"/>
  <c r="L25" i="90"/>
  <c r="M11" i="89"/>
  <c r="M28" i="89"/>
  <c r="I25" i="90"/>
  <c r="J11" i="89"/>
  <c r="J28" i="89"/>
  <c r="L24" i="90"/>
  <c r="M27" i="89"/>
  <c r="M10" i="89"/>
  <c r="L10" i="89"/>
  <c r="K24" i="90"/>
  <c r="L27" i="89"/>
  <c r="H25" i="90"/>
  <c r="I11" i="89"/>
  <c r="I28" i="89"/>
  <c r="L28" i="89"/>
  <c r="K25" i="90"/>
  <c r="L11" i="89"/>
  <c r="K10" i="89"/>
  <c r="J24" i="90"/>
  <c r="K27" i="89"/>
  <c r="H28" i="89"/>
  <c r="G25" i="90"/>
  <c r="H11" i="89"/>
  <c r="Q64" i="45"/>
  <c r="O32" i="85" l="1"/>
  <c r="M32" i="85"/>
  <c r="C4" i="81"/>
  <c r="C4" i="80"/>
  <c r="C4" i="77"/>
  <c r="E19" i="82"/>
  <c r="F19" i="82" s="1"/>
  <c r="G19" i="82" s="1"/>
  <c r="H19" i="82" s="1"/>
  <c r="I19" i="82" s="1"/>
  <c r="J19" i="82" s="1"/>
  <c r="K19" i="82" s="1"/>
  <c r="L19" i="82" s="1"/>
  <c r="M19" i="82" s="1"/>
  <c r="M205" i="83"/>
  <c r="M203" i="83"/>
  <c r="M167" i="83"/>
  <c r="M165" i="83"/>
  <c r="M127" i="83"/>
  <c r="M125" i="83"/>
  <c r="M89" i="83"/>
  <c r="M87" i="83"/>
  <c r="M245" i="83"/>
  <c r="M243" i="83"/>
  <c r="M49" i="83"/>
  <c r="M47" i="83"/>
  <c r="M11" i="83"/>
  <c r="D32" i="70"/>
  <c r="D19" i="70"/>
  <c r="D7" i="70"/>
  <c r="B52" i="101" l="1"/>
  <c r="D52" i="101"/>
  <c r="E265" i="83"/>
  <c r="E250" i="83"/>
  <c r="G265" i="83"/>
  <c r="G269" i="83" s="1"/>
  <c r="G250" i="83"/>
  <c r="G254" i="83" s="1"/>
  <c r="F265" i="83"/>
  <c r="F269" i="83" s="1"/>
  <c r="F250" i="83"/>
  <c r="F254" i="83" s="1"/>
  <c r="E225" i="83"/>
  <c r="E210" i="83"/>
  <c r="G225" i="83"/>
  <c r="G229" i="83" s="1"/>
  <c r="G210" i="83"/>
  <c r="G214" i="83" s="1"/>
  <c r="F225" i="83"/>
  <c r="F229" i="83" s="1"/>
  <c r="F210" i="83"/>
  <c r="F214" i="83" s="1"/>
  <c r="E187" i="83"/>
  <c r="E172" i="83"/>
  <c r="F187" i="83"/>
  <c r="F191" i="83" s="1"/>
  <c r="G187" i="83"/>
  <c r="G191" i="83" s="1"/>
  <c r="G172" i="83"/>
  <c r="G176" i="83" s="1"/>
  <c r="F172" i="83"/>
  <c r="F176" i="83" s="1"/>
  <c r="E147" i="83"/>
  <c r="E132" i="83"/>
  <c r="G147" i="83"/>
  <c r="G151" i="83" s="1"/>
  <c r="F147" i="83"/>
  <c r="F151" i="83" s="1"/>
  <c r="G132" i="83"/>
  <c r="G136" i="83" s="1"/>
  <c r="F132" i="83"/>
  <c r="F136" i="83" s="1"/>
  <c r="E109" i="83"/>
  <c r="E94" i="83"/>
  <c r="F109" i="83"/>
  <c r="F113" i="83" s="1"/>
  <c r="G109" i="83"/>
  <c r="G113" i="83" s="1"/>
  <c r="G94" i="83"/>
  <c r="G98" i="83" s="1"/>
  <c r="F94" i="83"/>
  <c r="F98" i="83" s="1"/>
  <c r="G69" i="83"/>
  <c r="G73" i="83" s="1"/>
  <c r="G54" i="83"/>
  <c r="G58" i="83" s="1"/>
  <c r="E69" i="83"/>
  <c r="F69" i="83"/>
  <c r="F73" i="83" s="1"/>
  <c r="F54" i="83"/>
  <c r="F58" i="83" s="1"/>
  <c r="E54" i="83"/>
  <c r="F27" i="81"/>
  <c r="G27" i="81" s="1"/>
  <c r="H27" i="81" s="1"/>
  <c r="I27" i="81" s="1"/>
  <c r="J27" i="81" s="1"/>
  <c r="K27" i="81" s="1"/>
  <c r="L27" i="81" s="1"/>
  <c r="M27" i="81" s="1"/>
  <c r="N27" i="81" s="1"/>
  <c r="F16" i="81"/>
  <c r="G16" i="81" s="1"/>
  <c r="H16" i="81" s="1"/>
  <c r="I16" i="81" s="1"/>
  <c r="J16" i="81" s="1"/>
  <c r="K16" i="81" s="1"/>
  <c r="L16" i="81" s="1"/>
  <c r="M16" i="81" s="1"/>
  <c r="N16" i="81" s="1"/>
  <c r="U46" i="45"/>
  <c r="S46" i="45"/>
  <c r="Q46" i="45"/>
  <c r="F27" i="80"/>
  <c r="G27" i="80" s="1"/>
  <c r="H27" i="80" s="1"/>
  <c r="I27" i="80" s="1"/>
  <c r="J27" i="80" s="1"/>
  <c r="K27" i="80" s="1"/>
  <c r="L27" i="80" s="1"/>
  <c r="M27" i="80" s="1"/>
  <c r="N27" i="80" s="1"/>
  <c r="F16" i="80"/>
  <c r="G16" i="80" s="1"/>
  <c r="H16" i="80" s="1"/>
  <c r="I16" i="80" s="1"/>
  <c r="J16" i="80" s="1"/>
  <c r="K16" i="80" s="1"/>
  <c r="L16" i="80" s="1"/>
  <c r="M16" i="80" s="1"/>
  <c r="N16" i="80" s="1"/>
  <c r="F27" i="77"/>
  <c r="G27" i="77" s="1"/>
  <c r="H27" i="77" s="1"/>
  <c r="I27" i="77" s="1"/>
  <c r="J27" i="77" s="1"/>
  <c r="K27" i="77" s="1"/>
  <c r="L27" i="77" s="1"/>
  <c r="M27" i="77" s="1"/>
  <c r="N27" i="77" s="1"/>
  <c r="H39" i="90" l="1"/>
  <c r="F39" i="90"/>
  <c r="D39" i="90"/>
  <c r="E267" i="83"/>
  <c r="E269" i="83"/>
  <c r="E271" i="83" s="1"/>
  <c r="F271" i="83" s="1"/>
  <c r="G271" i="83" s="1"/>
  <c r="E252" i="83"/>
  <c r="E254" i="83"/>
  <c r="E256" i="83" s="1"/>
  <c r="F256" i="83" s="1"/>
  <c r="G256" i="83" s="1"/>
  <c r="E227" i="83"/>
  <c r="E229" i="83"/>
  <c r="E231" i="83" s="1"/>
  <c r="F231" i="83" s="1"/>
  <c r="G231" i="83" s="1"/>
  <c r="E212" i="83"/>
  <c r="E214" i="83"/>
  <c r="E216" i="83" s="1"/>
  <c r="F216" i="83" s="1"/>
  <c r="G216" i="83" s="1"/>
  <c r="E189" i="83"/>
  <c r="E191" i="83"/>
  <c r="E193" i="83" s="1"/>
  <c r="F193" i="83" s="1"/>
  <c r="G193" i="83" s="1"/>
  <c r="E174" i="83"/>
  <c r="E176" i="83"/>
  <c r="E178" i="83" s="1"/>
  <c r="F178" i="83" s="1"/>
  <c r="G178" i="83" s="1"/>
  <c r="E134" i="83"/>
  <c r="E136" i="83"/>
  <c r="E138" i="83" s="1"/>
  <c r="F138" i="83" s="1"/>
  <c r="G138" i="83" s="1"/>
  <c r="E149" i="83"/>
  <c r="E151" i="83"/>
  <c r="E153" i="83" s="1"/>
  <c r="F153" i="83" s="1"/>
  <c r="G153" i="83" s="1"/>
  <c r="E111" i="83"/>
  <c r="E113" i="83"/>
  <c r="E115" i="83" s="1"/>
  <c r="F115" i="83" s="1"/>
  <c r="G115" i="83" s="1"/>
  <c r="E96" i="83"/>
  <c r="E98" i="83"/>
  <c r="E100" i="83" s="1"/>
  <c r="F100" i="83" s="1"/>
  <c r="G100" i="83" s="1"/>
  <c r="E73" i="83"/>
  <c r="E75" i="83" s="1"/>
  <c r="F75" i="83" s="1"/>
  <c r="G75" i="83" s="1"/>
  <c r="E71" i="83"/>
  <c r="E58" i="83"/>
  <c r="E60" i="83" s="1"/>
  <c r="F60" i="83" s="1"/>
  <c r="G60" i="83" s="1"/>
  <c r="E56" i="83"/>
  <c r="R46" i="45"/>
  <c r="U71" i="45"/>
  <c r="S71" i="45"/>
  <c r="Q71" i="45"/>
  <c r="T46" i="45"/>
  <c r="D20" i="80"/>
  <c r="D20" i="81"/>
  <c r="Q41" i="45"/>
  <c r="D32" i="103" s="1"/>
  <c r="D44" i="103" l="1"/>
  <c r="O32" i="103"/>
  <c r="U81" i="45"/>
  <c r="G24" i="95" s="1"/>
  <c r="H30" i="103"/>
  <c r="H45" i="103" s="1"/>
  <c r="S81" i="45"/>
  <c r="E24" i="95" s="1"/>
  <c r="F30" i="103"/>
  <c r="F45" i="103" s="1"/>
  <c r="Q81" i="45"/>
  <c r="C24" i="95" s="1"/>
  <c r="D30" i="103"/>
  <c r="G39" i="90"/>
  <c r="I10" i="89"/>
  <c r="H24" i="90"/>
  <c r="I27" i="89"/>
  <c r="D24" i="90"/>
  <c r="E27" i="89"/>
  <c r="E10" i="89"/>
  <c r="G10" i="89"/>
  <c r="F24" i="90"/>
  <c r="G27" i="89"/>
  <c r="R71" i="45"/>
  <c r="E39" i="90"/>
  <c r="E258" i="83"/>
  <c r="F258" i="83" s="1"/>
  <c r="G258" i="83" s="1"/>
  <c r="F252" i="83"/>
  <c r="G252" i="83" s="1"/>
  <c r="E273" i="83"/>
  <c r="F273" i="83" s="1"/>
  <c r="G273" i="83" s="1"/>
  <c r="F267" i="83"/>
  <c r="G267" i="83" s="1"/>
  <c r="E218" i="83"/>
  <c r="F218" i="83" s="1"/>
  <c r="G218" i="83" s="1"/>
  <c r="F212" i="83"/>
  <c r="G212" i="83" s="1"/>
  <c r="E233" i="83"/>
  <c r="F233" i="83" s="1"/>
  <c r="G233" i="83" s="1"/>
  <c r="F227" i="83"/>
  <c r="G227" i="83" s="1"/>
  <c r="E195" i="83"/>
  <c r="F195" i="83" s="1"/>
  <c r="G195" i="83" s="1"/>
  <c r="F189" i="83"/>
  <c r="G189" i="83" s="1"/>
  <c r="E180" i="83"/>
  <c r="F180" i="83" s="1"/>
  <c r="G180" i="83" s="1"/>
  <c r="F174" i="83"/>
  <c r="G174" i="83" s="1"/>
  <c r="E140" i="83"/>
  <c r="F140" i="83" s="1"/>
  <c r="G140" i="83" s="1"/>
  <c r="F134" i="83"/>
  <c r="G134" i="83" s="1"/>
  <c r="E155" i="83"/>
  <c r="F155" i="83" s="1"/>
  <c r="G155" i="83" s="1"/>
  <c r="F149" i="83"/>
  <c r="G149" i="83" s="1"/>
  <c r="E102" i="83"/>
  <c r="F102" i="83" s="1"/>
  <c r="G102" i="83" s="1"/>
  <c r="F96" i="83"/>
  <c r="G96" i="83" s="1"/>
  <c r="E117" i="83"/>
  <c r="F117" i="83" s="1"/>
  <c r="G117" i="83" s="1"/>
  <c r="F111" i="83"/>
  <c r="G111" i="83" s="1"/>
  <c r="F71" i="83"/>
  <c r="G71" i="83" s="1"/>
  <c r="E77" i="83"/>
  <c r="F77" i="83" s="1"/>
  <c r="G77" i="83" s="1"/>
  <c r="F56" i="83"/>
  <c r="G56" i="83" s="1"/>
  <c r="E62" i="83"/>
  <c r="F62" i="83" s="1"/>
  <c r="G62" i="83" s="1"/>
  <c r="Q44" i="45"/>
  <c r="Q47" i="45"/>
  <c r="D40" i="90" s="1"/>
  <c r="K44" i="85"/>
  <c r="D28" i="81"/>
  <c r="T71" i="45"/>
  <c r="D29" i="81"/>
  <c r="D29" i="80"/>
  <c r="D28" i="80"/>
  <c r="R47" i="45"/>
  <c r="E40" i="90" s="1"/>
  <c r="D45" i="103" l="1"/>
  <c r="O44" i="103"/>
  <c r="N44" i="103"/>
  <c r="T81" i="45"/>
  <c r="F24" i="95" s="1"/>
  <c r="G30" i="103"/>
  <c r="G45" i="103" s="1"/>
  <c r="R81" i="45"/>
  <c r="D24" i="95" s="1"/>
  <c r="H24" i="95" s="1"/>
  <c r="E30" i="103"/>
  <c r="E45" i="103" s="1"/>
  <c r="M44" i="85"/>
  <c r="U15" i="85" s="1"/>
  <c r="N39" i="90"/>
  <c r="Q70" i="45"/>
  <c r="AA71" i="45"/>
  <c r="D38" i="90"/>
  <c r="Q48" i="45"/>
  <c r="F10" i="89"/>
  <c r="E24" i="90"/>
  <c r="F27" i="89"/>
  <c r="G24" i="90"/>
  <c r="H27" i="89"/>
  <c r="H10" i="89"/>
  <c r="R72" i="45"/>
  <c r="Q72" i="45"/>
  <c r="S47" i="45"/>
  <c r="F40" i="90" s="1"/>
  <c r="AP39" i="90" s="1"/>
  <c r="R44" i="45"/>
  <c r="V44" i="45"/>
  <c r="W44" i="45"/>
  <c r="U44" i="45"/>
  <c r="K45" i="85"/>
  <c r="X44" i="45"/>
  <c r="T44" i="45"/>
  <c r="Y44" i="45"/>
  <c r="S44" i="45"/>
  <c r="O45" i="103" l="1"/>
  <c r="O30" i="103"/>
  <c r="N45" i="103"/>
  <c r="D23" i="90"/>
  <c r="Q80" i="45"/>
  <c r="C22" i="95" s="1"/>
  <c r="C28" i="95" s="1"/>
  <c r="M45" i="85"/>
  <c r="K48" i="85"/>
  <c r="F30" i="88" s="1"/>
  <c r="N24" i="90"/>
  <c r="N40" i="90"/>
  <c r="J38" i="90"/>
  <c r="W70" i="45"/>
  <c r="W48" i="45"/>
  <c r="I38" i="90"/>
  <c r="V48" i="45"/>
  <c r="V70" i="45"/>
  <c r="H38" i="90"/>
  <c r="U48" i="45"/>
  <c r="U70" i="45"/>
  <c r="E38" i="90"/>
  <c r="R70" i="45"/>
  <c r="R48" i="45"/>
  <c r="G38" i="90"/>
  <c r="T70" i="45"/>
  <c r="T48" i="45"/>
  <c r="K38" i="90"/>
  <c r="X70" i="45"/>
  <c r="X48" i="45"/>
  <c r="L38" i="90"/>
  <c r="Y70" i="45"/>
  <c r="Y48" i="45"/>
  <c r="F38" i="90"/>
  <c r="S70" i="45"/>
  <c r="S48" i="45"/>
  <c r="E25" i="90"/>
  <c r="F11" i="89"/>
  <c r="F28" i="89"/>
  <c r="E28" i="89"/>
  <c r="E11" i="89"/>
  <c r="D25" i="90"/>
  <c r="S72" i="45"/>
  <c r="AA72" i="45" s="1"/>
  <c r="Z44" i="45"/>
  <c r="D23" i="77"/>
  <c r="F16" i="77"/>
  <c r="G16" i="77" s="1"/>
  <c r="H16" i="77" s="1"/>
  <c r="I16" i="77" s="1"/>
  <c r="J16" i="77" s="1"/>
  <c r="K16" i="77" s="1"/>
  <c r="L16" i="77" s="1"/>
  <c r="M16" i="77" s="1"/>
  <c r="N16" i="77" s="1"/>
  <c r="K45" i="70"/>
  <c r="J45" i="70"/>
  <c r="I45" i="70"/>
  <c r="K44" i="70"/>
  <c r="J44" i="70"/>
  <c r="I44" i="70"/>
  <c r="L24" i="70"/>
  <c r="K24" i="70"/>
  <c r="J24" i="70"/>
  <c r="C13" i="97" l="1"/>
  <c r="D50" i="90"/>
  <c r="E50" i="90"/>
  <c r="J23" i="90"/>
  <c r="W80" i="45"/>
  <c r="I23" i="90"/>
  <c r="V80" i="45"/>
  <c r="H23" i="90"/>
  <c r="U80" i="45"/>
  <c r="G22" i="95" s="1"/>
  <c r="G28" i="95" s="1"/>
  <c r="E23" i="90"/>
  <c r="R80" i="45"/>
  <c r="D22" i="95" s="1"/>
  <c r="G23" i="90"/>
  <c r="T80" i="45"/>
  <c r="F22" i="95" s="1"/>
  <c r="F28" i="95" s="1"/>
  <c r="K23" i="90"/>
  <c r="X80" i="45"/>
  <c r="L23" i="90"/>
  <c r="Y80" i="45"/>
  <c r="F23" i="90"/>
  <c r="S80" i="45"/>
  <c r="E22" i="95" s="1"/>
  <c r="E28" i="95" s="1"/>
  <c r="M48" i="85"/>
  <c r="M38" i="90"/>
  <c r="H7" i="97" s="1"/>
  <c r="Z70" i="45"/>
  <c r="Z48" i="45"/>
  <c r="G11" i="89"/>
  <c r="F25" i="90"/>
  <c r="AP22" i="90" s="1"/>
  <c r="G28" i="89"/>
  <c r="U16" i="85"/>
  <c r="L124" i="70"/>
  <c r="M124" i="70"/>
  <c r="M125" i="70" s="1"/>
  <c r="C322" i="82" s="1"/>
  <c r="F13" i="97" l="1"/>
  <c r="E51" i="90"/>
  <c r="B68" i="101"/>
  <c r="B69" i="101"/>
  <c r="N38" i="90"/>
  <c r="H22" i="95"/>
  <c r="H28" i="95" s="1"/>
  <c r="D28" i="95"/>
  <c r="AA70" i="45"/>
  <c r="Z80" i="45"/>
  <c r="M23" i="90"/>
  <c r="N25" i="90"/>
  <c r="D322" i="82"/>
  <c r="L125" i="70"/>
  <c r="J125" i="70" s="1"/>
  <c r="C118" i="70" s="1"/>
  <c r="G16" i="83"/>
  <c r="K46" i="67"/>
  <c r="B7" i="97" l="1"/>
  <c r="C51" i="90"/>
  <c r="N23" i="90"/>
  <c r="D51" i="90" s="1"/>
  <c r="E322" i="82"/>
  <c r="C13" i="85"/>
  <c r="E13" i="85" s="1"/>
  <c r="C12" i="45"/>
  <c r="D12" i="45" s="1"/>
  <c r="E12" i="45" s="1"/>
  <c r="F12" i="45" s="1"/>
  <c r="G12" i="45" s="1"/>
  <c r="H12" i="45" s="1"/>
  <c r="I12" i="45" s="1"/>
  <c r="J12" i="45" s="1"/>
  <c r="K12" i="45" s="1"/>
  <c r="L12" i="45" s="1"/>
  <c r="M12" i="45" s="1"/>
  <c r="C316" i="82"/>
  <c r="I46" i="70"/>
  <c r="C17" i="82"/>
  <c r="G20" i="83"/>
  <c r="G22" i="83" s="1"/>
  <c r="G18" i="83"/>
  <c r="K39" i="67"/>
  <c r="F322" i="82" l="1"/>
  <c r="C86" i="82"/>
  <c r="K46" i="70"/>
  <c r="D316" i="82"/>
  <c r="G13" i="85"/>
  <c r="C63" i="45"/>
  <c r="G24" i="83"/>
  <c r="C17" i="87" l="1"/>
  <c r="E17" i="87" s="1"/>
  <c r="C8" i="103"/>
  <c r="C24" i="103" s="1"/>
  <c r="G322" i="82"/>
  <c r="E316" i="82"/>
  <c r="I13" i="85"/>
  <c r="F131" i="82"/>
  <c r="H116" i="82"/>
  <c r="M131" i="82"/>
  <c r="E131" i="82"/>
  <c r="G116" i="82"/>
  <c r="L131" i="82"/>
  <c r="F116" i="82"/>
  <c r="K131" i="82"/>
  <c r="M116" i="82"/>
  <c r="E116" i="82"/>
  <c r="J131" i="82"/>
  <c r="L116" i="82"/>
  <c r="I131" i="82"/>
  <c r="K116" i="82"/>
  <c r="I116" i="82"/>
  <c r="H131" i="82"/>
  <c r="J116" i="82"/>
  <c r="G131" i="82"/>
  <c r="F101" i="82"/>
  <c r="E101" i="82"/>
  <c r="L101" i="82"/>
  <c r="J101" i="82"/>
  <c r="M101" i="82"/>
  <c r="I101" i="82"/>
  <c r="G101" i="82"/>
  <c r="H101" i="82"/>
  <c r="K101" i="82"/>
  <c r="C131" i="82"/>
  <c r="D131" i="82" s="1"/>
  <c r="C116" i="82"/>
  <c r="D116" i="82" s="1"/>
  <c r="C101" i="82"/>
  <c r="D101" i="82" s="1"/>
  <c r="H322" i="82" l="1"/>
  <c r="F316" i="82"/>
  <c r="Q26" i="45"/>
  <c r="Y26" i="45"/>
  <c r="R26" i="45"/>
  <c r="W26" i="45"/>
  <c r="Z26" i="45"/>
  <c r="V26" i="45"/>
  <c r="S26" i="45"/>
  <c r="U26" i="45"/>
  <c r="X26" i="45"/>
  <c r="T26" i="45"/>
  <c r="K30" i="85" l="1"/>
  <c r="M30" i="85" s="1"/>
  <c r="I322" i="82"/>
  <c r="G316" i="82"/>
  <c r="K66" i="70"/>
  <c r="I75" i="70" s="1"/>
  <c r="AA26" i="45"/>
  <c r="I43" i="70"/>
  <c r="C310" i="82"/>
  <c r="D310" i="82" s="1"/>
  <c r="E310" i="82" s="1"/>
  <c r="I47" i="70" l="1"/>
  <c r="B17" i="101"/>
  <c r="J322" i="82"/>
  <c r="H316" i="82"/>
  <c r="C22" i="82"/>
  <c r="D22" i="82" s="1"/>
  <c r="C23" i="82"/>
  <c r="C35" i="82" s="1"/>
  <c r="D35" i="82" s="1"/>
  <c r="C17" i="101" l="1"/>
  <c r="C28" i="85"/>
  <c r="C24" i="45"/>
  <c r="C10" i="103" s="1"/>
  <c r="C26" i="103" s="1"/>
  <c r="K322" i="82"/>
  <c r="I316" i="82"/>
  <c r="Q12" i="45"/>
  <c r="Q63" i="45" s="1"/>
  <c r="D24" i="103" s="1"/>
  <c r="R13" i="45"/>
  <c r="D23" i="82"/>
  <c r="E35" i="82" s="1"/>
  <c r="E22" i="82"/>
  <c r="F22" i="82" s="1"/>
  <c r="F23" i="82" s="1"/>
  <c r="M63" i="45"/>
  <c r="K63" i="45"/>
  <c r="D63" i="45"/>
  <c r="D8" i="103" s="1"/>
  <c r="E63" i="45"/>
  <c r="F63" i="45"/>
  <c r="L63" i="45"/>
  <c r="G63" i="45"/>
  <c r="H63" i="45"/>
  <c r="I63" i="45"/>
  <c r="J63" i="45"/>
  <c r="D24" i="45" l="1"/>
  <c r="D10" i="103" s="1"/>
  <c r="C19" i="87"/>
  <c r="E19" i="87" s="1"/>
  <c r="G28" i="85"/>
  <c r="I28" i="85" s="1"/>
  <c r="E28" i="85"/>
  <c r="L322" i="82"/>
  <c r="J316" i="82"/>
  <c r="R64" i="45"/>
  <c r="R12" i="45"/>
  <c r="R63" i="45" s="1"/>
  <c r="E24" i="103" s="1"/>
  <c r="F310" i="82"/>
  <c r="S13" i="45"/>
  <c r="E23" i="82"/>
  <c r="N63" i="45"/>
  <c r="E24" i="45" l="1"/>
  <c r="E10" i="103" s="1"/>
  <c r="Q24" i="45"/>
  <c r="D26" i="103" s="1"/>
  <c r="M322" i="82"/>
  <c r="K316" i="82"/>
  <c r="S12" i="45"/>
  <c r="S63" i="45" s="1"/>
  <c r="T13" i="45"/>
  <c r="G310" i="82"/>
  <c r="S64" i="45"/>
  <c r="F35" i="82"/>
  <c r="G22" i="82"/>
  <c r="F24" i="103" l="1"/>
  <c r="R24" i="45"/>
  <c r="E26" i="103" s="1"/>
  <c r="F24" i="45"/>
  <c r="F10" i="103" s="1"/>
  <c r="L316" i="82"/>
  <c r="T12" i="45"/>
  <c r="T63" i="45" s="1"/>
  <c r="H310" i="82"/>
  <c r="U13" i="45"/>
  <c r="T64" i="45"/>
  <c r="G35" i="82"/>
  <c r="H22" i="82"/>
  <c r="G23" i="82"/>
  <c r="G24" i="103" l="1"/>
  <c r="S24" i="45"/>
  <c r="F26" i="103" s="1"/>
  <c r="G24" i="45"/>
  <c r="G10" i="103" s="1"/>
  <c r="M316" i="82"/>
  <c r="U12" i="45"/>
  <c r="U63" i="45" s="1"/>
  <c r="I310" i="82"/>
  <c r="V13" i="45"/>
  <c r="U64" i="45"/>
  <c r="H35" i="82"/>
  <c r="I22" i="82"/>
  <c r="H23" i="82"/>
  <c r="J43" i="70"/>
  <c r="B18" i="101" s="1"/>
  <c r="H24" i="103" l="1"/>
  <c r="O24" i="103" s="1"/>
  <c r="T24" i="45"/>
  <c r="G26" i="103" s="1"/>
  <c r="H24" i="45"/>
  <c r="H10" i="103" s="1"/>
  <c r="O10" i="103" s="1"/>
  <c r="V12" i="45"/>
  <c r="V63" i="45" s="1"/>
  <c r="W13" i="45"/>
  <c r="W64" i="45" s="1"/>
  <c r="J310" i="82"/>
  <c r="V64" i="45"/>
  <c r="I35" i="82"/>
  <c r="J22" i="82"/>
  <c r="I23" i="82"/>
  <c r="K64" i="67"/>
  <c r="K60" i="67"/>
  <c r="I89" i="70" s="1"/>
  <c r="I90" i="70" s="1"/>
  <c r="K52" i="67"/>
  <c r="I79" i="70" s="1"/>
  <c r="I76" i="70"/>
  <c r="I77" i="70" s="1"/>
  <c r="K34" i="67"/>
  <c r="O36" i="70" s="1"/>
  <c r="K38" i="67"/>
  <c r="K33" i="67"/>
  <c r="N36" i="70" s="1"/>
  <c r="K32" i="67"/>
  <c r="M36" i="70" s="1"/>
  <c r="K31" i="67"/>
  <c r="L36" i="70" s="1"/>
  <c r="K25" i="67"/>
  <c r="L35" i="70" s="1"/>
  <c r="B44" i="101" s="1"/>
  <c r="K30" i="67"/>
  <c r="K24" i="67"/>
  <c r="K11" i="67"/>
  <c r="I24" i="103" l="1"/>
  <c r="C9" i="102"/>
  <c r="D11" i="96"/>
  <c r="F11" i="96"/>
  <c r="F12" i="96"/>
  <c r="F13" i="96"/>
  <c r="G13" i="96" s="1"/>
  <c r="H13" i="96" s="1"/>
  <c r="U24" i="45"/>
  <c r="H26" i="103" s="1"/>
  <c r="O26" i="103" s="1"/>
  <c r="I24" i="45"/>
  <c r="I10" i="103" s="1"/>
  <c r="C86" i="70"/>
  <c r="B29" i="101"/>
  <c r="I83" i="70"/>
  <c r="C60" i="70" s="1"/>
  <c r="B10" i="101"/>
  <c r="I80" i="70"/>
  <c r="W12" i="45"/>
  <c r="K310" i="82"/>
  <c r="X13" i="45"/>
  <c r="P162" i="70"/>
  <c r="N162" i="70"/>
  <c r="L162" i="70"/>
  <c r="I162" i="70"/>
  <c r="I155" i="70"/>
  <c r="S155" i="70"/>
  <c r="M155" i="70"/>
  <c r="F352" i="82"/>
  <c r="M339" i="82"/>
  <c r="Q148" i="70"/>
  <c r="J148" i="70"/>
  <c r="H339" i="82"/>
  <c r="C352" i="82"/>
  <c r="E365" i="82"/>
  <c r="I352" i="82"/>
  <c r="Q162" i="70"/>
  <c r="G339" i="82"/>
  <c r="R162" i="70"/>
  <c r="C339" i="82"/>
  <c r="I365" i="82"/>
  <c r="H352" i="82"/>
  <c r="I339" i="82"/>
  <c r="E339" i="82"/>
  <c r="J162" i="70"/>
  <c r="N155" i="70"/>
  <c r="O155" i="70"/>
  <c r="Q155" i="70"/>
  <c r="L155" i="70"/>
  <c r="K365" i="82"/>
  <c r="H365" i="82"/>
  <c r="P148" i="70"/>
  <c r="L148" i="70"/>
  <c r="R148" i="70"/>
  <c r="K148" i="70"/>
  <c r="K352" i="82"/>
  <c r="O148" i="70"/>
  <c r="L365" i="82"/>
  <c r="F365" i="82"/>
  <c r="L352" i="82"/>
  <c r="E352" i="82"/>
  <c r="L339" i="82"/>
  <c r="S162" i="70"/>
  <c r="R155" i="70"/>
  <c r="J155" i="70"/>
  <c r="N148" i="70"/>
  <c r="I148" i="70"/>
  <c r="M365" i="82"/>
  <c r="J365" i="82"/>
  <c r="G365" i="82"/>
  <c r="J352" i="82"/>
  <c r="J339" i="82"/>
  <c r="D339" i="82"/>
  <c r="O162" i="70"/>
  <c r="M162" i="70"/>
  <c r="K162" i="70"/>
  <c r="P155" i="70"/>
  <c r="K155" i="70"/>
  <c r="S148" i="70"/>
  <c r="M148" i="70"/>
  <c r="C365" i="82"/>
  <c r="D365" i="82"/>
  <c r="M352" i="82"/>
  <c r="G352" i="82"/>
  <c r="D352" i="82"/>
  <c r="K339" i="82"/>
  <c r="F339" i="82"/>
  <c r="I160" i="70"/>
  <c r="I161" i="70" s="1"/>
  <c r="J332" i="82"/>
  <c r="J333" i="82" s="1"/>
  <c r="J338" i="82" s="1"/>
  <c r="Q153" i="70"/>
  <c r="Q154" i="70" s="1"/>
  <c r="J153" i="70"/>
  <c r="J154" i="70" s="1"/>
  <c r="Q160" i="70"/>
  <c r="Q161" i="70" s="1"/>
  <c r="P146" i="70"/>
  <c r="P147" i="70" s="1"/>
  <c r="I146" i="70"/>
  <c r="I147" i="70" s="1"/>
  <c r="H358" i="82"/>
  <c r="H359" i="82" s="1"/>
  <c r="H364" i="82" s="1"/>
  <c r="D358" i="82"/>
  <c r="D359" i="82" s="1"/>
  <c r="D364" i="82" s="1"/>
  <c r="H345" i="82"/>
  <c r="H346" i="82" s="1"/>
  <c r="H351" i="82" s="1"/>
  <c r="M332" i="82"/>
  <c r="M333" i="82" s="1"/>
  <c r="M338" i="82" s="1"/>
  <c r="G332" i="82"/>
  <c r="G333" i="82" s="1"/>
  <c r="G338" i="82" s="1"/>
  <c r="P153" i="70"/>
  <c r="P154" i="70" s="1"/>
  <c r="L153" i="70"/>
  <c r="L154" i="70" s="1"/>
  <c r="N146" i="70"/>
  <c r="N147" i="70" s="1"/>
  <c r="N149" i="70" s="1"/>
  <c r="L358" i="82"/>
  <c r="L359" i="82" s="1"/>
  <c r="L364" i="82" s="1"/>
  <c r="C358" i="82"/>
  <c r="C359" i="82" s="1"/>
  <c r="C364" i="82" s="1"/>
  <c r="C366" i="82" s="1"/>
  <c r="M146" i="70"/>
  <c r="M147" i="70" s="1"/>
  <c r="M149" i="70" s="1"/>
  <c r="J345" i="82"/>
  <c r="J346" i="82" s="1"/>
  <c r="J351" i="82" s="1"/>
  <c r="P160" i="70"/>
  <c r="P161" i="70" s="1"/>
  <c r="M160" i="70"/>
  <c r="M161" i="70" s="1"/>
  <c r="D345" i="82"/>
  <c r="D346" i="82" s="1"/>
  <c r="D351" i="82" s="1"/>
  <c r="D332" i="82"/>
  <c r="D333" i="82" s="1"/>
  <c r="D338" i="82" s="1"/>
  <c r="N153" i="70"/>
  <c r="N154" i="70" s="1"/>
  <c r="I153" i="70"/>
  <c r="I154" i="70" s="1"/>
  <c r="N160" i="70"/>
  <c r="N161" i="70" s="1"/>
  <c r="J160" i="70"/>
  <c r="J161" i="70" s="1"/>
  <c r="O146" i="70"/>
  <c r="O147" i="70" s="1"/>
  <c r="O149" i="70" s="1"/>
  <c r="J146" i="70"/>
  <c r="J147" i="70" s="1"/>
  <c r="I358" i="82"/>
  <c r="I359" i="82" s="1"/>
  <c r="I364" i="82" s="1"/>
  <c r="E358" i="82"/>
  <c r="E359" i="82" s="1"/>
  <c r="E364" i="82" s="1"/>
  <c r="K345" i="82"/>
  <c r="K346" i="82" s="1"/>
  <c r="K351" i="82" s="1"/>
  <c r="E345" i="82"/>
  <c r="E346" i="82" s="1"/>
  <c r="E351" i="82" s="1"/>
  <c r="K332" i="82"/>
  <c r="K333" i="82" s="1"/>
  <c r="K338" i="82" s="1"/>
  <c r="F332" i="82"/>
  <c r="F333" i="82" s="1"/>
  <c r="F338" i="82" s="1"/>
  <c r="R153" i="70"/>
  <c r="R154" i="70" s="1"/>
  <c r="R156" i="70" s="1"/>
  <c r="K153" i="70"/>
  <c r="K154" i="70" s="1"/>
  <c r="K156" i="70" s="1"/>
  <c r="R146" i="70"/>
  <c r="R147" i="70" s="1"/>
  <c r="L146" i="70"/>
  <c r="L147" i="70" s="1"/>
  <c r="K358" i="82"/>
  <c r="K359" i="82" s="1"/>
  <c r="K364" i="82" s="1"/>
  <c r="G358" i="82"/>
  <c r="G359" i="82" s="1"/>
  <c r="G364" i="82" s="1"/>
  <c r="I345" i="82"/>
  <c r="I346" i="82" s="1"/>
  <c r="I351" i="82" s="1"/>
  <c r="C345" i="82"/>
  <c r="C346" i="82" s="1"/>
  <c r="C351" i="82" s="1"/>
  <c r="I332" i="82"/>
  <c r="I333" i="82" s="1"/>
  <c r="I338" i="82" s="1"/>
  <c r="R160" i="70"/>
  <c r="R161" i="70" s="1"/>
  <c r="K160" i="70"/>
  <c r="K161" i="70" s="1"/>
  <c r="K163" i="70" s="1"/>
  <c r="S160" i="70"/>
  <c r="S161" i="70" s="1"/>
  <c r="S163" i="70" s="1"/>
  <c r="L160" i="70"/>
  <c r="L161" i="70" s="1"/>
  <c r="O153" i="70"/>
  <c r="O154" i="70" s="1"/>
  <c r="S153" i="70"/>
  <c r="S154" i="70" s="1"/>
  <c r="M153" i="70"/>
  <c r="M154" i="70" s="1"/>
  <c r="Q146" i="70"/>
  <c r="Q147" i="70" s="1"/>
  <c r="K146" i="70"/>
  <c r="K147" i="70" s="1"/>
  <c r="J358" i="82"/>
  <c r="J359" i="82" s="1"/>
  <c r="J364" i="82" s="1"/>
  <c r="F358" i="82"/>
  <c r="F359" i="82" s="1"/>
  <c r="F364" i="82" s="1"/>
  <c r="M345" i="82"/>
  <c r="M346" i="82" s="1"/>
  <c r="M351" i="82" s="1"/>
  <c r="G345" i="82"/>
  <c r="G346" i="82" s="1"/>
  <c r="G351" i="82" s="1"/>
  <c r="C332" i="82"/>
  <c r="C333" i="82" s="1"/>
  <c r="H332" i="82"/>
  <c r="H333" i="82" s="1"/>
  <c r="H338" i="82" s="1"/>
  <c r="S146" i="70"/>
  <c r="S147" i="70" s="1"/>
  <c r="S149" i="70" s="1"/>
  <c r="M358" i="82"/>
  <c r="M359" i="82" s="1"/>
  <c r="M364" i="82" s="1"/>
  <c r="L345" i="82"/>
  <c r="L346" i="82" s="1"/>
  <c r="L351" i="82" s="1"/>
  <c r="F345" i="82"/>
  <c r="F346" i="82" s="1"/>
  <c r="F351" i="82" s="1"/>
  <c r="L332" i="82"/>
  <c r="L333" i="82" s="1"/>
  <c r="L338" i="82" s="1"/>
  <c r="E332" i="82"/>
  <c r="E333" i="82" s="1"/>
  <c r="E338" i="82" s="1"/>
  <c r="O160" i="70"/>
  <c r="O161" i="70" s="1"/>
  <c r="O163" i="70" s="1"/>
  <c r="J46" i="70"/>
  <c r="J47" i="70" s="1"/>
  <c r="C38" i="82"/>
  <c r="D121" i="68"/>
  <c r="H10" i="98" s="1"/>
  <c r="H4" i="98" s="1"/>
  <c r="N4" i="98" s="1"/>
  <c r="D82" i="68"/>
  <c r="H9" i="98" s="1"/>
  <c r="J35" i="82"/>
  <c r="K36" i="70"/>
  <c r="I36" i="70"/>
  <c r="J36" i="70"/>
  <c r="K22" i="82"/>
  <c r="J23" i="82"/>
  <c r="L37" i="70"/>
  <c r="D12" i="96" l="1"/>
  <c r="E11" i="96"/>
  <c r="J11" i="96" s="1"/>
  <c r="Q9" i="96" s="1"/>
  <c r="G11" i="96"/>
  <c r="G12" i="96"/>
  <c r="H12" i="96" s="1"/>
  <c r="F14" i="96"/>
  <c r="E341" i="82"/>
  <c r="V24" i="45"/>
  <c r="I26" i="103" s="1"/>
  <c r="J24" i="45"/>
  <c r="J10" i="103" s="1"/>
  <c r="F354" i="82"/>
  <c r="B12" i="101"/>
  <c r="C21" i="45"/>
  <c r="C300" i="82"/>
  <c r="C295" i="82"/>
  <c r="D295" i="82" s="1"/>
  <c r="C24" i="85"/>
  <c r="G367" i="82"/>
  <c r="B34" i="101"/>
  <c r="H3" i="98"/>
  <c r="N3" i="98" s="1"/>
  <c r="H11" i="98"/>
  <c r="C29" i="85"/>
  <c r="C18" i="101"/>
  <c r="C338" i="82"/>
  <c r="C340" i="82" s="1"/>
  <c r="B33" i="101"/>
  <c r="M354" i="82"/>
  <c r="J341" i="82"/>
  <c r="H354" i="82"/>
  <c r="K367" i="82"/>
  <c r="J367" i="82"/>
  <c r="F367" i="82"/>
  <c r="H341" i="82"/>
  <c r="M367" i="82"/>
  <c r="L354" i="82"/>
  <c r="L341" i="82"/>
  <c r="K366" i="82"/>
  <c r="D340" i="82"/>
  <c r="D353" i="82"/>
  <c r="H340" i="82"/>
  <c r="I353" i="82"/>
  <c r="I340" i="82"/>
  <c r="E340" i="82"/>
  <c r="K353" i="82"/>
  <c r="D366" i="82"/>
  <c r="F353" i="82"/>
  <c r="G340" i="82"/>
  <c r="H353" i="82"/>
  <c r="J353" i="82"/>
  <c r="M340" i="82"/>
  <c r="E366" i="82"/>
  <c r="I366" i="82"/>
  <c r="H366" i="82"/>
  <c r="I341" i="82"/>
  <c r="G354" i="82"/>
  <c r="J163" i="70"/>
  <c r="D354" i="82"/>
  <c r="W63" i="45"/>
  <c r="J24" i="103" s="1"/>
  <c r="X12" i="45"/>
  <c r="L310" i="82"/>
  <c r="Y13" i="45"/>
  <c r="Y64" i="45" s="1"/>
  <c r="X64" i="45"/>
  <c r="L366" i="82"/>
  <c r="F366" i="82"/>
  <c r="L353" i="82"/>
  <c r="E353" i="82"/>
  <c r="L340" i="82"/>
  <c r="M366" i="82"/>
  <c r="N366" i="82" s="1"/>
  <c r="J366" i="82"/>
  <c r="G366" i="82"/>
  <c r="J340" i="82"/>
  <c r="M353" i="82"/>
  <c r="G353" i="82"/>
  <c r="K340" i="82"/>
  <c r="F340" i="82"/>
  <c r="I163" i="70"/>
  <c r="T163" i="70" s="1"/>
  <c r="Q156" i="70"/>
  <c r="Q149" i="70"/>
  <c r="J156" i="70"/>
  <c r="Q163" i="70"/>
  <c r="P149" i="70"/>
  <c r="I149" i="70"/>
  <c r="H367" i="82"/>
  <c r="D367" i="82"/>
  <c r="M341" i="82"/>
  <c r="G341" i="82"/>
  <c r="P156" i="70"/>
  <c r="L156" i="70"/>
  <c r="L367" i="82"/>
  <c r="R163" i="70"/>
  <c r="O156" i="70"/>
  <c r="O166" i="70" s="1"/>
  <c r="I33" i="45" s="1"/>
  <c r="M156" i="70"/>
  <c r="K149" i="70"/>
  <c r="K166" i="70" s="1"/>
  <c r="E33" i="45" s="1"/>
  <c r="J354" i="82"/>
  <c r="P163" i="70"/>
  <c r="M163" i="70"/>
  <c r="D341" i="82"/>
  <c r="N156" i="70"/>
  <c r="I156" i="70"/>
  <c r="N163" i="70"/>
  <c r="J149" i="70"/>
  <c r="I367" i="82"/>
  <c r="E367" i="82"/>
  <c r="K354" i="82"/>
  <c r="E354" i="82"/>
  <c r="K341" i="82"/>
  <c r="F341" i="82"/>
  <c r="R149" i="70"/>
  <c r="L149" i="70"/>
  <c r="I354" i="82"/>
  <c r="C353" i="82"/>
  <c r="L163" i="70"/>
  <c r="S156" i="70"/>
  <c r="S166" i="70" s="1"/>
  <c r="M33" i="45" s="1"/>
  <c r="C25" i="45"/>
  <c r="J133" i="68"/>
  <c r="K35" i="70"/>
  <c r="K37" i="70" s="1"/>
  <c r="L22" i="70"/>
  <c r="D51" i="101" s="1"/>
  <c r="L14" i="70"/>
  <c r="L13" i="70"/>
  <c r="J94" i="68"/>
  <c r="K14" i="70"/>
  <c r="J35" i="70"/>
  <c r="J37" i="70" s="1"/>
  <c r="K22" i="70"/>
  <c r="K13" i="70"/>
  <c r="I35" i="70"/>
  <c r="J22" i="70"/>
  <c r="B51" i="101" s="1"/>
  <c r="J14" i="70"/>
  <c r="J13" i="70"/>
  <c r="J126" i="68"/>
  <c r="J131" i="68"/>
  <c r="J87" i="68"/>
  <c r="J92" i="68"/>
  <c r="J52" i="68"/>
  <c r="J47" i="68"/>
  <c r="K83" i="82"/>
  <c r="M68" i="82"/>
  <c r="E68" i="82"/>
  <c r="J83" i="82"/>
  <c r="L68" i="82"/>
  <c r="I83" i="82"/>
  <c r="K68" i="82"/>
  <c r="H83" i="82"/>
  <c r="J68" i="82"/>
  <c r="F68" i="82"/>
  <c r="G83" i="82"/>
  <c r="I68" i="82"/>
  <c r="L83" i="82"/>
  <c r="F83" i="82"/>
  <c r="H68" i="82"/>
  <c r="M83" i="82"/>
  <c r="E83" i="82"/>
  <c r="G68" i="82"/>
  <c r="F53" i="82"/>
  <c r="E53" i="82"/>
  <c r="J53" i="82"/>
  <c r="I53" i="82"/>
  <c r="K53" i="82"/>
  <c r="G53" i="82"/>
  <c r="H53" i="82"/>
  <c r="L53" i="82"/>
  <c r="M53" i="82"/>
  <c r="K35" i="82"/>
  <c r="C53" i="82"/>
  <c r="D53" i="82" s="1"/>
  <c r="C83" i="82"/>
  <c r="D83" i="82" s="1"/>
  <c r="C68" i="82"/>
  <c r="D68" i="82" s="1"/>
  <c r="L22" i="82"/>
  <c r="K23" i="82"/>
  <c r="K43" i="70"/>
  <c r="D21" i="45" l="1"/>
  <c r="C67" i="45"/>
  <c r="C28" i="87" s="1"/>
  <c r="E28" i="87" s="1"/>
  <c r="I35" i="45"/>
  <c r="I69" i="45" s="1"/>
  <c r="E35" i="45"/>
  <c r="E69" i="45" s="1"/>
  <c r="M35" i="45"/>
  <c r="M69" i="45" s="1"/>
  <c r="J370" i="82"/>
  <c r="W33" i="45" s="1"/>
  <c r="K370" i="82"/>
  <c r="X33" i="45" s="1"/>
  <c r="F370" i="82"/>
  <c r="S33" i="45" s="1"/>
  <c r="D13" i="96"/>
  <c r="E12" i="96"/>
  <c r="J12" i="96" s="1"/>
  <c r="O10" i="96" s="1"/>
  <c r="M10" i="96" s="1"/>
  <c r="M11" i="96" s="1"/>
  <c r="H11" i="96"/>
  <c r="G14" i="96"/>
  <c r="F15" i="96"/>
  <c r="W24" i="45"/>
  <c r="J26" i="103" s="1"/>
  <c r="K24" i="45"/>
  <c r="K10" i="103" s="1"/>
  <c r="Q166" i="70"/>
  <c r="K33" i="45" s="1"/>
  <c r="M166" i="70"/>
  <c r="G33" i="45" s="1"/>
  <c r="R166" i="70"/>
  <c r="L33" i="45" s="1"/>
  <c r="K47" i="70"/>
  <c r="B19" i="101"/>
  <c r="E24" i="85"/>
  <c r="G24" i="85"/>
  <c r="I24" i="85" s="1"/>
  <c r="T11" i="85" s="1"/>
  <c r="C19" i="101"/>
  <c r="E295" i="82"/>
  <c r="D300" i="82"/>
  <c r="Q21" i="45" s="1"/>
  <c r="Q67" i="45" s="1"/>
  <c r="E29" i="85"/>
  <c r="G29" i="85"/>
  <c r="I29" i="85" s="1"/>
  <c r="I37" i="70"/>
  <c r="B43" i="101"/>
  <c r="I370" i="82"/>
  <c r="V33" i="45" s="1"/>
  <c r="L370" i="82"/>
  <c r="Y33" i="45" s="1"/>
  <c r="L166" i="70"/>
  <c r="F33" i="45" s="1"/>
  <c r="N166" i="70"/>
  <c r="H33" i="45" s="1"/>
  <c r="D370" i="82"/>
  <c r="Q33" i="45" s="1"/>
  <c r="H370" i="82"/>
  <c r="U33" i="45" s="1"/>
  <c r="M370" i="82"/>
  <c r="Z33" i="45" s="1"/>
  <c r="P166" i="70"/>
  <c r="J33" i="45" s="1"/>
  <c r="E370" i="82"/>
  <c r="R33" i="45" s="1"/>
  <c r="G370" i="82"/>
  <c r="T33" i="45" s="1"/>
  <c r="J166" i="70"/>
  <c r="D33" i="45" s="1"/>
  <c r="N340" i="82"/>
  <c r="C370" i="82"/>
  <c r="N353" i="82"/>
  <c r="Y12" i="45"/>
  <c r="Y63" i="45" s="1"/>
  <c r="L24" i="103" s="1"/>
  <c r="Z13" i="45"/>
  <c r="M310" i="82"/>
  <c r="Z12" i="45" s="1"/>
  <c r="T149" i="70"/>
  <c r="I166" i="70"/>
  <c r="T156" i="70"/>
  <c r="X63" i="45"/>
  <c r="K24" i="103" s="1"/>
  <c r="Z25" i="45"/>
  <c r="M27" i="103" s="1"/>
  <c r="C20" i="87"/>
  <c r="E20" i="87" s="1"/>
  <c r="D25" i="45"/>
  <c r="U25" i="45"/>
  <c r="H27" i="103" s="1"/>
  <c r="Q25" i="45"/>
  <c r="D27" i="103" s="1"/>
  <c r="W25" i="45"/>
  <c r="J27" i="103" s="1"/>
  <c r="X25" i="45"/>
  <c r="K27" i="103" s="1"/>
  <c r="V25" i="45"/>
  <c r="I27" i="103" s="1"/>
  <c r="T25" i="45"/>
  <c r="G27" i="103" s="1"/>
  <c r="R25" i="45"/>
  <c r="E27" i="103" s="1"/>
  <c r="S25" i="45"/>
  <c r="F27" i="103" s="1"/>
  <c r="Y25" i="45"/>
  <c r="L27" i="103" s="1"/>
  <c r="L35" i="82"/>
  <c r="L23" i="70"/>
  <c r="L25" i="70" s="1"/>
  <c r="J23" i="70"/>
  <c r="J25" i="70" s="1"/>
  <c r="K23" i="70"/>
  <c r="K25" i="70" s="1"/>
  <c r="M22" i="82"/>
  <c r="M23" i="82" s="1"/>
  <c r="L23" i="82"/>
  <c r="E30" i="45"/>
  <c r="E8" i="103" s="1"/>
  <c r="O27" i="103" l="1"/>
  <c r="D67" i="45"/>
  <c r="E21" i="45"/>
  <c r="I79" i="45"/>
  <c r="I13" i="103"/>
  <c r="E79" i="45"/>
  <c r="E13" i="103"/>
  <c r="M79" i="45"/>
  <c r="M13" i="103"/>
  <c r="W35" i="45"/>
  <c r="W69" i="45" s="1"/>
  <c r="X35" i="45"/>
  <c r="X69" i="45" s="1"/>
  <c r="S35" i="45"/>
  <c r="S69" i="45" s="1"/>
  <c r="K35" i="45"/>
  <c r="K69" i="45" s="1"/>
  <c r="G35" i="45"/>
  <c r="G69" i="45" s="1"/>
  <c r="L35" i="45"/>
  <c r="L69" i="45" s="1"/>
  <c r="V35" i="45"/>
  <c r="V69" i="45" s="1"/>
  <c r="Y35" i="45"/>
  <c r="Y69" i="45" s="1"/>
  <c r="F35" i="45"/>
  <c r="F69" i="45" s="1"/>
  <c r="Q35" i="45"/>
  <c r="Q69" i="45" s="1"/>
  <c r="J35" i="45"/>
  <c r="J69" i="45" s="1"/>
  <c r="R35" i="45"/>
  <c r="R69" i="45" s="1"/>
  <c r="T35" i="45"/>
  <c r="T69" i="45" s="1"/>
  <c r="D35" i="45"/>
  <c r="D69" i="45" s="1"/>
  <c r="K29" i="85"/>
  <c r="U31" i="45"/>
  <c r="U68" i="45" s="1"/>
  <c r="D10" i="102"/>
  <c r="Q31" i="45"/>
  <c r="Q68" i="45" s="1"/>
  <c r="V31" i="45"/>
  <c r="V68" i="45" s="1"/>
  <c r="T31" i="45"/>
  <c r="T68" i="45" s="1"/>
  <c r="R31" i="45"/>
  <c r="R68" i="45" s="1"/>
  <c r="S31" i="45"/>
  <c r="S68" i="45" s="1"/>
  <c r="H35" i="45"/>
  <c r="H69" i="45" s="1"/>
  <c r="H13" i="103" s="1"/>
  <c r="C12" i="102"/>
  <c r="U35" i="45"/>
  <c r="U69" i="45" s="1"/>
  <c r="D12" i="102"/>
  <c r="E13" i="96"/>
  <c r="J13" i="96" s="1"/>
  <c r="P11" i="96" s="1"/>
  <c r="D14" i="96"/>
  <c r="H14" i="96"/>
  <c r="H15" i="96" s="1"/>
  <c r="G15" i="96"/>
  <c r="C30" i="85"/>
  <c r="C26" i="45"/>
  <c r="C11" i="103" s="1"/>
  <c r="C27" i="103" s="1"/>
  <c r="C40" i="70"/>
  <c r="X24" i="45"/>
  <c r="K26" i="103" s="1"/>
  <c r="L24" i="45"/>
  <c r="L10" i="103" s="1"/>
  <c r="W31" i="45"/>
  <c r="W68" i="45" s="1"/>
  <c r="F295" i="82"/>
  <c r="E300" i="82"/>
  <c r="R21" i="45" s="1"/>
  <c r="R67" i="45" s="1"/>
  <c r="AA12" i="45"/>
  <c r="Z35" i="45"/>
  <c r="Z69" i="45" s="1"/>
  <c r="M29" i="103" s="1"/>
  <c r="K38" i="85"/>
  <c r="AA13" i="45"/>
  <c r="Z64" i="45"/>
  <c r="AA64" i="45" s="1"/>
  <c r="K14" i="85"/>
  <c r="M14" i="85" s="1"/>
  <c r="Z63" i="45"/>
  <c r="K13" i="85"/>
  <c r="C38" i="85"/>
  <c r="C33" i="45"/>
  <c r="E25" i="45"/>
  <c r="M35" i="82"/>
  <c r="AA25" i="45"/>
  <c r="F30" i="45"/>
  <c r="F8" i="103" s="1"/>
  <c r="C59" i="70"/>
  <c r="B11" i="101" s="1"/>
  <c r="C21" i="85"/>
  <c r="E21" i="85" s="1"/>
  <c r="E67" i="45" l="1"/>
  <c r="F21" i="45"/>
  <c r="M29" i="85"/>
  <c r="O29" i="85"/>
  <c r="W79" i="45"/>
  <c r="J29" i="103"/>
  <c r="X79" i="45"/>
  <c r="K29" i="103"/>
  <c r="S79" i="45"/>
  <c r="F29" i="103"/>
  <c r="K79" i="45"/>
  <c r="K13" i="103"/>
  <c r="G79" i="45"/>
  <c r="G13" i="103"/>
  <c r="L79" i="45"/>
  <c r="L13" i="103"/>
  <c r="V79" i="45"/>
  <c r="I29" i="103"/>
  <c r="Y79" i="45"/>
  <c r="L29" i="103"/>
  <c r="F79" i="45"/>
  <c r="F13" i="103"/>
  <c r="Q79" i="45"/>
  <c r="D29" i="103"/>
  <c r="O29" i="103" s="1"/>
  <c r="J79" i="45"/>
  <c r="J13" i="103"/>
  <c r="R79" i="45"/>
  <c r="D10" i="95" s="1"/>
  <c r="E29" i="103"/>
  <c r="T79" i="45"/>
  <c r="G29" i="103"/>
  <c r="D79" i="45"/>
  <c r="D13" i="103"/>
  <c r="U79" i="45"/>
  <c r="H29" i="103"/>
  <c r="AA63" i="45"/>
  <c r="M24" i="103"/>
  <c r="N15" i="103"/>
  <c r="N34" i="103"/>
  <c r="N32" i="103"/>
  <c r="H79" i="45"/>
  <c r="N69" i="45"/>
  <c r="X31" i="45"/>
  <c r="X68" i="45" s="1"/>
  <c r="C35" i="45"/>
  <c r="C69" i="45" s="1"/>
  <c r="C29" i="87" s="1"/>
  <c r="E29" i="87" s="1"/>
  <c r="D13" i="102"/>
  <c r="D20" i="102" s="1"/>
  <c r="C31" i="45"/>
  <c r="C68" i="45" s="1"/>
  <c r="C21" i="87"/>
  <c r="E21" i="87" s="1"/>
  <c r="D26" i="45"/>
  <c r="D11" i="103" s="1"/>
  <c r="D15" i="96"/>
  <c r="E15" i="96" s="1"/>
  <c r="J15" i="96" s="1"/>
  <c r="N12" i="96" s="1"/>
  <c r="E14" i="96"/>
  <c r="J14" i="96" s="1"/>
  <c r="C36" i="85"/>
  <c r="G30" i="85"/>
  <c r="E30" i="85"/>
  <c r="E36" i="85" s="1"/>
  <c r="Y24" i="45"/>
  <c r="L26" i="103" s="1"/>
  <c r="M24" i="45"/>
  <c r="G295" i="82"/>
  <c r="F300" i="82"/>
  <c r="S21" i="45" s="1"/>
  <c r="S67" i="45" s="1"/>
  <c r="K41" i="85"/>
  <c r="M38" i="85"/>
  <c r="M41" i="85" s="1"/>
  <c r="U13" i="85" s="1"/>
  <c r="Z79" i="45"/>
  <c r="AA69" i="45"/>
  <c r="O13" i="85"/>
  <c r="M13" i="85"/>
  <c r="C23" i="85"/>
  <c r="C293" i="82"/>
  <c r="D293" i="82" s="1"/>
  <c r="E293" i="82" s="1"/>
  <c r="F293" i="82" s="1"/>
  <c r="G293" i="82" s="1"/>
  <c r="H293" i="82" s="1"/>
  <c r="I293" i="82" s="1"/>
  <c r="J293" i="82" s="1"/>
  <c r="K293" i="82" s="1"/>
  <c r="L293" i="82" s="1"/>
  <c r="M293" i="82" s="1"/>
  <c r="C20" i="45"/>
  <c r="G38" i="85"/>
  <c r="I38" i="85" s="1"/>
  <c r="I41" i="85" s="1"/>
  <c r="T13" i="85" s="1"/>
  <c r="C41" i="85"/>
  <c r="E38" i="85"/>
  <c r="E41" i="85" s="1"/>
  <c r="G21" i="85"/>
  <c r="C18" i="45"/>
  <c r="D18" i="45" s="1"/>
  <c r="E18" i="45" s="1"/>
  <c r="F18" i="45" s="1"/>
  <c r="G18" i="45" s="1"/>
  <c r="H18" i="45" s="1"/>
  <c r="I18" i="45" s="1"/>
  <c r="J18" i="45" s="1"/>
  <c r="K18" i="45" s="1"/>
  <c r="L18" i="45" s="1"/>
  <c r="M18" i="45" s="1"/>
  <c r="F25" i="45"/>
  <c r="G30" i="45"/>
  <c r="G8" i="103" s="1"/>
  <c r="C288" i="82"/>
  <c r="D288" i="82" s="1"/>
  <c r="E288" i="82" s="1"/>
  <c r="F288" i="82" s="1"/>
  <c r="G288" i="82" s="1"/>
  <c r="H288" i="82" s="1"/>
  <c r="I288" i="82" s="1"/>
  <c r="J288" i="82" s="1"/>
  <c r="K288" i="82" s="1"/>
  <c r="L288" i="82" s="1"/>
  <c r="M288" i="82" s="1"/>
  <c r="C294" i="82"/>
  <c r="D294" i="82" s="1"/>
  <c r="E294" i="82" s="1"/>
  <c r="F294" i="82" s="1"/>
  <c r="G294" i="82" s="1"/>
  <c r="H294" i="82" s="1"/>
  <c r="I294" i="82" s="1"/>
  <c r="J294" i="82" s="1"/>
  <c r="K294" i="82" s="1"/>
  <c r="L294" i="82" s="1"/>
  <c r="M294" i="82" s="1"/>
  <c r="C299" i="82"/>
  <c r="C298" i="82"/>
  <c r="C287" i="82"/>
  <c r="D287" i="82" s="1"/>
  <c r="E287" i="82" s="1"/>
  <c r="F287" i="82" s="1"/>
  <c r="G287" i="82" s="1"/>
  <c r="H287" i="82" s="1"/>
  <c r="I287" i="82" s="1"/>
  <c r="J287" i="82" s="1"/>
  <c r="K287" i="82" s="1"/>
  <c r="L287" i="82" s="1"/>
  <c r="M287" i="82" s="1"/>
  <c r="O13" i="103" l="1"/>
  <c r="C10" i="95"/>
  <c r="G21" i="45"/>
  <c r="F67" i="45"/>
  <c r="G10" i="95"/>
  <c r="E10" i="95"/>
  <c r="F10" i="95"/>
  <c r="C79" i="45"/>
  <c r="C13" i="103"/>
  <c r="C29" i="103" s="1"/>
  <c r="N12" i="103"/>
  <c r="M10" i="103"/>
  <c r="Y31" i="45"/>
  <c r="Y68" i="45" s="1"/>
  <c r="D20" i="45"/>
  <c r="E26" i="45"/>
  <c r="D31" i="45"/>
  <c r="D68" i="45" s="1"/>
  <c r="O30" i="85"/>
  <c r="G36" i="85"/>
  <c r="I30" i="85"/>
  <c r="I36" i="85" s="1"/>
  <c r="T12" i="85" s="1"/>
  <c r="Z24" i="45"/>
  <c r="M26" i="103" s="1"/>
  <c r="N24" i="45"/>
  <c r="H295" i="82"/>
  <c r="G300" i="82"/>
  <c r="T21" i="45" s="1"/>
  <c r="T67" i="45" s="1"/>
  <c r="E23" i="85"/>
  <c r="G23" i="85"/>
  <c r="C26" i="85"/>
  <c r="E26" i="85" s="1"/>
  <c r="C22" i="45"/>
  <c r="C66" i="45"/>
  <c r="C27" i="87" s="1"/>
  <c r="E27" i="87" s="1"/>
  <c r="O38" i="85"/>
  <c r="G41" i="85"/>
  <c r="E29" i="88" s="1"/>
  <c r="I21" i="85"/>
  <c r="T9" i="85" s="1"/>
  <c r="G25" i="45"/>
  <c r="D298" i="82"/>
  <c r="Q20" i="45" s="1"/>
  <c r="M298" i="82"/>
  <c r="Z20" i="45" s="1"/>
  <c r="F298" i="82"/>
  <c r="S20" i="45" s="1"/>
  <c r="G298" i="82"/>
  <c r="T20" i="45" s="1"/>
  <c r="J298" i="82"/>
  <c r="W20" i="45" s="1"/>
  <c r="H298" i="82"/>
  <c r="U20" i="45" s="1"/>
  <c r="L298" i="82"/>
  <c r="Y20" i="45" s="1"/>
  <c r="I298" i="82"/>
  <c r="V20" i="45" s="1"/>
  <c r="K298" i="82"/>
  <c r="X20" i="45" s="1"/>
  <c r="D299" i="82"/>
  <c r="Q18" i="45" s="1"/>
  <c r="I299" i="82"/>
  <c r="V18" i="45" s="1"/>
  <c r="K299" i="82"/>
  <c r="X18" i="45" s="1"/>
  <c r="M299" i="82"/>
  <c r="Z18" i="45" s="1"/>
  <c r="G299" i="82"/>
  <c r="T18" i="45" s="1"/>
  <c r="L299" i="82"/>
  <c r="Y18" i="45" s="1"/>
  <c r="H299" i="82"/>
  <c r="U18" i="45" s="1"/>
  <c r="J299" i="82"/>
  <c r="W18" i="45" s="1"/>
  <c r="F299" i="82"/>
  <c r="H30" i="45"/>
  <c r="H8" i="103" s="1"/>
  <c r="O8" i="103" s="1"/>
  <c r="K65" i="45"/>
  <c r="D65" i="45"/>
  <c r="E65" i="45"/>
  <c r="I65" i="45"/>
  <c r="J65" i="45"/>
  <c r="H65" i="45"/>
  <c r="M65" i="45"/>
  <c r="C65" i="45"/>
  <c r="G65" i="45"/>
  <c r="L65" i="45"/>
  <c r="F65" i="45"/>
  <c r="H10" i="95" l="1"/>
  <c r="H21" i="45"/>
  <c r="G67" i="45"/>
  <c r="C9" i="103"/>
  <c r="C25" i="103" s="1"/>
  <c r="E20" i="45"/>
  <c r="E22" i="45" s="1"/>
  <c r="D66" i="45"/>
  <c r="D9" i="103" s="1"/>
  <c r="F26" i="45"/>
  <c r="E31" i="45"/>
  <c r="E68" i="45" s="1"/>
  <c r="E11" i="103"/>
  <c r="D22" i="45"/>
  <c r="AA24" i="45"/>
  <c r="N31" i="103"/>
  <c r="K28" i="85"/>
  <c r="Z31" i="45"/>
  <c r="Z68" i="45" s="1"/>
  <c r="AA68" i="45" s="1"/>
  <c r="I295" i="82"/>
  <c r="H300" i="82"/>
  <c r="U21" i="45" s="1"/>
  <c r="I23" i="85"/>
  <c r="T10" i="85" s="1"/>
  <c r="G26" i="85"/>
  <c r="I21" i="45"/>
  <c r="H67" i="45"/>
  <c r="Q66" i="45"/>
  <c r="Q22" i="45"/>
  <c r="S66" i="45"/>
  <c r="S22" i="45"/>
  <c r="T66" i="45"/>
  <c r="T22" i="45"/>
  <c r="W66" i="45"/>
  <c r="U66" i="45"/>
  <c r="Y66" i="45"/>
  <c r="V66" i="45"/>
  <c r="X66" i="45"/>
  <c r="K23" i="85"/>
  <c r="Z66" i="45"/>
  <c r="O41" i="85"/>
  <c r="H25" i="45"/>
  <c r="C26" i="87"/>
  <c r="E26" i="87" s="1"/>
  <c r="S18" i="45"/>
  <c r="S65" i="45" s="1"/>
  <c r="I30" i="45"/>
  <c r="I8" i="103" s="1"/>
  <c r="E299" i="82"/>
  <c r="T65" i="45"/>
  <c r="E298" i="82"/>
  <c r="R20" i="45" s="1"/>
  <c r="X65" i="45"/>
  <c r="V65" i="45"/>
  <c r="U65" i="45"/>
  <c r="Y65" i="45"/>
  <c r="W65" i="45"/>
  <c r="Z65" i="45"/>
  <c r="K21" i="85"/>
  <c r="E26" i="88" s="1"/>
  <c r="Q65" i="45"/>
  <c r="D25" i="103" l="1"/>
  <c r="F11" i="103"/>
  <c r="G26" i="45"/>
  <c r="F31" i="45"/>
  <c r="F68" i="45" s="1"/>
  <c r="G25" i="103"/>
  <c r="F25" i="103"/>
  <c r="E66" i="45"/>
  <c r="E9" i="103" s="1"/>
  <c r="F20" i="45"/>
  <c r="K36" i="85"/>
  <c r="E28" i="88" s="1"/>
  <c r="M28" i="85"/>
  <c r="M36" i="85" s="1"/>
  <c r="U12" i="85" s="1"/>
  <c r="O28" i="85"/>
  <c r="J295" i="82"/>
  <c r="I300" i="82"/>
  <c r="V21" i="45" s="1"/>
  <c r="U67" i="45"/>
  <c r="H25" i="103" s="1"/>
  <c r="U22" i="45"/>
  <c r="I26" i="85"/>
  <c r="O21" i="85"/>
  <c r="M23" i="85"/>
  <c r="U10" i="85" s="1"/>
  <c r="O23" i="85"/>
  <c r="I67" i="45"/>
  <c r="J21" i="45"/>
  <c r="R66" i="45"/>
  <c r="AA66" i="45" s="1"/>
  <c r="R22" i="45"/>
  <c r="M21" i="85"/>
  <c r="U9" i="85" s="1"/>
  <c r="I25" i="45"/>
  <c r="R18" i="45"/>
  <c r="R65" i="45" s="1"/>
  <c r="J30" i="45"/>
  <c r="J8" i="103" s="1"/>
  <c r="G11" i="103" l="1"/>
  <c r="H26" i="45"/>
  <c r="G31" i="45"/>
  <c r="G68" i="45" s="1"/>
  <c r="F22" i="45"/>
  <c r="F66" i="45"/>
  <c r="F9" i="103" s="1"/>
  <c r="G20" i="45"/>
  <c r="G22" i="45" s="1"/>
  <c r="AA65" i="45"/>
  <c r="E25" i="103"/>
  <c r="O25" i="103" s="1"/>
  <c r="V67" i="45"/>
  <c r="I25" i="103" s="1"/>
  <c r="V22" i="45"/>
  <c r="J300" i="82"/>
  <c r="W21" i="45" s="1"/>
  <c r="K295" i="82"/>
  <c r="O36" i="85"/>
  <c r="K21" i="45"/>
  <c r="J67" i="45"/>
  <c r="J25" i="45"/>
  <c r="K30" i="45"/>
  <c r="K8" i="103" s="1"/>
  <c r="K14" i="67"/>
  <c r="I26" i="45" l="1"/>
  <c r="I31" i="45" s="1"/>
  <c r="I68" i="45" s="1"/>
  <c r="H31" i="45"/>
  <c r="H68" i="45" s="1"/>
  <c r="G66" i="45"/>
  <c r="G9" i="103" s="1"/>
  <c r="H20" i="45"/>
  <c r="H11" i="103"/>
  <c r="O11" i="103" s="1"/>
  <c r="C10" i="102"/>
  <c r="K300" i="82"/>
  <c r="X21" i="45" s="1"/>
  <c r="L295" i="82"/>
  <c r="W67" i="45"/>
  <c r="J25" i="103" s="1"/>
  <c r="W22" i="45"/>
  <c r="K67" i="45"/>
  <c r="L21" i="45"/>
  <c r="K25" i="45"/>
  <c r="L30" i="45"/>
  <c r="L8" i="103" s="1"/>
  <c r="K15" i="67"/>
  <c r="K11" i="70" s="1"/>
  <c r="H22" i="45" l="1"/>
  <c r="C8" i="102"/>
  <c r="X67" i="45"/>
  <c r="K25" i="103" s="1"/>
  <c r="X22" i="45"/>
  <c r="I11" i="103"/>
  <c r="J26" i="45"/>
  <c r="H66" i="45"/>
  <c r="H9" i="103" s="1"/>
  <c r="O9" i="103" s="1"/>
  <c r="I20" i="45"/>
  <c r="I22" i="45" s="1"/>
  <c r="M295" i="82"/>
  <c r="M300" i="82" s="1"/>
  <c r="Z21" i="45" s="1"/>
  <c r="L300" i="82"/>
  <c r="Y21" i="45" s="1"/>
  <c r="Y67" i="45" s="1"/>
  <c r="L25" i="103" s="1"/>
  <c r="K15" i="70"/>
  <c r="C52" i="101"/>
  <c r="E52" i="101" s="1"/>
  <c r="C51" i="101"/>
  <c r="E51" i="101" s="1"/>
  <c r="M21" i="45"/>
  <c r="L67" i="45"/>
  <c r="J15" i="70"/>
  <c r="L25" i="45"/>
  <c r="M30" i="45"/>
  <c r="M8" i="103" s="1"/>
  <c r="L15" i="70"/>
  <c r="L99" i="70"/>
  <c r="M91" i="83" s="1"/>
  <c r="K16" i="70"/>
  <c r="M86" i="83" s="1"/>
  <c r="M85" i="83"/>
  <c r="J11" i="103" l="1"/>
  <c r="J31" i="45"/>
  <c r="J68" i="45" s="1"/>
  <c r="K26" i="45"/>
  <c r="I66" i="45"/>
  <c r="I9" i="103" s="1"/>
  <c r="J20" i="45"/>
  <c r="J66" i="45" s="1"/>
  <c r="J9" i="103" s="1"/>
  <c r="AA21" i="45"/>
  <c r="Z22" i="45"/>
  <c r="K24" i="85"/>
  <c r="Z67" i="45"/>
  <c r="Y22" i="45"/>
  <c r="N30" i="103"/>
  <c r="J22" i="45"/>
  <c r="M67" i="45"/>
  <c r="N67" i="45" s="1"/>
  <c r="N21" i="45"/>
  <c r="K99" i="70"/>
  <c r="M13" i="83" s="1"/>
  <c r="M7" i="83"/>
  <c r="K16" i="83" s="1"/>
  <c r="J16" i="70"/>
  <c r="M8" i="83" s="1"/>
  <c r="N31" i="83" s="1"/>
  <c r="H94" i="83"/>
  <c r="H109" i="83"/>
  <c r="M25" i="45"/>
  <c r="I11" i="70"/>
  <c r="C7" i="70" s="1"/>
  <c r="E7" i="70" s="1"/>
  <c r="C8" i="85" s="1"/>
  <c r="N30" i="45"/>
  <c r="L94" i="83"/>
  <c r="I94" i="83"/>
  <c r="K94" i="83"/>
  <c r="J109" i="83"/>
  <c r="I109" i="83"/>
  <c r="K109" i="83"/>
  <c r="L109" i="83"/>
  <c r="J94" i="83"/>
  <c r="M94" i="83"/>
  <c r="P109" i="83"/>
  <c r="T109" i="83"/>
  <c r="T113" i="83" s="1"/>
  <c r="V109" i="83"/>
  <c r="V113" i="83" s="1"/>
  <c r="S109" i="83"/>
  <c r="S113" i="83" s="1"/>
  <c r="O109" i="83"/>
  <c r="R109" i="83"/>
  <c r="U109" i="83"/>
  <c r="U113" i="83" s="1"/>
  <c r="N109" i="83"/>
  <c r="Q109" i="83"/>
  <c r="M99" i="70"/>
  <c r="M169" i="83" s="1"/>
  <c r="L16" i="70"/>
  <c r="M164" i="83" s="1"/>
  <c r="M163" i="83"/>
  <c r="L119" i="83"/>
  <c r="L104" i="83"/>
  <c r="M104" i="83" s="1"/>
  <c r="N104" i="83" s="1"/>
  <c r="O104" i="83" s="1"/>
  <c r="P104" i="83" s="1"/>
  <c r="Q104" i="83" s="1"/>
  <c r="R104" i="83" s="1"/>
  <c r="S104" i="83" s="1"/>
  <c r="T104" i="83" s="1"/>
  <c r="U104" i="83" s="1"/>
  <c r="V104" i="83" s="1"/>
  <c r="K20" i="45" l="1"/>
  <c r="K11" i="103"/>
  <c r="L26" i="45"/>
  <c r="K31" i="45"/>
  <c r="K68" i="45" s="1"/>
  <c r="K26" i="85"/>
  <c r="M24" i="85"/>
  <c r="U11" i="85" s="1"/>
  <c r="O24" i="85"/>
  <c r="M25" i="103"/>
  <c r="AA67" i="45"/>
  <c r="K22" i="45"/>
  <c r="O26" i="85"/>
  <c r="K66" i="45"/>
  <c r="K9" i="103" s="1"/>
  <c r="L20" i="45"/>
  <c r="E8" i="85"/>
  <c r="Q31" i="83"/>
  <c r="V32" i="83" s="1"/>
  <c r="V36" i="83" s="1"/>
  <c r="R31" i="83"/>
  <c r="R35" i="83" s="1"/>
  <c r="O31" i="83"/>
  <c r="O35" i="83" s="1"/>
  <c r="J31" i="83"/>
  <c r="J35" i="83" s="1"/>
  <c r="U31" i="83"/>
  <c r="U35" i="83" s="1"/>
  <c r="V31" i="83"/>
  <c r="V35" i="83" s="1"/>
  <c r="M16" i="83"/>
  <c r="P31" i="83"/>
  <c r="P35" i="83" s="1"/>
  <c r="S31" i="83"/>
  <c r="T31" i="83"/>
  <c r="T35" i="83" s="1"/>
  <c r="L16" i="83"/>
  <c r="Q17" i="83" s="1"/>
  <c r="Q21" i="83" s="1"/>
  <c r="J16" i="83"/>
  <c r="J20" i="83" s="1"/>
  <c r="H16" i="83"/>
  <c r="K31" i="83"/>
  <c r="K35" i="83" s="1"/>
  <c r="L31" i="83"/>
  <c r="L35" i="83" s="1"/>
  <c r="H31" i="83"/>
  <c r="H35" i="83" s="1"/>
  <c r="H37" i="83" s="1"/>
  <c r="H39" i="83" s="1"/>
  <c r="I16" i="83"/>
  <c r="I20" i="83" s="1"/>
  <c r="I31" i="83"/>
  <c r="I35" i="83" s="1"/>
  <c r="C54" i="45"/>
  <c r="C5" i="103" s="1"/>
  <c r="C21" i="103" s="1"/>
  <c r="C8" i="45"/>
  <c r="H113" i="83"/>
  <c r="H115" i="83" s="1"/>
  <c r="H117" i="83" s="1"/>
  <c r="H111" i="83"/>
  <c r="I111" i="83" s="1"/>
  <c r="J111" i="83" s="1"/>
  <c r="K111" i="83" s="1"/>
  <c r="L111" i="83" s="1"/>
  <c r="H187" i="83"/>
  <c r="H172" i="83"/>
  <c r="H98" i="83"/>
  <c r="H100" i="83" s="1"/>
  <c r="H102" i="83" s="1"/>
  <c r="H96" i="83"/>
  <c r="I96" i="83" s="1"/>
  <c r="J96" i="83" s="1"/>
  <c r="K96" i="83" s="1"/>
  <c r="L96" i="83" s="1"/>
  <c r="N25" i="45"/>
  <c r="J99" i="70"/>
  <c r="C94" i="70" s="1"/>
  <c r="C9" i="85" s="1"/>
  <c r="N35" i="83"/>
  <c r="I98" i="83"/>
  <c r="M95" i="83"/>
  <c r="M99" i="83" s="1"/>
  <c r="J187" i="83"/>
  <c r="I172" i="83"/>
  <c r="L187" i="83"/>
  <c r="J172" i="83"/>
  <c r="L172" i="83"/>
  <c r="K187" i="83"/>
  <c r="K172" i="83"/>
  <c r="I187" i="83"/>
  <c r="L41" i="83"/>
  <c r="L26" i="83"/>
  <c r="M26" i="83" s="1"/>
  <c r="V110" i="83"/>
  <c r="V114" i="83" s="1"/>
  <c r="R113" i="83"/>
  <c r="I113" i="83"/>
  <c r="M110" i="83"/>
  <c r="M114" i="83" s="1"/>
  <c r="L98" i="83"/>
  <c r="P95" i="83"/>
  <c r="P99" i="83" s="1"/>
  <c r="M172" i="83"/>
  <c r="V187" i="83"/>
  <c r="V191" i="83" s="1"/>
  <c r="Q187" i="83"/>
  <c r="S187" i="83"/>
  <c r="S191" i="83" s="1"/>
  <c r="R187" i="83"/>
  <c r="O187" i="83"/>
  <c r="N187" i="83"/>
  <c r="T187" i="83"/>
  <c r="T191" i="83" s="1"/>
  <c r="U187" i="83"/>
  <c r="U191" i="83" s="1"/>
  <c r="P187" i="83"/>
  <c r="Q113" i="83"/>
  <c r="U110" i="83"/>
  <c r="U114" i="83" s="1"/>
  <c r="S110" i="83"/>
  <c r="S114" i="83" s="1"/>
  <c r="O113" i="83"/>
  <c r="P113" i="83"/>
  <c r="T110" i="83"/>
  <c r="T114" i="83" s="1"/>
  <c r="S32" i="83"/>
  <c r="S36" i="83" s="1"/>
  <c r="N95" i="83"/>
  <c r="N99" i="83" s="1"/>
  <c r="J98" i="83"/>
  <c r="J113" i="83"/>
  <c r="N110" i="83"/>
  <c r="N114" i="83" s="1"/>
  <c r="K20" i="83"/>
  <c r="N119" i="83"/>
  <c r="V119" i="83"/>
  <c r="Q119" i="83"/>
  <c r="P119" i="83"/>
  <c r="R119" i="83"/>
  <c r="M119" i="83"/>
  <c r="O119" i="83"/>
  <c r="S119" i="83"/>
  <c r="U119" i="83"/>
  <c r="T119" i="83"/>
  <c r="K113" i="83"/>
  <c r="O110" i="83"/>
  <c r="O114" i="83" s="1"/>
  <c r="P17" i="83"/>
  <c r="P21" i="83" s="1"/>
  <c r="L197" i="83"/>
  <c r="L182" i="83"/>
  <c r="M182" i="83" s="1"/>
  <c r="N182" i="83" s="1"/>
  <c r="O182" i="83" s="1"/>
  <c r="P182" i="83" s="1"/>
  <c r="Q182" i="83" s="1"/>
  <c r="R182" i="83" s="1"/>
  <c r="S182" i="83" s="1"/>
  <c r="T182" i="83" s="1"/>
  <c r="U182" i="83" s="1"/>
  <c r="V182" i="83" s="1"/>
  <c r="N113" i="83"/>
  <c r="N94" i="83"/>
  <c r="Q95" i="83"/>
  <c r="Q99" i="83" s="1"/>
  <c r="M98" i="83"/>
  <c r="L113" i="83"/>
  <c r="P110" i="83"/>
  <c r="P114" i="83" s="1"/>
  <c r="O95" i="83"/>
  <c r="O99" i="83" s="1"/>
  <c r="K98" i="83"/>
  <c r="L11" i="103" l="1"/>
  <c r="M26" i="45"/>
  <c r="M11" i="103" s="1"/>
  <c r="L31" i="45"/>
  <c r="L68" i="45" s="1"/>
  <c r="E27" i="88"/>
  <c r="M26" i="85"/>
  <c r="L22" i="45"/>
  <c r="N13" i="103"/>
  <c r="N16" i="83"/>
  <c r="M20" i="83"/>
  <c r="H18" i="83"/>
  <c r="I18" i="83" s="1"/>
  <c r="J18" i="83" s="1"/>
  <c r="K18" i="83" s="1"/>
  <c r="L18" i="83" s="1"/>
  <c r="M17" i="83"/>
  <c r="M21" i="83" s="1"/>
  <c r="L66" i="45"/>
  <c r="L9" i="103" s="1"/>
  <c r="M20" i="45"/>
  <c r="N11" i="103" s="1"/>
  <c r="E9" i="85"/>
  <c r="N26" i="45"/>
  <c r="N31" i="45" s="1"/>
  <c r="M31" i="45"/>
  <c r="M68" i="45" s="1"/>
  <c r="AE291" i="83"/>
  <c r="W54" i="45" s="1"/>
  <c r="J21" i="103" s="1"/>
  <c r="O32" i="83"/>
  <c r="O36" i="83" s="1"/>
  <c r="AC291" i="83"/>
  <c r="U54" i="45" s="1"/>
  <c r="H21" i="103" s="1"/>
  <c r="T32" i="83"/>
  <c r="T36" i="83" s="1"/>
  <c r="Q35" i="83"/>
  <c r="S35" i="83"/>
  <c r="M291" i="83"/>
  <c r="D54" i="45" s="1"/>
  <c r="D5" i="103" s="1"/>
  <c r="AA291" i="83"/>
  <c r="S54" i="45" s="1"/>
  <c r="F21" i="103" s="1"/>
  <c r="O17" i="83"/>
  <c r="O21" i="83" s="1"/>
  <c r="L20" i="83"/>
  <c r="AB291" i="83"/>
  <c r="T54" i="45" s="1"/>
  <c r="G21" i="103" s="1"/>
  <c r="U32" i="83"/>
  <c r="U36" i="83" s="1"/>
  <c r="P32" i="83"/>
  <c r="P36" i="83" s="1"/>
  <c r="H20" i="83"/>
  <c r="H22" i="83" s="1"/>
  <c r="H24" i="83" s="1"/>
  <c r="H33" i="83"/>
  <c r="I33" i="83" s="1"/>
  <c r="J33" i="83" s="1"/>
  <c r="K33" i="83" s="1"/>
  <c r="L33" i="83" s="1"/>
  <c r="M31" i="83" s="1"/>
  <c r="M32" i="83"/>
  <c r="M36" i="83" s="1"/>
  <c r="N17" i="83"/>
  <c r="N21" i="83" s="1"/>
  <c r="N32" i="83"/>
  <c r="N36" i="83" s="1"/>
  <c r="I115" i="83"/>
  <c r="I117" i="83" s="1"/>
  <c r="I37" i="83"/>
  <c r="J37" i="83" s="1"/>
  <c r="K37" i="83" s="1"/>
  <c r="L37" i="83" s="1"/>
  <c r="C9" i="45"/>
  <c r="C60" i="45"/>
  <c r="H176" i="83"/>
  <c r="H178" i="83" s="1"/>
  <c r="H180" i="83" s="1"/>
  <c r="H174" i="83"/>
  <c r="I174" i="83" s="1"/>
  <c r="J174" i="83" s="1"/>
  <c r="K174" i="83" s="1"/>
  <c r="L174" i="83" s="1"/>
  <c r="H191" i="83"/>
  <c r="H193" i="83" s="1"/>
  <c r="H195" i="83" s="1"/>
  <c r="H189" i="83"/>
  <c r="I189" i="83" s="1"/>
  <c r="J189" i="83" s="1"/>
  <c r="K189" i="83" s="1"/>
  <c r="L189" i="83" s="1"/>
  <c r="G8" i="85"/>
  <c r="AG291" i="83"/>
  <c r="Y54" i="45" s="1"/>
  <c r="L21" i="103" s="1"/>
  <c r="I100" i="83"/>
  <c r="J100" i="83" s="1"/>
  <c r="K100" i="83" s="1"/>
  <c r="L100" i="83" s="1"/>
  <c r="M100" i="83" s="1"/>
  <c r="C8" i="87"/>
  <c r="G9" i="85"/>
  <c r="AF291" i="83"/>
  <c r="X54" i="45" s="1"/>
  <c r="K21" i="103" s="1"/>
  <c r="P41" i="83"/>
  <c r="T41" i="83"/>
  <c r="V41" i="83"/>
  <c r="U41" i="83"/>
  <c r="N41" i="83"/>
  <c r="O41" i="83"/>
  <c r="R41" i="83"/>
  <c r="M41" i="83"/>
  <c r="S41" i="83"/>
  <c r="Q41" i="83"/>
  <c r="P173" i="83"/>
  <c r="P177" i="83" s="1"/>
  <c r="L176" i="83"/>
  <c r="I191" i="83"/>
  <c r="M188" i="83"/>
  <c r="M192" i="83" s="1"/>
  <c r="J176" i="83"/>
  <c r="N173" i="83"/>
  <c r="N177" i="83" s="1"/>
  <c r="V188" i="83"/>
  <c r="V192" i="83" s="1"/>
  <c r="R191" i="83"/>
  <c r="N172" i="83"/>
  <c r="Q173" i="83"/>
  <c r="Q177" i="83" s="1"/>
  <c r="M176" i="83"/>
  <c r="R17" i="83"/>
  <c r="R21" i="83" s="1"/>
  <c r="K176" i="83"/>
  <c r="O173" i="83"/>
  <c r="O177" i="83" s="1"/>
  <c r="L191" i="83"/>
  <c r="P188" i="83"/>
  <c r="P192" i="83" s="1"/>
  <c r="N191" i="83"/>
  <c r="Q191" i="83"/>
  <c r="U188" i="83"/>
  <c r="U192" i="83" s="1"/>
  <c r="J191" i="83"/>
  <c r="N188" i="83"/>
  <c r="N192" i="83" s="1"/>
  <c r="P191" i="83"/>
  <c r="T188" i="83"/>
  <c r="T192" i="83" s="1"/>
  <c r="O94" i="83"/>
  <c r="N98" i="83"/>
  <c r="R95" i="83"/>
  <c r="R99" i="83" s="1"/>
  <c r="S197" i="83"/>
  <c r="O197" i="83"/>
  <c r="V197" i="83"/>
  <c r="U197" i="83"/>
  <c r="T197" i="83"/>
  <c r="R197" i="83"/>
  <c r="Q197" i="83"/>
  <c r="P197" i="83"/>
  <c r="N197" i="83"/>
  <c r="M197" i="83"/>
  <c r="AH291" i="83"/>
  <c r="Z54" i="45" s="1"/>
  <c r="M21" i="103" s="1"/>
  <c r="AD291" i="83"/>
  <c r="V54" i="45" s="1"/>
  <c r="I21" i="103" s="1"/>
  <c r="N26" i="83"/>
  <c r="M283" i="83"/>
  <c r="D9" i="45" s="1"/>
  <c r="K191" i="83"/>
  <c r="O188" i="83"/>
  <c r="O192" i="83" s="1"/>
  <c r="I176" i="83"/>
  <c r="M173" i="83"/>
  <c r="M177" i="83" s="1"/>
  <c r="M96" i="83"/>
  <c r="N96" i="83" s="1"/>
  <c r="M109" i="83"/>
  <c r="Z291" i="83"/>
  <c r="R54" i="45" s="1"/>
  <c r="E21" i="103" s="1"/>
  <c r="O191" i="83"/>
  <c r="S188" i="83"/>
  <c r="S192" i="83" s="1"/>
  <c r="N68" i="45" l="1"/>
  <c r="M18" i="83"/>
  <c r="O16" i="83"/>
  <c r="N20" i="83"/>
  <c r="N291" i="83"/>
  <c r="E54" i="45" s="1"/>
  <c r="E5" i="103" s="1"/>
  <c r="M66" i="45"/>
  <c r="M9" i="103" s="1"/>
  <c r="M22" i="45"/>
  <c r="I8" i="85"/>
  <c r="I9" i="85"/>
  <c r="E8" i="87"/>
  <c r="N18" i="83"/>
  <c r="I39" i="83"/>
  <c r="J39" i="83" s="1"/>
  <c r="K39" i="83" s="1"/>
  <c r="L39" i="83" s="1"/>
  <c r="I178" i="83"/>
  <c r="J115" i="83"/>
  <c r="K115" i="83" s="1"/>
  <c r="L115" i="83" s="1"/>
  <c r="I22" i="83"/>
  <c r="J22" i="83" s="1"/>
  <c r="K22" i="83" s="1"/>
  <c r="L22" i="83" s="1"/>
  <c r="M22" i="83" s="1"/>
  <c r="I193" i="83"/>
  <c r="I102" i="83"/>
  <c r="J102" i="83" s="1"/>
  <c r="K102" i="83" s="1"/>
  <c r="L102" i="83" s="1"/>
  <c r="M102" i="83" s="1"/>
  <c r="C14" i="87"/>
  <c r="M33" i="83"/>
  <c r="N33" i="83" s="1"/>
  <c r="O33" i="83" s="1"/>
  <c r="P33" i="83" s="1"/>
  <c r="R32" i="83"/>
  <c r="R36" i="83" s="1"/>
  <c r="M111" i="83"/>
  <c r="N111" i="83" s="1"/>
  <c r="O111" i="83" s="1"/>
  <c r="P111" i="83" s="1"/>
  <c r="R110" i="83"/>
  <c r="R114" i="83" s="1"/>
  <c r="O96" i="83"/>
  <c r="N100" i="83"/>
  <c r="AD283" i="83"/>
  <c r="V9" i="45" s="1"/>
  <c r="AH283" i="83"/>
  <c r="Z9" i="45" s="1"/>
  <c r="M292" i="83"/>
  <c r="D60" i="45" s="1"/>
  <c r="Q32" i="83"/>
  <c r="Q36" i="83" s="1"/>
  <c r="M35" i="83"/>
  <c r="M37" i="83" s="1"/>
  <c r="S17" i="83"/>
  <c r="S21" i="83" s="1"/>
  <c r="O172" i="83"/>
  <c r="N176" i="83"/>
  <c r="R173" i="83"/>
  <c r="R177" i="83" s="1"/>
  <c r="M187" i="83"/>
  <c r="AC283" i="83"/>
  <c r="U9" i="45" s="1"/>
  <c r="AA283" i="83"/>
  <c r="S9" i="45" s="1"/>
  <c r="AF283" i="83"/>
  <c r="X9" i="45" s="1"/>
  <c r="Q110" i="83"/>
  <c r="Q114" i="83" s="1"/>
  <c r="M113" i="83"/>
  <c r="M174" i="83"/>
  <c r="N174" i="83" s="1"/>
  <c r="N283" i="83"/>
  <c r="E9" i="45" s="1"/>
  <c r="O26" i="83"/>
  <c r="P94" i="83"/>
  <c r="O98" i="83"/>
  <c r="S95" i="83"/>
  <c r="S99" i="83" s="1"/>
  <c r="AE283" i="83"/>
  <c r="W9" i="45" s="1"/>
  <c r="Z283" i="83"/>
  <c r="R9" i="45" s="1"/>
  <c r="AB283" i="83"/>
  <c r="T9" i="45" s="1"/>
  <c r="Y283" i="83"/>
  <c r="Q9" i="45" s="1"/>
  <c r="AG283" i="83"/>
  <c r="Y9" i="45" s="1"/>
  <c r="N22" i="83" l="1"/>
  <c r="O18" i="83"/>
  <c r="N25" i="103"/>
  <c r="O291" i="83"/>
  <c r="F54" i="45" s="1"/>
  <c r="F5" i="103" s="1"/>
  <c r="O20" i="83"/>
  <c r="O22" i="83" s="1"/>
  <c r="P16" i="83"/>
  <c r="E14" i="87"/>
  <c r="I180" i="83"/>
  <c r="J178" i="83"/>
  <c r="I195" i="83"/>
  <c r="J193" i="83"/>
  <c r="M115" i="83"/>
  <c r="N115" i="83" s="1"/>
  <c r="O115" i="83" s="1"/>
  <c r="P115" i="83" s="1"/>
  <c r="Q115" i="83" s="1"/>
  <c r="R115" i="83" s="1"/>
  <c r="S115" i="83" s="1"/>
  <c r="T115" i="83" s="1"/>
  <c r="U115" i="83" s="1"/>
  <c r="V115" i="83" s="1"/>
  <c r="J117" i="83"/>
  <c r="K117" i="83" s="1"/>
  <c r="L117" i="83" s="1"/>
  <c r="I24" i="83"/>
  <c r="J24" i="83" s="1"/>
  <c r="K24" i="83" s="1"/>
  <c r="L24" i="83" s="1"/>
  <c r="M24" i="83" s="1"/>
  <c r="N24" i="83" s="1"/>
  <c r="P96" i="83"/>
  <c r="M189" i="83"/>
  <c r="N189" i="83" s="1"/>
  <c r="O189" i="83" s="1"/>
  <c r="P189" i="83" s="1"/>
  <c r="R188" i="83"/>
  <c r="R192" i="83" s="1"/>
  <c r="N102" i="83"/>
  <c r="M39" i="83"/>
  <c r="O100" i="83"/>
  <c r="O174" i="83"/>
  <c r="AG292" i="83"/>
  <c r="Y60" i="45" s="1"/>
  <c r="P26" i="83"/>
  <c r="O283" i="83"/>
  <c r="F9" i="45" s="1"/>
  <c r="AH292" i="83"/>
  <c r="Z60" i="45" s="1"/>
  <c r="K9" i="85"/>
  <c r="Y292" i="83"/>
  <c r="Q60" i="45" s="1"/>
  <c r="AI283" i="83"/>
  <c r="AB292" i="83"/>
  <c r="T60" i="45" s="1"/>
  <c r="N292" i="83"/>
  <c r="E60" i="45" s="1"/>
  <c r="AF292" i="83"/>
  <c r="X60" i="45" s="1"/>
  <c r="M191" i="83"/>
  <c r="Q188" i="83"/>
  <c r="Q192" i="83" s="1"/>
  <c r="P172" i="83"/>
  <c r="O176" i="83"/>
  <c r="S173" i="83"/>
  <c r="S177" i="83" s="1"/>
  <c r="T17" i="83"/>
  <c r="T21" i="83" s="1"/>
  <c r="Y291" i="83"/>
  <c r="Q54" i="45" s="1"/>
  <c r="D21" i="103" s="1"/>
  <c r="O21" i="103" s="1"/>
  <c r="AD292" i="83"/>
  <c r="V60" i="45" s="1"/>
  <c r="Q33" i="83"/>
  <c r="R33" i="83" s="1"/>
  <c r="S33" i="83" s="1"/>
  <c r="T33" i="83" s="1"/>
  <c r="U33" i="83" s="1"/>
  <c r="V33" i="83" s="1"/>
  <c r="Z292" i="83"/>
  <c r="R60" i="45" s="1"/>
  <c r="Q94" i="83"/>
  <c r="P98" i="83"/>
  <c r="T95" i="83"/>
  <c r="T99" i="83" s="1"/>
  <c r="AA292" i="83"/>
  <c r="S60" i="45" s="1"/>
  <c r="AE292" i="83"/>
  <c r="W60" i="45" s="1"/>
  <c r="AC292" i="83"/>
  <c r="U60" i="45" s="1"/>
  <c r="N37" i="83"/>
  <c r="Q111" i="83"/>
  <c r="R111" i="83" s="1"/>
  <c r="S111" i="83" s="1"/>
  <c r="T111" i="83" s="1"/>
  <c r="U111" i="83" s="1"/>
  <c r="V111" i="83" s="1"/>
  <c r="N21" i="103" l="1"/>
  <c r="P18" i="83"/>
  <c r="Q16" i="83"/>
  <c r="P20" i="83"/>
  <c r="P22" i="83" s="1"/>
  <c r="M9" i="85"/>
  <c r="O9" i="85"/>
  <c r="O102" i="83"/>
  <c r="K178" i="83"/>
  <c r="L178" i="83" s="1"/>
  <c r="M178" i="83" s="1"/>
  <c r="J180" i="83"/>
  <c r="M117" i="83"/>
  <c r="N117" i="83" s="1"/>
  <c r="O117" i="83" s="1"/>
  <c r="P117" i="83" s="1"/>
  <c r="Q117" i="83" s="1"/>
  <c r="R117" i="83" s="1"/>
  <c r="S117" i="83" s="1"/>
  <c r="T117" i="83" s="1"/>
  <c r="U117" i="83" s="1"/>
  <c r="V117" i="83" s="1"/>
  <c r="K193" i="83"/>
  <c r="L193" i="83" s="1"/>
  <c r="M193" i="83" s="1"/>
  <c r="J195" i="83"/>
  <c r="Q96" i="83"/>
  <c r="P100" i="83"/>
  <c r="AA60" i="45"/>
  <c r="N39" i="83"/>
  <c r="O24" i="83"/>
  <c r="P174" i="83"/>
  <c r="P291" i="83"/>
  <c r="G54" i="45" s="1"/>
  <c r="G5" i="103" s="1"/>
  <c r="AA9" i="45"/>
  <c r="P283" i="83"/>
  <c r="G9" i="45" s="1"/>
  <c r="Q26" i="83"/>
  <c r="AI292" i="83"/>
  <c r="O37" i="83"/>
  <c r="Q172" i="83"/>
  <c r="T173" i="83"/>
  <c r="T177" i="83" s="1"/>
  <c r="P176" i="83"/>
  <c r="Q189" i="83"/>
  <c r="R189" i="83" s="1"/>
  <c r="S189" i="83" s="1"/>
  <c r="T189" i="83" s="1"/>
  <c r="U189" i="83" s="1"/>
  <c r="V189" i="83" s="1"/>
  <c r="R94" i="83"/>
  <c r="Q98" i="83"/>
  <c r="U95" i="83"/>
  <c r="U99" i="83" s="1"/>
  <c r="AI291" i="83"/>
  <c r="U17" i="83"/>
  <c r="U21" i="83" s="1"/>
  <c r="O292" i="83"/>
  <c r="F60" i="45" s="1"/>
  <c r="K180" i="83" l="1"/>
  <c r="L180" i="83" s="1"/>
  <c r="Q18" i="83"/>
  <c r="Q291" i="83"/>
  <c r="H54" i="45" s="1"/>
  <c r="H5" i="103" s="1"/>
  <c r="O5" i="103" s="1"/>
  <c r="R16" i="83"/>
  <c r="Q20" i="83"/>
  <c r="Q22" i="83" s="1"/>
  <c r="K195" i="83"/>
  <c r="L195" i="83" s="1"/>
  <c r="M195" i="83" s="1"/>
  <c r="M180" i="83"/>
  <c r="P102" i="83"/>
  <c r="N178" i="83"/>
  <c r="M282" i="83"/>
  <c r="D8" i="45" s="1"/>
  <c r="Y282" i="83"/>
  <c r="Q8" i="45" s="1"/>
  <c r="N193" i="83"/>
  <c r="Q100" i="83"/>
  <c r="P24" i="83"/>
  <c r="S94" i="83"/>
  <c r="V95" i="83"/>
  <c r="V99" i="83" s="1"/>
  <c r="R98" i="83"/>
  <c r="R172" i="83"/>
  <c r="U173" i="83"/>
  <c r="U177" i="83" s="1"/>
  <c r="Q176" i="83"/>
  <c r="P37" i="83"/>
  <c r="Q174" i="83"/>
  <c r="R26" i="83"/>
  <c r="Q283" i="83"/>
  <c r="H9" i="45" s="1"/>
  <c r="R96" i="83"/>
  <c r="P292" i="83"/>
  <c r="G60" i="45" s="1"/>
  <c r="V17" i="83"/>
  <c r="V21" i="83" s="1"/>
  <c r="O39" i="83"/>
  <c r="S16" i="83" l="1"/>
  <c r="R20" i="83"/>
  <c r="R22" i="83" s="1"/>
  <c r="R18" i="83"/>
  <c r="R291" i="83"/>
  <c r="I54" i="45" s="1"/>
  <c r="I5" i="103" s="1"/>
  <c r="N195" i="83"/>
  <c r="Q102" i="83"/>
  <c r="N180" i="83"/>
  <c r="O178" i="83"/>
  <c r="N282" i="83"/>
  <c r="E8" i="45" s="1"/>
  <c r="Z282" i="83"/>
  <c r="R8" i="45" s="1"/>
  <c r="O193" i="83"/>
  <c r="Q24" i="83"/>
  <c r="R100" i="83"/>
  <c r="S96" i="83"/>
  <c r="P39" i="83"/>
  <c r="S26" i="83"/>
  <c r="R283" i="83"/>
  <c r="I9" i="45" s="1"/>
  <c r="S172" i="83"/>
  <c r="R176" i="83"/>
  <c r="V173" i="83"/>
  <c r="V177" i="83" s="1"/>
  <c r="Q37" i="83"/>
  <c r="Q292" i="83"/>
  <c r="H60" i="45" s="1"/>
  <c r="R174" i="83"/>
  <c r="T94" i="83"/>
  <c r="S98" i="83"/>
  <c r="S18" i="83" l="1"/>
  <c r="T16" i="83"/>
  <c r="S20" i="83"/>
  <c r="R102" i="83"/>
  <c r="R24" i="83"/>
  <c r="P178" i="83"/>
  <c r="O282" i="83"/>
  <c r="F8" i="45" s="1"/>
  <c r="AA282" i="83"/>
  <c r="S8" i="45" s="1"/>
  <c r="O195" i="83"/>
  <c r="P193" i="83"/>
  <c r="O180" i="83"/>
  <c r="S22" i="83"/>
  <c r="S100" i="83"/>
  <c r="Q39" i="83"/>
  <c r="S174" i="83"/>
  <c r="U94" i="83"/>
  <c r="T98" i="83"/>
  <c r="R37" i="83"/>
  <c r="T96" i="83"/>
  <c r="R292" i="83"/>
  <c r="I60" i="45" s="1"/>
  <c r="T26" i="83"/>
  <c r="S283" i="83"/>
  <c r="J9" i="45" s="1"/>
  <c r="T172" i="83"/>
  <c r="S176" i="83"/>
  <c r="S291" i="83"/>
  <c r="J54" i="45" s="1"/>
  <c r="J5" i="103" s="1"/>
  <c r="R52" i="45"/>
  <c r="S52" i="45" s="1"/>
  <c r="T52" i="45" s="1"/>
  <c r="U52" i="45" s="1"/>
  <c r="V52" i="45" s="1"/>
  <c r="W52" i="45" s="1"/>
  <c r="X52" i="45" s="1"/>
  <c r="Y52" i="45" s="1"/>
  <c r="Z52" i="45" s="1"/>
  <c r="E52" i="45"/>
  <c r="F52" i="45" s="1"/>
  <c r="G52" i="45" s="1"/>
  <c r="H52" i="45" s="1"/>
  <c r="I52" i="45" s="1"/>
  <c r="J52" i="45" s="1"/>
  <c r="K52" i="45" s="1"/>
  <c r="L52" i="45" s="1"/>
  <c r="M52" i="45" s="1"/>
  <c r="R6" i="45"/>
  <c r="E6" i="45"/>
  <c r="K28" i="67"/>
  <c r="O35" i="70" s="1"/>
  <c r="K27" i="67"/>
  <c r="N35" i="70" s="1"/>
  <c r="K26" i="67"/>
  <c r="M35" i="70" s="1"/>
  <c r="U16" i="83" l="1"/>
  <c r="T20" i="83"/>
  <c r="T22" i="83" s="1"/>
  <c r="T18" i="83"/>
  <c r="U18" i="83" s="1"/>
  <c r="O37" i="70"/>
  <c r="B47" i="101"/>
  <c r="N37" i="70"/>
  <c r="B46" i="101"/>
  <c r="M37" i="70"/>
  <c r="C32" i="70" s="1"/>
  <c r="M241" i="83" s="1"/>
  <c r="B45" i="101"/>
  <c r="S102" i="83"/>
  <c r="T100" i="83"/>
  <c r="T102" i="83" s="1"/>
  <c r="S24" i="83"/>
  <c r="P180" i="83"/>
  <c r="P195" i="83"/>
  <c r="Q178" i="83"/>
  <c r="P282" i="83"/>
  <c r="G8" i="45" s="1"/>
  <c r="AB282" i="83"/>
  <c r="T8" i="45" s="1"/>
  <c r="Q193" i="83"/>
  <c r="T174" i="83"/>
  <c r="U96" i="83"/>
  <c r="F6" i="45"/>
  <c r="T283" i="83"/>
  <c r="K9" i="45" s="1"/>
  <c r="U26" i="83"/>
  <c r="S37" i="83"/>
  <c r="V94" i="83"/>
  <c r="V98" i="83" s="1"/>
  <c r="U98" i="83"/>
  <c r="U172" i="83"/>
  <c r="T176" i="83"/>
  <c r="S292" i="83"/>
  <c r="J60" i="45" s="1"/>
  <c r="T291" i="83"/>
  <c r="K54" i="45" s="1"/>
  <c r="K5" i="103" s="1"/>
  <c r="R39" i="83"/>
  <c r="S6" i="45"/>
  <c r="U20" i="83" l="1"/>
  <c r="U22" i="83" s="1"/>
  <c r="V16" i="83"/>
  <c r="T24" i="83"/>
  <c r="G6" i="45"/>
  <c r="N5" i="94"/>
  <c r="I4" i="95"/>
  <c r="T6" i="45"/>
  <c r="U100" i="83"/>
  <c r="Q180" i="83"/>
  <c r="R178" i="83"/>
  <c r="Q282" i="83"/>
  <c r="H8" i="45" s="1"/>
  <c r="Q195" i="83"/>
  <c r="AC282" i="83"/>
  <c r="U8" i="45" s="1"/>
  <c r="R193" i="83"/>
  <c r="J115" i="70"/>
  <c r="C110" i="70" s="1"/>
  <c r="E32" i="70"/>
  <c r="H265" i="83"/>
  <c r="H250" i="83"/>
  <c r="N4" i="89"/>
  <c r="S39" i="83"/>
  <c r="V96" i="83"/>
  <c r="T292" i="83"/>
  <c r="K60" i="45" s="1"/>
  <c r="U283" i="83"/>
  <c r="L9" i="45" s="1"/>
  <c r="V26" i="83"/>
  <c r="V283" i="83" s="1"/>
  <c r="M9" i="45" s="1"/>
  <c r="V172" i="83"/>
  <c r="V176" i="83" s="1"/>
  <c r="U176" i="83"/>
  <c r="U291" i="83"/>
  <c r="L54" i="45" s="1"/>
  <c r="L5" i="103" s="1"/>
  <c r="U174" i="83"/>
  <c r="T37" i="83"/>
  <c r="L265" i="83"/>
  <c r="L250" i="83"/>
  <c r="J250" i="83"/>
  <c r="I265" i="83"/>
  <c r="I250" i="83"/>
  <c r="K250" i="83"/>
  <c r="J265" i="83"/>
  <c r="K265" i="83"/>
  <c r="K16" i="67"/>
  <c r="V18" i="83" l="1"/>
  <c r="V20" i="83"/>
  <c r="V22" i="83" s="1"/>
  <c r="C5" i="102"/>
  <c r="H14" i="97"/>
  <c r="C55" i="95"/>
  <c r="H6" i="45"/>
  <c r="U6" i="45"/>
  <c r="U24" i="83"/>
  <c r="E23" i="95"/>
  <c r="E44" i="95" s="1"/>
  <c r="G23" i="95"/>
  <c r="G44" i="95" s="1"/>
  <c r="F23" i="95"/>
  <c r="F44" i="95" s="1"/>
  <c r="D23" i="95"/>
  <c r="D44" i="95" s="1"/>
  <c r="C23" i="95"/>
  <c r="C44" i="95" s="1"/>
  <c r="F25" i="95"/>
  <c r="C25" i="95"/>
  <c r="E25" i="95"/>
  <c r="D25" i="95"/>
  <c r="G25" i="95"/>
  <c r="E27" i="95"/>
  <c r="G11" i="95"/>
  <c r="G13" i="95"/>
  <c r="G15" i="95"/>
  <c r="G17" i="95"/>
  <c r="F27" i="95"/>
  <c r="D13" i="95"/>
  <c r="E15" i="95"/>
  <c r="G27" i="95"/>
  <c r="C15" i="95"/>
  <c r="D15" i="95"/>
  <c r="C27" i="95"/>
  <c r="E13" i="95"/>
  <c r="E17" i="95"/>
  <c r="D27" i="95"/>
  <c r="C17" i="95"/>
  <c r="D11" i="95"/>
  <c r="F11" i="95"/>
  <c r="E11" i="95"/>
  <c r="D17" i="95"/>
  <c r="F17" i="95"/>
  <c r="F13" i="95"/>
  <c r="F15" i="95"/>
  <c r="C13" i="95"/>
  <c r="C11" i="95"/>
  <c r="U102" i="83"/>
  <c r="V100" i="83"/>
  <c r="C62" i="45"/>
  <c r="C16" i="87" s="1"/>
  <c r="E16" i="87" s="1"/>
  <c r="C15" i="45"/>
  <c r="S178" i="83"/>
  <c r="R282" i="83"/>
  <c r="I8" i="45" s="1"/>
  <c r="AD282" i="83"/>
  <c r="V8" i="45" s="1"/>
  <c r="S193" i="83"/>
  <c r="R180" i="83"/>
  <c r="R195" i="83"/>
  <c r="C17" i="85"/>
  <c r="M247" i="83"/>
  <c r="C16" i="85"/>
  <c r="C14" i="45"/>
  <c r="C56" i="45"/>
  <c r="C10" i="87" s="1"/>
  <c r="E10" i="87" s="1"/>
  <c r="M242" i="83"/>
  <c r="M266" i="83"/>
  <c r="M270" i="83" s="1"/>
  <c r="T39" i="83"/>
  <c r="H254" i="83"/>
  <c r="H256" i="83" s="1"/>
  <c r="H258" i="83" s="1"/>
  <c r="H252" i="83"/>
  <c r="I252" i="83" s="1"/>
  <c r="J252" i="83" s="1"/>
  <c r="K252" i="83" s="1"/>
  <c r="L252" i="83" s="1"/>
  <c r="H269" i="83"/>
  <c r="H271" i="83" s="1"/>
  <c r="H273" i="83" s="1"/>
  <c r="H267" i="83"/>
  <c r="I267" i="83" s="1"/>
  <c r="J267" i="83" s="1"/>
  <c r="K267" i="83" s="1"/>
  <c r="L267" i="83" s="1"/>
  <c r="V291" i="83"/>
  <c r="V174" i="83"/>
  <c r="U292" i="83"/>
  <c r="L60" i="45" s="1"/>
  <c r="V292" i="83"/>
  <c r="M60" i="45" s="1"/>
  <c r="W283" i="83"/>
  <c r="U37" i="83"/>
  <c r="I269" i="83"/>
  <c r="J269" i="83"/>
  <c r="N266" i="83"/>
  <c r="N270" i="83" s="1"/>
  <c r="J254" i="83"/>
  <c r="N251" i="83"/>
  <c r="N255" i="83" s="1"/>
  <c r="K254" i="83"/>
  <c r="O251" i="83"/>
  <c r="O255" i="83" s="1"/>
  <c r="L254" i="83"/>
  <c r="P251" i="83"/>
  <c r="P255" i="83" s="1"/>
  <c r="K269" i="83"/>
  <c r="O266" i="83"/>
  <c r="O270" i="83" s="1"/>
  <c r="I254" i="83"/>
  <c r="M251" i="83"/>
  <c r="M255" i="83" s="1"/>
  <c r="L269" i="83"/>
  <c r="P266" i="83"/>
  <c r="P270" i="83" s="1"/>
  <c r="J26" i="70"/>
  <c r="J27" i="70" s="1"/>
  <c r="B54" i="101" s="1"/>
  <c r="K26" i="70"/>
  <c r="K27" i="70" s="1"/>
  <c r="C54" i="101" s="1"/>
  <c r="L26" i="70"/>
  <c r="L27" i="70" s="1"/>
  <c r="D54" i="101" s="1"/>
  <c r="E54" i="101" l="1"/>
  <c r="I6" i="45"/>
  <c r="J6" i="45" s="1"/>
  <c r="K6" i="45" s="1"/>
  <c r="V102" i="83"/>
  <c r="V24" i="83"/>
  <c r="L6" i="45"/>
  <c r="V6" i="45"/>
  <c r="E29" i="95"/>
  <c r="H13" i="95"/>
  <c r="I12" i="95" s="1"/>
  <c r="C63" i="95" s="1"/>
  <c r="M6" i="45"/>
  <c r="O28" i="45"/>
  <c r="O26" i="45"/>
  <c r="O46" i="45"/>
  <c r="O72" i="45"/>
  <c r="O25" i="45"/>
  <c r="O24" i="45"/>
  <c r="O48" i="45"/>
  <c r="O70" i="45"/>
  <c r="O44" i="45"/>
  <c r="O64" i="45"/>
  <c r="O63" i="45"/>
  <c r="O47" i="45"/>
  <c r="O42" i="45"/>
  <c r="O43" i="45"/>
  <c r="O71" i="45"/>
  <c r="O34" i="45"/>
  <c r="H23" i="95"/>
  <c r="I22" i="95" s="1"/>
  <c r="C73" i="95" s="1"/>
  <c r="H44" i="95"/>
  <c r="C29" i="95"/>
  <c r="H27" i="95"/>
  <c r="H25" i="95"/>
  <c r="I24" i="95" s="1"/>
  <c r="F29" i="95"/>
  <c r="G29" i="95"/>
  <c r="H15" i="95"/>
  <c r="I14" i="95" s="1"/>
  <c r="C65" i="95" s="1"/>
  <c r="D29" i="95"/>
  <c r="H11" i="95"/>
  <c r="I10" i="95" s="1"/>
  <c r="C61" i="95" s="1"/>
  <c r="H17" i="95"/>
  <c r="I16" i="95" s="1"/>
  <c r="C67" i="95" s="1"/>
  <c r="G17" i="85"/>
  <c r="E17" i="85"/>
  <c r="G16" i="85"/>
  <c r="E16" i="85"/>
  <c r="S180" i="83"/>
  <c r="S195" i="83"/>
  <c r="T178" i="83"/>
  <c r="S282" i="83"/>
  <c r="J8" i="45" s="1"/>
  <c r="AE282" i="83"/>
  <c r="W8" i="45" s="1"/>
  <c r="T193" i="83"/>
  <c r="M265" i="83"/>
  <c r="N265" i="83"/>
  <c r="M250" i="83"/>
  <c r="N250" i="83" s="1"/>
  <c r="O250" i="83" s="1"/>
  <c r="P250" i="83" s="1"/>
  <c r="Q250" i="83" s="1"/>
  <c r="R250" i="83" s="1"/>
  <c r="S250" i="83" s="1"/>
  <c r="T250" i="83" s="1"/>
  <c r="U250" i="83" s="1"/>
  <c r="V250" i="83" s="1"/>
  <c r="L275" i="83"/>
  <c r="L260" i="83"/>
  <c r="M260" i="83" s="1"/>
  <c r="I256" i="83"/>
  <c r="V265" i="83"/>
  <c r="R265" i="83"/>
  <c r="O265" i="83"/>
  <c r="U265" i="83"/>
  <c r="Q265" i="83"/>
  <c r="T265" i="83"/>
  <c r="P265" i="83"/>
  <c r="U266" i="83" s="1"/>
  <c r="U270" i="83" s="1"/>
  <c r="S265" i="83"/>
  <c r="I271" i="83"/>
  <c r="I273" i="83" s="1"/>
  <c r="U39" i="83"/>
  <c r="W291" i="83"/>
  <c r="M54" i="45"/>
  <c r="M5" i="103" s="1"/>
  <c r="N9" i="45"/>
  <c r="W292" i="83"/>
  <c r="V37" i="83"/>
  <c r="M107" i="70"/>
  <c r="M207" i="83" s="1"/>
  <c r="M201" i="83"/>
  <c r="L29" i="70"/>
  <c r="M202" i="83" s="1"/>
  <c r="M210" i="83" s="1"/>
  <c r="N210" i="83" s="1"/>
  <c r="O210" i="83" s="1"/>
  <c r="P210" i="83" s="1"/>
  <c r="Q210" i="83" s="1"/>
  <c r="R210" i="83" s="1"/>
  <c r="S210" i="83" s="1"/>
  <c r="T210" i="83" s="1"/>
  <c r="U210" i="83" s="1"/>
  <c r="V210" i="83" s="1"/>
  <c r="L107" i="70"/>
  <c r="M129" i="83" s="1"/>
  <c r="K29" i="70"/>
  <c r="M124" i="83" s="1"/>
  <c r="M123" i="83"/>
  <c r="K107" i="70"/>
  <c r="M45" i="83"/>
  <c r="J29" i="70"/>
  <c r="M46" i="83" s="1"/>
  <c r="I27" i="70"/>
  <c r="C19" i="70" s="1"/>
  <c r="C75" i="95" l="1"/>
  <c r="L13" i="97"/>
  <c r="W6" i="45"/>
  <c r="X6" i="45" s="1"/>
  <c r="Y6" i="45" s="1"/>
  <c r="O67" i="45"/>
  <c r="O21" i="45"/>
  <c r="N54" i="45"/>
  <c r="I17" i="85"/>
  <c r="I16" i="85"/>
  <c r="O41" i="45"/>
  <c r="O69" i="45"/>
  <c r="Z6" i="45"/>
  <c r="O13" i="45"/>
  <c r="O9" i="45"/>
  <c r="O27" i="45"/>
  <c r="O29" i="45"/>
  <c r="H29" i="95"/>
  <c r="I26" i="95"/>
  <c r="C77" i="95" s="1"/>
  <c r="T180" i="83"/>
  <c r="T282" i="83"/>
  <c r="U178" i="83"/>
  <c r="AF282" i="83"/>
  <c r="X8" i="45" s="1"/>
  <c r="T195" i="83"/>
  <c r="U193" i="83"/>
  <c r="M269" i="83"/>
  <c r="Y295" i="83"/>
  <c r="Q56" i="45" s="1"/>
  <c r="R266" i="83"/>
  <c r="R270" i="83" s="1"/>
  <c r="Z295" i="83"/>
  <c r="R56" i="45" s="1"/>
  <c r="S266" i="83"/>
  <c r="S270" i="83" s="1"/>
  <c r="N269" i="83"/>
  <c r="AH295" i="83"/>
  <c r="Z56" i="45" s="1"/>
  <c r="V269" i="83"/>
  <c r="T269" i="83"/>
  <c r="AF295" i="83"/>
  <c r="X56" i="45" s="1"/>
  <c r="S269" i="83"/>
  <c r="AE295" i="83"/>
  <c r="W56" i="45" s="1"/>
  <c r="R275" i="83"/>
  <c r="AD287" i="83" s="1"/>
  <c r="M275" i="83"/>
  <c r="Y287" i="83" s="1"/>
  <c r="T275" i="83"/>
  <c r="AF287" i="83" s="1"/>
  <c r="P275" i="83"/>
  <c r="AB287" i="83" s="1"/>
  <c r="V275" i="83"/>
  <c r="AH287" i="83" s="1"/>
  <c r="N275" i="83"/>
  <c r="Z287" i="83" s="1"/>
  <c r="O275" i="83"/>
  <c r="AA287" i="83" s="1"/>
  <c r="U275" i="83"/>
  <c r="AG287" i="83" s="1"/>
  <c r="Q275" i="83"/>
  <c r="AC287" i="83" s="1"/>
  <c r="S275" i="83"/>
  <c r="AE287" i="83" s="1"/>
  <c r="N260" i="83"/>
  <c r="M287" i="83"/>
  <c r="J256" i="83"/>
  <c r="K256" i="83" s="1"/>
  <c r="L256" i="83" s="1"/>
  <c r="I258" i="83"/>
  <c r="AD295" i="83"/>
  <c r="V56" i="45" s="1"/>
  <c r="R269" i="83"/>
  <c r="U269" i="83"/>
  <c r="AG295" i="83"/>
  <c r="Y56" i="45" s="1"/>
  <c r="AC295" i="83"/>
  <c r="U56" i="45" s="1"/>
  <c r="V266" i="83"/>
  <c r="V270" i="83" s="1"/>
  <c r="Q269" i="83"/>
  <c r="AA295" i="83"/>
  <c r="O269" i="83"/>
  <c r="T266" i="83"/>
  <c r="T270" i="83" s="1"/>
  <c r="AB295" i="83"/>
  <c r="T56" i="45" s="1"/>
  <c r="P269" i="83"/>
  <c r="J271" i="83"/>
  <c r="K271" i="83" s="1"/>
  <c r="L271" i="83" s="1"/>
  <c r="H69" i="83"/>
  <c r="H54" i="83"/>
  <c r="H147" i="83"/>
  <c r="H132" i="83"/>
  <c r="H225" i="83"/>
  <c r="H210" i="83"/>
  <c r="V39" i="83"/>
  <c r="N69" i="83"/>
  <c r="M54" i="83"/>
  <c r="N54" i="83" s="1"/>
  <c r="O54" i="83" s="1"/>
  <c r="P54" i="83" s="1"/>
  <c r="Q54" i="83" s="1"/>
  <c r="R54" i="83" s="1"/>
  <c r="S54" i="83" s="1"/>
  <c r="T54" i="83" s="1"/>
  <c r="U54" i="83" s="1"/>
  <c r="V54" i="83" s="1"/>
  <c r="N147" i="83"/>
  <c r="M132" i="83"/>
  <c r="N132" i="83" s="1"/>
  <c r="O132" i="83" s="1"/>
  <c r="P132" i="83" s="1"/>
  <c r="Q132" i="83" s="1"/>
  <c r="R132" i="83" s="1"/>
  <c r="S132" i="83" s="1"/>
  <c r="T132" i="83" s="1"/>
  <c r="U132" i="83" s="1"/>
  <c r="V132" i="83" s="1"/>
  <c r="V225" i="83"/>
  <c r="V229" i="83" s="1"/>
  <c r="R225" i="83"/>
  <c r="N225" i="83"/>
  <c r="P225" i="83"/>
  <c r="U225" i="83"/>
  <c r="U229" i="83" s="1"/>
  <c r="Q225" i="83"/>
  <c r="T225" i="83"/>
  <c r="T229" i="83" s="1"/>
  <c r="S225" i="83"/>
  <c r="S229" i="83" s="1"/>
  <c r="O225" i="83"/>
  <c r="V147" i="83"/>
  <c r="V151" i="83" s="1"/>
  <c r="R147" i="83"/>
  <c r="U147" i="83"/>
  <c r="U151" i="83" s="1"/>
  <c r="Q147" i="83"/>
  <c r="S147" i="83"/>
  <c r="S151" i="83" s="1"/>
  <c r="T147" i="83"/>
  <c r="T151" i="83" s="1"/>
  <c r="P147" i="83"/>
  <c r="O147" i="83"/>
  <c r="V69" i="83"/>
  <c r="R69" i="83"/>
  <c r="U69" i="83"/>
  <c r="Q69" i="83"/>
  <c r="S69" i="83"/>
  <c r="T69" i="83"/>
  <c r="P69" i="83"/>
  <c r="O69" i="83"/>
  <c r="N295" i="83"/>
  <c r="E56" i="45" s="1"/>
  <c r="M295" i="83"/>
  <c r="D56" i="45" s="1"/>
  <c r="M254" i="83"/>
  <c r="Q251" i="83"/>
  <c r="Q255" i="83" s="1"/>
  <c r="Q266" i="83"/>
  <c r="Q270" i="83" s="1"/>
  <c r="M252" i="83"/>
  <c r="M267" i="83"/>
  <c r="N267" i="83" s="1"/>
  <c r="O267" i="83" s="1"/>
  <c r="P267" i="83" s="1"/>
  <c r="L235" i="83"/>
  <c r="L220" i="83"/>
  <c r="M220" i="83" s="1"/>
  <c r="N220" i="83" s="1"/>
  <c r="O220" i="83" s="1"/>
  <c r="P220" i="83" s="1"/>
  <c r="Q220" i="83" s="1"/>
  <c r="R220" i="83" s="1"/>
  <c r="S220" i="83" s="1"/>
  <c r="T220" i="83" s="1"/>
  <c r="U220" i="83" s="1"/>
  <c r="V220" i="83" s="1"/>
  <c r="L225" i="83"/>
  <c r="L210" i="83"/>
  <c r="K210" i="83"/>
  <c r="J210" i="83"/>
  <c r="I210" i="83"/>
  <c r="K225" i="83"/>
  <c r="J225" i="83"/>
  <c r="I225" i="83"/>
  <c r="L142" i="83"/>
  <c r="M142" i="83" s="1"/>
  <c r="N142" i="83" s="1"/>
  <c r="O142" i="83" s="1"/>
  <c r="P142" i="83" s="1"/>
  <c r="Q142" i="83" s="1"/>
  <c r="R142" i="83" s="1"/>
  <c r="S142" i="83" s="1"/>
  <c r="T142" i="83" s="1"/>
  <c r="U142" i="83" s="1"/>
  <c r="V142" i="83" s="1"/>
  <c r="L157" i="83"/>
  <c r="L147" i="83"/>
  <c r="L132" i="83"/>
  <c r="K147" i="83"/>
  <c r="J147" i="83"/>
  <c r="I147" i="83"/>
  <c r="I132" i="83"/>
  <c r="J132" i="83"/>
  <c r="K132" i="83"/>
  <c r="I54" i="83"/>
  <c r="I69" i="83"/>
  <c r="I73" i="83" s="1"/>
  <c r="L69" i="83"/>
  <c r="L54" i="83"/>
  <c r="K54" i="83"/>
  <c r="J69" i="83"/>
  <c r="J54" i="83"/>
  <c r="K69" i="83"/>
  <c r="J107" i="70"/>
  <c r="C102" i="70" s="1"/>
  <c r="C12" i="85" s="1"/>
  <c r="E12" i="85" s="1"/>
  <c r="M51" i="83"/>
  <c r="L79" i="83" s="1"/>
  <c r="M79" i="83" s="1"/>
  <c r="E19" i="70"/>
  <c r="C11" i="85" s="1"/>
  <c r="AA47" i="45"/>
  <c r="AA46" i="45"/>
  <c r="AB21" i="45" l="1"/>
  <c r="AB67" i="45"/>
  <c r="E11" i="85"/>
  <c r="C19" i="85"/>
  <c r="AB34" i="45"/>
  <c r="AB71" i="45"/>
  <c r="AB47" i="45"/>
  <c r="AB69" i="45"/>
  <c r="AB29" i="45"/>
  <c r="AB25" i="45"/>
  <c r="AB26" i="45"/>
  <c r="AB9" i="45"/>
  <c r="AB28" i="45"/>
  <c r="AB46" i="45"/>
  <c r="AB64" i="45"/>
  <c r="AB13" i="45"/>
  <c r="AB12" i="45"/>
  <c r="AB27" i="45"/>
  <c r="AB24" i="45"/>
  <c r="AB63" i="45"/>
  <c r="C40" i="95"/>
  <c r="I28" i="95"/>
  <c r="C79" i="95" s="1"/>
  <c r="J258" i="83"/>
  <c r="K258" i="83" s="1"/>
  <c r="L258" i="83" s="1"/>
  <c r="K8" i="45"/>
  <c r="U282" i="83"/>
  <c r="V178" i="83"/>
  <c r="V282" i="83" s="1"/>
  <c r="M8" i="45" s="1"/>
  <c r="AG282" i="83"/>
  <c r="Y8" i="45" s="1"/>
  <c r="V193" i="83"/>
  <c r="AH282" i="83" s="1"/>
  <c r="Z8" i="45" s="1"/>
  <c r="U180" i="83"/>
  <c r="V180" i="83" s="1"/>
  <c r="U195" i="83"/>
  <c r="M271" i="83"/>
  <c r="AD296" i="83"/>
  <c r="V62" i="45" s="1"/>
  <c r="V15" i="45"/>
  <c r="Y296" i="83"/>
  <c r="Q15" i="45"/>
  <c r="AI287" i="83"/>
  <c r="AF296" i="83"/>
  <c r="X62" i="45" s="1"/>
  <c r="X15" i="45"/>
  <c r="AB296" i="83"/>
  <c r="T62" i="45" s="1"/>
  <c r="T15" i="45"/>
  <c r="AH296" i="83"/>
  <c r="Z62" i="45" s="1"/>
  <c r="Z15" i="45"/>
  <c r="Z296" i="83"/>
  <c r="R62" i="45" s="1"/>
  <c r="R15" i="45"/>
  <c r="AA296" i="83"/>
  <c r="S62" i="45" s="1"/>
  <c r="S15" i="45"/>
  <c r="AG296" i="83"/>
  <c r="Y62" i="45" s="1"/>
  <c r="Y15" i="45"/>
  <c r="AC296" i="83"/>
  <c r="U62" i="45" s="1"/>
  <c r="U15" i="45"/>
  <c r="AE296" i="83"/>
  <c r="W62" i="45" s="1"/>
  <c r="W15" i="45"/>
  <c r="M296" i="83"/>
  <c r="D62" i="45" s="1"/>
  <c r="D15" i="45"/>
  <c r="M256" i="83"/>
  <c r="O260" i="83"/>
  <c r="N287" i="83"/>
  <c r="S56" i="45"/>
  <c r="AA56" i="45" s="1"/>
  <c r="AI295" i="83"/>
  <c r="M55" i="83"/>
  <c r="M59" i="83" s="1"/>
  <c r="J273" i="83"/>
  <c r="K273" i="83" s="1"/>
  <c r="L273" i="83" s="1"/>
  <c r="N55" i="83"/>
  <c r="N59" i="83" s="1"/>
  <c r="H229" i="83"/>
  <c r="H231" i="83" s="1"/>
  <c r="H233" i="83" s="1"/>
  <c r="H227" i="83"/>
  <c r="I227" i="83" s="1"/>
  <c r="J227" i="83" s="1"/>
  <c r="K227" i="83" s="1"/>
  <c r="L227" i="83" s="1"/>
  <c r="M225" i="83" s="1"/>
  <c r="R226" i="83" s="1"/>
  <c r="R230" i="83" s="1"/>
  <c r="H151" i="83"/>
  <c r="H153" i="83" s="1"/>
  <c r="H155" i="83" s="1"/>
  <c r="H149" i="83"/>
  <c r="I149" i="83" s="1"/>
  <c r="J149" i="83" s="1"/>
  <c r="K149" i="83" s="1"/>
  <c r="L149" i="83" s="1"/>
  <c r="M147" i="83" s="1"/>
  <c r="R148" i="83" s="1"/>
  <c r="R152" i="83" s="1"/>
  <c r="H136" i="83"/>
  <c r="H138" i="83" s="1"/>
  <c r="H140" i="83" s="1"/>
  <c r="H134" i="83"/>
  <c r="I134" i="83" s="1"/>
  <c r="J134" i="83" s="1"/>
  <c r="K134" i="83" s="1"/>
  <c r="L134" i="83" s="1"/>
  <c r="C10" i="45"/>
  <c r="C55" i="45"/>
  <c r="AB293" i="83"/>
  <c r="T55" i="45" s="1"/>
  <c r="G22" i="103" s="1"/>
  <c r="G42" i="103" s="1"/>
  <c r="C11" i="45"/>
  <c r="C61" i="45"/>
  <c r="H58" i="83"/>
  <c r="H60" i="83" s="1"/>
  <c r="H62" i="83" s="1"/>
  <c r="H56" i="83"/>
  <c r="I56" i="83" s="1"/>
  <c r="J56" i="83" s="1"/>
  <c r="K56" i="83" s="1"/>
  <c r="L56" i="83" s="1"/>
  <c r="H214" i="83"/>
  <c r="H216" i="83" s="1"/>
  <c r="H218" i="83" s="1"/>
  <c r="H212" i="83"/>
  <c r="I212" i="83" s="1"/>
  <c r="J212" i="83" s="1"/>
  <c r="K212" i="83" s="1"/>
  <c r="L212" i="83" s="1"/>
  <c r="H73" i="83"/>
  <c r="H75" i="83" s="1"/>
  <c r="H77" i="83" s="1"/>
  <c r="H71" i="83"/>
  <c r="I71" i="83" s="1"/>
  <c r="J71" i="83" s="1"/>
  <c r="K71" i="83" s="1"/>
  <c r="L71" i="83" s="1"/>
  <c r="M69" i="83" s="1"/>
  <c r="R70" i="83" s="1"/>
  <c r="R74" i="83" s="1"/>
  <c r="AB56" i="45"/>
  <c r="N254" i="83"/>
  <c r="AA293" i="83"/>
  <c r="S55" i="45" s="1"/>
  <c r="N252" i="83"/>
  <c r="AG293" i="83"/>
  <c r="Y55" i="45" s="1"/>
  <c r="L22" i="103" s="1"/>
  <c r="L42" i="103" s="1"/>
  <c r="Z293" i="83"/>
  <c r="R55" i="45" s="1"/>
  <c r="E22" i="103" s="1"/>
  <c r="E42" i="103" s="1"/>
  <c r="AD293" i="83"/>
  <c r="V55" i="45" s="1"/>
  <c r="I22" i="103" s="1"/>
  <c r="I42" i="103" s="1"/>
  <c r="R251" i="83"/>
  <c r="R255" i="83" s="1"/>
  <c r="O295" i="83"/>
  <c r="F56" i="45" s="1"/>
  <c r="AC293" i="83"/>
  <c r="U55" i="45" s="1"/>
  <c r="H22" i="103" s="1"/>
  <c r="H42" i="103" s="1"/>
  <c r="AE293" i="83"/>
  <c r="W55" i="45" s="1"/>
  <c r="J22" i="103" s="1"/>
  <c r="J42" i="103" s="1"/>
  <c r="AH293" i="83"/>
  <c r="Z55" i="45" s="1"/>
  <c r="M22" i="103" s="1"/>
  <c r="M42" i="103" s="1"/>
  <c r="AF293" i="83"/>
  <c r="X55" i="45" s="1"/>
  <c r="S73" i="83"/>
  <c r="V73" i="83"/>
  <c r="U73" i="83"/>
  <c r="T73" i="83"/>
  <c r="Q267" i="83"/>
  <c r="R267" i="83" s="1"/>
  <c r="S267" i="83" s="1"/>
  <c r="T267" i="83" s="1"/>
  <c r="U267" i="83" s="1"/>
  <c r="V267" i="83" s="1"/>
  <c r="O254" i="83"/>
  <c r="L229" i="83"/>
  <c r="P226" i="83"/>
  <c r="P230" i="83" s="1"/>
  <c r="Q229" i="83"/>
  <c r="U226" i="83"/>
  <c r="U230" i="83" s="1"/>
  <c r="I229" i="83"/>
  <c r="M226" i="83"/>
  <c r="M230" i="83" s="1"/>
  <c r="J214" i="83"/>
  <c r="N211" i="83"/>
  <c r="N215" i="83" s="1"/>
  <c r="R229" i="83"/>
  <c r="V226" i="83"/>
  <c r="V230" i="83" s="1"/>
  <c r="P229" i="83"/>
  <c r="T226" i="83"/>
  <c r="T230" i="83" s="1"/>
  <c r="I214" i="83"/>
  <c r="M211" i="83"/>
  <c r="M215" i="83" s="1"/>
  <c r="J229" i="83"/>
  <c r="N226" i="83"/>
  <c r="N230" i="83" s="1"/>
  <c r="K214" i="83"/>
  <c r="O211" i="83"/>
  <c r="O215" i="83" s="1"/>
  <c r="O229" i="83"/>
  <c r="S226" i="83"/>
  <c r="S230" i="83" s="1"/>
  <c r="K229" i="83"/>
  <c r="O226" i="83"/>
  <c r="O230" i="83" s="1"/>
  <c r="L214" i="83"/>
  <c r="P211" i="83"/>
  <c r="P215" i="83" s="1"/>
  <c r="N229" i="83"/>
  <c r="V235" i="83"/>
  <c r="R235" i="83"/>
  <c r="N235" i="83"/>
  <c r="S235" i="83"/>
  <c r="U235" i="83"/>
  <c r="Q235" i="83"/>
  <c r="M235" i="83"/>
  <c r="T235" i="83"/>
  <c r="P235" i="83"/>
  <c r="O235" i="83"/>
  <c r="I58" i="83"/>
  <c r="I151" i="83"/>
  <c r="M148" i="83"/>
  <c r="M152" i="83" s="1"/>
  <c r="L151" i="83"/>
  <c r="P148" i="83"/>
  <c r="P152" i="83" s="1"/>
  <c r="N151" i="83"/>
  <c r="K136" i="83"/>
  <c r="O133" i="83"/>
  <c r="O137" i="83" s="1"/>
  <c r="J151" i="83"/>
  <c r="N148" i="83"/>
  <c r="N152" i="83" s="1"/>
  <c r="V157" i="83"/>
  <c r="R157" i="83"/>
  <c r="N157" i="83"/>
  <c r="T157" i="83"/>
  <c r="U157" i="83"/>
  <c r="Q157" i="83"/>
  <c r="M157" i="83"/>
  <c r="P157" i="83"/>
  <c r="S157" i="83"/>
  <c r="O157" i="83"/>
  <c r="J136" i="83"/>
  <c r="N133" i="83"/>
  <c r="N137" i="83" s="1"/>
  <c r="K151" i="83"/>
  <c r="O148" i="83"/>
  <c r="O152" i="83" s="1"/>
  <c r="O151" i="83"/>
  <c r="S148" i="83"/>
  <c r="S152" i="83" s="1"/>
  <c r="Q151" i="83"/>
  <c r="U148" i="83"/>
  <c r="U152" i="83" s="1"/>
  <c r="I136" i="83"/>
  <c r="M133" i="83"/>
  <c r="M137" i="83" s="1"/>
  <c r="L136" i="83"/>
  <c r="P133" i="83"/>
  <c r="P137" i="83" s="1"/>
  <c r="R151" i="83"/>
  <c r="V148" i="83"/>
  <c r="V152" i="83" s="1"/>
  <c r="P151" i="83"/>
  <c r="T148" i="83"/>
  <c r="T152" i="83" s="1"/>
  <c r="P73" i="83"/>
  <c r="T70" i="83"/>
  <c r="T74" i="83" s="1"/>
  <c r="N73" i="83"/>
  <c r="O73" i="83"/>
  <c r="S70" i="83"/>
  <c r="S74" i="83" s="1"/>
  <c r="J73" i="83"/>
  <c r="N70" i="83"/>
  <c r="N74" i="83" s="1"/>
  <c r="R73" i="83"/>
  <c r="V70" i="83"/>
  <c r="V74" i="83" s="1"/>
  <c r="K73" i="83"/>
  <c r="O70" i="83"/>
  <c r="O74" i="83" s="1"/>
  <c r="K58" i="83"/>
  <c r="O55" i="83"/>
  <c r="O59" i="83" s="1"/>
  <c r="M70" i="83"/>
  <c r="M74" i="83" s="1"/>
  <c r="L58" i="83"/>
  <c r="P55" i="83"/>
  <c r="P59" i="83" s="1"/>
  <c r="L64" i="83"/>
  <c r="Q73" i="83"/>
  <c r="U70" i="83"/>
  <c r="U74" i="83" s="1"/>
  <c r="J58" i="83"/>
  <c r="L73" i="83"/>
  <c r="P70" i="83"/>
  <c r="P74" i="83" s="1"/>
  <c r="G11" i="85"/>
  <c r="AB72" i="45"/>
  <c r="F22" i="103" l="1"/>
  <c r="F42" i="103" s="1"/>
  <c r="C57" i="45"/>
  <c r="C6" i="103"/>
  <c r="C22" i="103" s="1"/>
  <c r="C73" i="45"/>
  <c r="C7" i="103"/>
  <c r="C23" i="103" s="1"/>
  <c r="C43" i="103" s="1"/>
  <c r="X57" i="45"/>
  <c r="K22" i="103"/>
  <c r="K42" i="103" s="1"/>
  <c r="C16" i="103"/>
  <c r="C41" i="103" s="1"/>
  <c r="O8" i="45"/>
  <c r="N24" i="103"/>
  <c r="K17" i="85"/>
  <c r="N29" i="103"/>
  <c r="S57" i="45"/>
  <c r="C78" i="45"/>
  <c r="G21" i="90"/>
  <c r="T57" i="45"/>
  <c r="L21" i="90"/>
  <c r="Y57" i="45"/>
  <c r="E21" i="90"/>
  <c r="R57" i="45"/>
  <c r="I21" i="90"/>
  <c r="V57" i="45"/>
  <c r="H21" i="90"/>
  <c r="U57" i="45"/>
  <c r="J21" i="90"/>
  <c r="W57" i="45"/>
  <c r="M21" i="90"/>
  <c r="Z57" i="45"/>
  <c r="V195" i="83"/>
  <c r="I11" i="85"/>
  <c r="O287" i="83"/>
  <c r="P260" i="83"/>
  <c r="D48" i="95"/>
  <c r="C48" i="95"/>
  <c r="F48" i="95"/>
  <c r="E48" i="95"/>
  <c r="G48" i="95"/>
  <c r="N256" i="83"/>
  <c r="F21" i="90"/>
  <c r="L8" i="45"/>
  <c r="W282" i="83"/>
  <c r="N271" i="83"/>
  <c r="Y286" i="83"/>
  <c r="Q14" i="45" s="1"/>
  <c r="M286" i="83"/>
  <c r="D14" i="45" s="1"/>
  <c r="M258" i="83"/>
  <c r="I231" i="83"/>
  <c r="N296" i="83"/>
  <c r="E62" i="45" s="1"/>
  <c r="E15" i="45"/>
  <c r="M273" i="83"/>
  <c r="Q62" i="45"/>
  <c r="AA62" i="45" s="1"/>
  <c r="AI296" i="83"/>
  <c r="I216" i="83"/>
  <c r="I60" i="83"/>
  <c r="I153" i="83"/>
  <c r="I138" i="83"/>
  <c r="G12" i="85"/>
  <c r="I75" i="83"/>
  <c r="J75" i="83" s="1"/>
  <c r="K75" i="83" s="1"/>
  <c r="L75" i="83" s="1"/>
  <c r="C9" i="87"/>
  <c r="C11" i="87" s="1"/>
  <c r="C16" i="90"/>
  <c r="C33" i="90"/>
  <c r="C35" i="90" s="1"/>
  <c r="C37" i="90"/>
  <c r="C41" i="90" s="1"/>
  <c r="C15" i="87"/>
  <c r="C30" i="87" s="1"/>
  <c r="C17" i="90"/>
  <c r="C22" i="90" s="1"/>
  <c r="K21" i="90"/>
  <c r="C16" i="45"/>
  <c r="C37" i="45" s="1"/>
  <c r="C49" i="45" s="1"/>
  <c r="P295" i="83"/>
  <c r="G56" i="45" s="1"/>
  <c r="S251" i="83"/>
  <c r="S255" i="83" s="1"/>
  <c r="O252" i="83"/>
  <c r="Y285" i="83"/>
  <c r="Q295" i="83"/>
  <c r="H56" i="45" s="1"/>
  <c r="P254" i="83"/>
  <c r="M64" i="83"/>
  <c r="U79" i="83"/>
  <c r="Q79" i="83"/>
  <c r="N79" i="83"/>
  <c r="T79" i="83"/>
  <c r="P79" i="83"/>
  <c r="R79" i="83"/>
  <c r="S79" i="83"/>
  <c r="O79" i="83"/>
  <c r="V79" i="83"/>
  <c r="AB55" i="45"/>
  <c r="C42" i="103" l="1"/>
  <c r="C35" i="103"/>
  <c r="C46" i="103" s="1"/>
  <c r="M17" i="85"/>
  <c r="O17" i="85"/>
  <c r="N8" i="45"/>
  <c r="O296" i="83"/>
  <c r="F62" i="45" s="1"/>
  <c r="F15" i="45"/>
  <c r="I12" i="85"/>
  <c r="Q260" i="83"/>
  <c r="P287" i="83"/>
  <c r="E9" i="87"/>
  <c r="C50" i="85"/>
  <c r="E50" i="85" s="1"/>
  <c r="E19" i="85"/>
  <c r="E15" i="87"/>
  <c r="J231" i="83"/>
  <c r="K231" i="83" s="1"/>
  <c r="L231" i="83" s="1"/>
  <c r="I233" i="83"/>
  <c r="J233" i="83" s="1"/>
  <c r="K233" i="83" s="1"/>
  <c r="L233" i="83" s="1"/>
  <c r="N273" i="83"/>
  <c r="N286" i="83"/>
  <c r="E14" i="45" s="1"/>
  <c r="N258" i="83"/>
  <c r="O256" i="83"/>
  <c r="O271" i="83"/>
  <c r="Z286" i="83"/>
  <c r="R14" i="45" s="1"/>
  <c r="J216" i="83"/>
  <c r="K216" i="83" s="1"/>
  <c r="L216" i="83" s="1"/>
  <c r="I218" i="83"/>
  <c r="J60" i="83"/>
  <c r="K60" i="83" s="1"/>
  <c r="L60" i="83" s="1"/>
  <c r="I62" i="83"/>
  <c r="I155" i="83"/>
  <c r="J153" i="83"/>
  <c r="J138" i="83"/>
  <c r="K138" i="83" s="1"/>
  <c r="L138" i="83" s="1"/>
  <c r="I140" i="83"/>
  <c r="I77" i="83"/>
  <c r="J77" i="83" s="1"/>
  <c r="K77" i="83" s="1"/>
  <c r="L77" i="83" s="1"/>
  <c r="G19" i="85"/>
  <c r="C19" i="90"/>
  <c r="C43" i="90"/>
  <c r="C21" i="90"/>
  <c r="C26" i="90" s="1"/>
  <c r="Y294" i="83"/>
  <c r="Q61" i="45" s="1"/>
  <c r="D23" i="103" s="1"/>
  <c r="Q11" i="45"/>
  <c r="P252" i="83"/>
  <c r="Q252" i="83" s="1"/>
  <c r="T251" i="83"/>
  <c r="T255" i="83" s="1"/>
  <c r="Y293" i="83"/>
  <c r="Q55" i="45" s="1"/>
  <c r="D22" i="103" s="1"/>
  <c r="O22" i="103" s="1"/>
  <c r="Z285" i="83"/>
  <c r="R11" i="45" s="1"/>
  <c r="AD285" i="83"/>
  <c r="V11" i="45" s="1"/>
  <c r="AC285" i="83"/>
  <c r="U11" i="45" s="1"/>
  <c r="AH285" i="83"/>
  <c r="Z11" i="45" s="1"/>
  <c r="AB285" i="83"/>
  <c r="T11" i="45" s="1"/>
  <c r="AG285" i="83"/>
  <c r="Y11" i="45" s="1"/>
  <c r="AE285" i="83"/>
  <c r="W11" i="45" s="1"/>
  <c r="AA285" i="83"/>
  <c r="S11" i="45" s="1"/>
  <c r="AF285" i="83"/>
  <c r="X11" i="45" s="1"/>
  <c r="N64" i="83"/>
  <c r="M285" i="83"/>
  <c r="M56" i="83"/>
  <c r="M293" i="83"/>
  <c r="Q254" i="83"/>
  <c r="R295" i="83"/>
  <c r="I56" i="45" s="1"/>
  <c r="U251" i="83"/>
  <c r="U255" i="83" s="1"/>
  <c r="M214" i="83"/>
  <c r="Q211" i="83"/>
  <c r="Q215" i="83" s="1"/>
  <c r="N214" i="83"/>
  <c r="R211" i="83"/>
  <c r="R215" i="83" s="1"/>
  <c r="M212" i="83"/>
  <c r="N212" i="83" s="1"/>
  <c r="M229" i="83"/>
  <c r="Q226" i="83"/>
  <c r="Q230" i="83" s="1"/>
  <c r="M227" i="83"/>
  <c r="N227" i="83" s="1"/>
  <c r="O227" i="83" s="1"/>
  <c r="P227" i="83" s="1"/>
  <c r="N136" i="83"/>
  <c r="R133" i="83"/>
  <c r="R137" i="83" s="1"/>
  <c r="M151" i="83"/>
  <c r="Q148" i="83"/>
  <c r="Q152" i="83" s="1"/>
  <c r="M149" i="83"/>
  <c r="N149" i="83" s="1"/>
  <c r="O149" i="83" s="1"/>
  <c r="P149" i="83" s="1"/>
  <c r="M136" i="83"/>
  <c r="Q133" i="83"/>
  <c r="Q137" i="83" s="1"/>
  <c r="M134" i="83"/>
  <c r="N134" i="83" s="1"/>
  <c r="M58" i="83"/>
  <c r="Q55" i="83"/>
  <c r="Q59" i="83" s="1"/>
  <c r="N293" i="83"/>
  <c r="E55" i="45" s="1"/>
  <c r="E6" i="103" s="1"/>
  <c r="M73" i="83"/>
  <c r="M75" i="83" s="1"/>
  <c r="Q70" i="83"/>
  <c r="Q74" i="83" s="1"/>
  <c r="M71" i="83"/>
  <c r="N71" i="83" s="1"/>
  <c r="O71" i="83" s="1"/>
  <c r="P71" i="83" s="1"/>
  <c r="D43" i="103" l="1"/>
  <c r="D42" i="103"/>
  <c r="N22" i="103"/>
  <c r="N5" i="103"/>
  <c r="N27" i="103"/>
  <c r="C44" i="90"/>
  <c r="C42" i="90"/>
  <c r="D21" i="90"/>
  <c r="Q57" i="45"/>
  <c r="Q78" i="45" s="1"/>
  <c r="E16" i="90"/>
  <c r="E57" i="45"/>
  <c r="I19" i="85"/>
  <c r="T8" i="85" s="1"/>
  <c r="G15" i="45"/>
  <c r="P296" i="83"/>
  <c r="G62" i="45" s="1"/>
  <c r="R260" i="83"/>
  <c r="Q287" i="83"/>
  <c r="C32" i="87"/>
  <c r="C33" i="87" s="1"/>
  <c r="F19" i="85"/>
  <c r="F50" i="85"/>
  <c r="F21" i="85"/>
  <c r="F26" i="85"/>
  <c r="F41" i="85"/>
  <c r="F48" i="85"/>
  <c r="F36" i="85"/>
  <c r="M231" i="83"/>
  <c r="O273" i="83"/>
  <c r="O258" i="83"/>
  <c r="J218" i="83"/>
  <c r="K218" i="83" s="1"/>
  <c r="L218" i="83" s="1"/>
  <c r="O286" i="83"/>
  <c r="F14" i="45" s="1"/>
  <c r="P256" i="83"/>
  <c r="P271" i="83"/>
  <c r="AA286" i="83"/>
  <c r="S14" i="45" s="1"/>
  <c r="J62" i="83"/>
  <c r="K62" i="83" s="1"/>
  <c r="L62" i="83" s="1"/>
  <c r="J140" i="83"/>
  <c r="K140" i="83" s="1"/>
  <c r="L140" i="83" s="1"/>
  <c r="M60" i="83"/>
  <c r="M216" i="83"/>
  <c r="M138" i="83"/>
  <c r="K153" i="83"/>
  <c r="L153" i="83" s="1"/>
  <c r="M153" i="83" s="1"/>
  <c r="J155" i="83"/>
  <c r="E32" i="87"/>
  <c r="D22" i="90"/>
  <c r="G50" i="85"/>
  <c r="C28" i="90"/>
  <c r="D55" i="45"/>
  <c r="D6" i="103" s="1"/>
  <c r="M294" i="83"/>
  <c r="D11" i="45"/>
  <c r="AE294" i="83"/>
  <c r="W61" i="45" s="1"/>
  <c r="J23" i="103" s="1"/>
  <c r="J43" i="103" s="1"/>
  <c r="AC294" i="83"/>
  <c r="U61" i="45" s="1"/>
  <c r="H23" i="103" s="1"/>
  <c r="H43" i="103" s="1"/>
  <c r="AI285" i="83"/>
  <c r="AG294" i="83"/>
  <c r="Y61" i="45" s="1"/>
  <c r="L23" i="103" s="1"/>
  <c r="L43" i="103" s="1"/>
  <c r="AD294" i="83"/>
  <c r="V61" i="45" s="1"/>
  <c r="I23" i="103" s="1"/>
  <c r="I43" i="103" s="1"/>
  <c r="AF294" i="83"/>
  <c r="X61" i="45" s="1"/>
  <c r="K23" i="103" s="1"/>
  <c r="K43" i="103" s="1"/>
  <c r="AB294" i="83"/>
  <c r="T61" i="45" s="1"/>
  <c r="G23" i="103" s="1"/>
  <c r="G43" i="103" s="1"/>
  <c r="Z294" i="83"/>
  <c r="R61" i="45" s="1"/>
  <c r="E23" i="103" s="1"/>
  <c r="AA294" i="83"/>
  <c r="S61" i="45" s="1"/>
  <c r="F23" i="103" s="1"/>
  <c r="F43" i="103" s="1"/>
  <c r="AH294" i="83"/>
  <c r="Z61" i="45" s="1"/>
  <c r="M23" i="103" s="1"/>
  <c r="M43" i="103" s="1"/>
  <c r="AI293" i="83"/>
  <c r="O64" i="83"/>
  <c r="N285" i="83"/>
  <c r="E11" i="45" s="1"/>
  <c r="R254" i="83"/>
  <c r="S295" i="83"/>
  <c r="J56" i="45" s="1"/>
  <c r="V251" i="83"/>
  <c r="V255" i="83" s="1"/>
  <c r="R252" i="83"/>
  <c r="Q71" i="83"/>
  <c r="R71" i="83" s="1"/>
  <c r="S71" i="83" s="1"/>
  <c r="T71" i="83" s="1"/>
  <c r="U71" i="83" s="1"/>
  <c r="V71" i="83" s="1"/>
  <c r="Q149" i="83"/>
  <c r="R149" i="83" s="1"/>
  <c r="S149" i="83" s="1"/>
  <c r="T149" i="83" s="1"/>
  <c r="U149" i="83" s="1"/>
  <c r="V149" i="83" s="1"/>
  <c r="O134" i="83"/>
  <c r="O212" i="83"/>
  <c r="Q227" i="83"/>
  <c r="R227" i="83" s="1"/>
  <c r="S227" i="83" s="1"/>
  <c r="T227" i="83" s="1"/>
  <c r="U227" i="83" s="1"/>
  <c r="V227" i="83" s="1"/>
  <c r="O214" i="83"/>
  <c r="S211" i="83"/>
  <c r="S215" i="83" s="1"/>
  <c r="M77" i="83"/>
  <c r="O136" i="83"/>
  <c r="S133" i="83"/>
  <c r="S137" i="83" s="1"/>
  <c r="N75" i="83"/>
  <c r="N58" i="83"/>
  <c r="O293" i="83"/>
  <c r="F55" i="45" s="1"/>
  <c r="F6" i="103" s="1"/>
  <c r="R55" i="83"/>
  <c r="R59" i="83" s="1"/>
  <c r="N56" i="83"/>
  <c r="O23" i="103" l="1"/>
  <c r="O35" i="103" s="1"/>
  <c r="N42" i="103"/>
  <c r="O42" i="103"/>
  <c r="N21" i="90"/>
  <c r="D53" i="90" s="1"/>
  <c r="E53" i="90"/>
  <c r="N23" i="103"/>
  <c r="E43" i="103"/>
  <c r="C29" i="90"/>
  <c r="C27" i="90"/>
  <c r="D16" i="90"/>
  <c r="D57" i="45"/>
  <c r="J22" i="90"/>
  <c r="J26" i="90" s="1"/>
  <c r="W78" i="45"/>
  <c r="H22" i="90"/>
  <c r="H26" i="90" s="1"/>
  <c r="U78" i="45"/>
  <c r="L22" i="90"/>
  <c r="L26" i="90" s="1"/>
  <c r="Y78" i="45"/>
  <c r="I22" i="90"/>
  <c r="I26" i="90" s="1"/>
  <c r="V78" i="45"/>
  <c r="K22" i="90"/>
  <c r="K26" i="90" s="1"/>
  <c r="X78" i="45"/>
  <c r="G22" i="90"/>
  <c r="G26" i="90" s="1"/>
  <c r="T78" i="45"/>
  <c r="E22" i="90"/>
  <c r="R78" i="45"/>
  <c r="F22" i="90"/>
  <c r="F26" i="90" s="1"/>
  <c r="S78" i="45"/>
  <c r="M22" i="90"/>
  <c r="Z78" i="45"/>
  <c r="F16" i="90"/>
  <c r="F57" i="45"/>
  <c r="I50" i="85"/>
  <c r="Q296" i="83"/>
  <c r="H62" i="45" s="1"/>
  <c r="H15" i="45"/>
  <c r="S260" i="83"/>
  <c r="R287" i="83"/>
  <c r="P273" i="83"/>
  <c r="P258" i="83"/>
  <c r="M284" i="83"/>
  <c r="D10" i="45" s="1"/>
  <c r="N231" i="83"/>
  <c r="O231" i="83" s="1"/>
  <c r="P231" i="83" s="1"/>
  <c r="Q231" i="83" s="1"/>
  <c r="M233" i="83"/>
  <c r="P286" i="83"/>
  <c r="G14" i="45" s="1"/>
  <c r="Q256" i="83"/>
  <c r="AB286" i="83"/>
  <c r="T14" i="45" s="1"/>
  <c r="Q271" i="83"/>
  <c r="M62" i="83"/>
  <c r="K155" i="83"/>
  <c r="L155" i="83" s="1"/>
  <c r="M155" i="83" s="1"/>
  <c r="N60" i="83"/>
  <c r="N138" i="83"/>
  <c r="O138" i="83" s="1"/>
  <c r="M140" i="83"/>
  <c r="N153" i="83"/>
  <c r="Y284" i="83"/>
  <c r="Q10" i="45" s="1"/>
  <c r="N216" i="83"/>
  <c r="M218" i="83"/>
  <c r="D26" i="90"/>
  <c r="AA61" i="45"/>
  <c r="AA73" i="45" s="1"/>
  <c r="D61" i="45"/>
  <c r="D7" i="103" s="1"/>
  <c r="AA11" i="45"/>
  <c r="Q82" i="45"/>
  <c r="AA55" i="45"/>
  <c r="N294" i="83"/>
  <c r="E61" i="45" s="1"/>
  <c r="E7" i="103" s="1"/>
  <c r="AI294" i="83"/>
  <c r="AB11" i="45"/>
  <c r="K12" i="85"/>
  <c r="O75" i="83"/>
  <c r="P64" i="83"/>
  <c r="O285" i="83"/>
  <c r="F11" i="45" s="1"/>
  <c r="S252" i="83"/>
  <c r="S254" i="83"/>
  <c r="P212" i="83"/>
  <c r="P214" i="83"/>
  <c r="T211" i="83"/>
  <c r="T215" i="83" s="1"/>
  <c r="N77" i="83"/>
  <c r="P136" i="83"/>
  <c r="T133" i="83"/>
  <c r="T137" i="83" s="1"/>
  <c r="P134" i="83"/>
  <c r="O56" i="83"/>
  <c r="P293" i="83"/>
  <c r="G55" i="45" s="1"/>
  <c r="G6" i="103" s="1"/>
  <c r="O58" i="83"/>
  <c r="S55" i="83"/>
  <c r="S59" i="83" s="1"/>
  <c r="O12" i="45"/>
  <c r="N43" i="103" l="1"/>
  <c r="O43" i="103"/>
  <c r="E52" i="90"/>
  <c r="C12" i="97"/>
  <c r="D33" i="90"/>
  <c r="D35" i="90" s="1"/>
  <c r="D35" i="103"/>
  <c r="D46" i="103" s="1"/>
  <c r="M26" i="90"/>
  <c r="C52" i="90"/>
  <c r="E26" i="90"/>
  <c r="E49" i="90" s="1"/>
  <c r="N22" i="90"/>
  <c r="D52" i="90" s="1"/>
  <c r="G16" i="90"/>
  <c r="G57" i="45"/>
  <c r="J26" i="85"/>
  <c r="J19" i="85"/>
  <c r="J48" i="85"/>
  <c r="J36" i="85"/>
  <c r="J41" i="85"/>
  <c r="J21" i="85"/>
  <c r="J50" i="85"/>
  <c r="M12" i="85"/>
  <c r="O12" i="85"/>
  <c r="T260" i="83"/>
  <c r="S287" i="83"/>
  <c r="R296" i="83"/>
  <c r="I62" i="45" s="1"/>
  <c r="I15" i="45"/>
  <c r="N233" i="83"/>
  <c r="O233" i="83" s="1"/>
  <c r="P233" i="83" s="1"/>
  <c r="Q233" i="83" s="1"/>
  <c r="N218" i="83"/>
  <c r="R231" i="83"/>
  <c r="S231" i="83" s="1"/>
  <c r="T231" i="83" s="1"/>
  <c r="U231" i="83" s="1"/>
  <c r="V231" i="83" s="1"/>
  <c r="N140" i="83"/>
  <c r="O140" i="83" s="1"/>
  <c r="Q286" i="83"/>
  <c r="H14" i="45" s="1"/>
  <c r="R256" i="83"/>
  <c r="Q258" i="83"/>
  <c r="Q273" i="83"/>
  <c r="R271" i="83"/>
  <c r="AC286" i="83"/>
  <c r="U14" i="45" s="1"/>
  <c r="N155" i="83"/>
  <c r="N62" i="83"/>
  <c r="Z284" i="83"/>
  <c r="R10" i="45" s="1"/>
  <c r="O153" i="83"/>
  <c r="O60" i="83"/>
  <c r="N284" i="83"/>
  <c r="E10" i="45" s="1"/>
  <c r="E16" i="103" s="1"/>
  <c r="E41" i="103" s="1"/>
  <c r="O216" i="83"/>
  <c r="E8" i="89"/>
  <c r="E25" i="89"/>
  <c r="D37" i="90"/>
  <c r="Q16" i="45"/>
  <c r="P138" i="83"/>
  <c r="T252" i="83"/>
  <c r="T295" i="83"/>
  <c r="K56" i="45" s="1"/>
  <c r="O294" i="83"/>
  <c r="F61" i="45" s="1"/>
  <c r="F7" i="103" s="1"/>
  <c r="Q64" i="83"/>
  <c r="P285" i="83"/>
  <c r="G11" i="45" s="1"/>
  <c r="P75" i="83"/>
  <c r="O77" i="83"/>
  <c r="U295" i="83"/>
  <c r="L56" i="45" s="1"/>
  <c r="T254" i="83"/>
  <c r="Q214" i="83"/>
  <c r="U211" i="83"/>
  <c r="U215" i="83" s="1"/>
  <c r="Q212" i="83"/>
  <c r="Q134" i="83"/>
  <c r="Q136" i="83"/>
  <c r="U133" i="83"/>
  <c r="U137" i="83" s="1"/>
  <c r="P58" i="83"/>
  <c r="Q293" i="83"/>
  <c r="H55" i="45" s="1"/>
  <c r="H6" i="103" s="1"/>
  <c r="O6" i="103" s="1"/>
  <c r="T55" i="83"/>
  <c r="T59" i="83" s="1"/>
  <c r="P56" i="83"/>
  <c r="N12" i="45"/>
  <c r="D16" i="103" l="1"/>
  <c r="D41" i="103" s="1"/>
  <c r="C7" i="102"/>
  <c r="E35" i="103"/>
  <c r="C49" i="90"/>
  <c r="B6" i="97"/>
  <c r="N26" i="90"/>
  <c r="D49" i="90" s="1"/>
  <c r="F12" i="97"/>
  <c r="H16" i="90"/>
  <c r="H57" i="45"/>
  <c r="U260" i="83"/>
  <c r="T287" i="83"/>
  <c r="S296" i="83"/>
  <c r="J62" i="45" s="1"/>
  <c r="J15" i="45"/>
  <c r="R258" i="83"/>
  <c r="R286" i="83"/>
  <c r="I14" i="45" s="1"/>
  <c r="S256" i="83"/>
  <c r="R233" i="83"/>
  <c r="S233" i="83" s="1"/>
  <c r="T233" i="83" s="1"/>
  <c r="U233" i="83" s="1"/>
  <c r="V233" i="83" s="1"/>
  <c r="R273" i="83"/>
  <c r="S271" i="83"/>
  <c r="AD286" i="83"/>
  <c r="V14" i="45" s="1"/>
  <c r="E33" i="90"/>
  <c r="E35" i="90" s="1"/>
  <c r="E16" i="45"/>
  <c r="P153" i="83"/>
  <c r="O155" i="83"/>
  <c r="AA284" i="83"/>
  <c r="S10" i="45" s="1"/>
  <c r="P60" i="83"/>
  <c r="E37" i="90"/>
  <c r="E41" i="90" s="1"/>
  <c r="R16" i="45"/>
  <c r="R37" i="45" s="1"/>
  <c r="O284" i="83"/>
  <c r="F10" i="45" s="1"/>
  <c r="O62" i="83"/>
  <c r="O218" i="83"/>
  <c r="P216" i="83"/>
  <c r="D41" i="90"/>
  <c r="P140" i="83"/>
  <c r="Q138" i="83"/>
  <c r="U252" i="83"/>
  <c r="P294" i="83"/>
  <c r="G61" i="45" s="1"/>
  <c r="G7" i="103" s="1"/>
  <c r="Q75" i="83"/>
  <c r="P77" i="83"/>
  <c r="R64" i="83"/>
  <c r="Q285" i="83"/>
  <c r="H11" i="45" s="1"/>
  <c r="U254" i="83"/>
  <c r="R214" i="83"/>
  <c r="V211" i="83"/>
  <c r="V215" i="83" s="1"/>
  <c r="R212" i="83"/>
  <c r="R136" i="83"/>
  <c r="V133" i="83"/>
  <c r="V137" i="83" s="1"/>
  <c r="R134" i="83"/>
  <c r="Q58" i="83"/>
  <c r="R293" i="83"/>
  <c r="I55" i="45" s="1"/>
  <c r="I6" i="103" s="1"/>
  <c r="U55" i="83"/>
  <c r="U59" i="83" s="1"/>
  <c r="Q56" i="83"/>
  <c r="D47" i="103" l="1"/>
  <c r="D49" i="103" s="1"/>
  <c r="E36" i="103"/>
  <c r="E46" i="103"/>
  <c r="F35" i="103"/>
  <c r="F46" i="103" s="1"/>
  <c r="F33" i="90"/>
  <c r="F35" i="90" s="1"/>
  <c r="S258" i="83"/>
  <c r="I16" i="90"/>
  <c r="I57" i="45"/>
  <c r="P155" i="83"/>
  <c r="V260" i="83"/>
  <c r="V287" i="83" s="1"/>
  <c r="U287" i="83"/>
  <c r="T296" i="83"/>
  <c r="K62" i="45" s="1"/>
  <c r="K15" i="45"/>
  <c r="S286" i="83"/>
  <c r="J14" i="45" s="1"/>
  <c r="T256" i="83"/>
  <c r="S273" i="83"/>
  <c r="T271" i="83"/>
  <c r="AE286" i="83"/>
  <c r="W14" i="45" s="1"/>
  <c r="E43" i="90"/>
  <c r="P62" i="83"/>
  <c r="AB284" i="83"/>
  <c r="T10" i="45" s="1"/>
  <c r="Q153" i="83"/>
  <c r="S16" i="45"/>
  <c r="F37" i="90"/>
  <c r="F41" i="90" s="1"/>
  <c r="P218" i="83"/>
  <c r="Q60" i="83"/>
  <c r="P284" i="83"/>
  <c r="G10" i="45" s="1"/>
  <c r="Q216" i="83"/>
  <c r="R216" i="83" s="1"/>
  <c r="D43" i="90"/>
  <c r="D42" i="90" s="1"/>
  <c r="Q140" i="83"/>
  <c r="R138" i="83"/>
  <c r="V252" i="83"/>
  <c r="V254" i="83"/>
  <c r="V295" i="83"/>
  <c r="M56" i="45" s="1"/>
  <c r="Q294" i="83"/>
  <c r="H61" i="45" s="1"/>
  <c r="H7" i="103" s="1"/>
  <c r="O7" i="103" s="1"/>
  <c r="O16" i="103" s="1"/>
  <c r="Q77" i="83"/>
  <c r="S64" i="83"/>
  <c r="R285" i="83"/>
  <c r="I11" i="45" s="1"/>
  <c r="R75" i="83"/>
  <c r="S214" i="83"/>
  <c r="S212" i="83"/>
  <c r="S136" i="83"/>
  <c r="S134" i="83"/>
  <c r="R56" i="83"/>
  <c r="R58" i="83"/>
  <c r="S293" i="83"/>
  <c r="J55" i="45" s="1"/>
  <c r="J6" i="103" s="1"/>
  <c r="V55" i="83"/>
  <c r="V59" i="83" s="1"/>
  <c r="D48" i="103" l="1"/>
  <c r="O37" i="103"/>
  <c r="O36" i="103"/>
  <c r="E47" i="103"/>
  <c r="E49" i="103" s="1"/>
  <c r="E48" i="103"/>
  <c r="F43" i="90"/>
  <c r="F16" i="103"/>
  <c r="F41" i="103" s="1"/>
  <c r="G35" i="103"/>
  <c r="G46" i="103" s="1"/>
  <c r="G33" i="90"/>
  <c r="G35" i="90" s="1"/>
  <c r="G16" i="103"/>
  <c r="G41" i="103" s="1"/>
  <c r="E44" i="90"/>
  <c r="E42" i="90"/>
  <c r="D44" i="90"/>
  <c r="J16" i="90"/>
  <c r="J57" i="45"/>
  <c r="L15" i="45"/>
  <c r="U296" i="83"/>
  <c r="L62" i="45" s="1"/>
  <c r="V296" i="83"/>
  <c r="M15" i="45"/>
  <c r="T286" i="83"/>
  <c r="K14" i="45" s="1"/>
  <c r="T258" i="83"/>
  <c r="U256" i="83"/>
  <c r="U271" i="83"/>
  <c r="AF286" i="83"/>
  <c r="X14" i="45" s="1"/>
  <c r="T273" i="83"/>
  <c r="Q62" i="83"/>
  <c r="R60" i="83"/>
  <c r="R153" i="83"/>
  <c r="AC284" i="83"/>
  <c r="U10" i="45" s="1"/>
  <c r="Q155" i="83"/>
  <c r="T16" i="45"/>
  <c r="G37" i="90"/>
  <c r="G41" i="90" s="1"/>
  <c r="Q218" i="83"/>
  <c r="R218" i="83" s="1"/>
  <c r="Q284" i="83"/>
  <c r="H10" i="45" s="1"/>
  <c r="R140" i="83"/>
  <c r="S138" i="83"/>
  <c r="W295" i="83"/>
  <c r="R294" i="83"/>
  <c r="I61" i="45" s="1"/>
  <c r="I7" i="103" s="1"/>
  <c r="T64" i="83"/>
  <c r="S285" i="83"/>
  <c r="J11" i="45" s="1"/>
  <c r="S216" i="83"/>
  <c r="S75" i="83"/>
  <c r="R77" i="83"/>
  <c r="T212" i="83"/>
  <c r="T134" i="83"/>
  <c r="T214" i="83"/>
  <c r="S56" i="83"/>
  <c r="T136" i="83"/>
  <c r="T293" i="83"/>
  <c r="K55" i="45" s="1"/>
  <c r="K6" i="103" s="1"/>
  <c r="S58" i="83"/>
  <c r="W287" i="83"/>
  <c r="AA33" i="45"/>
  <c r="AA35" i="45" s="1"/>
  <c r="AB65" i="45"/>
  <c r="AB33" i="45"/>
  <c r="F42" i="90" l="1"/>
  <c r="F44" i="90"/>
  <c r="F47" i="103"/>
  <c r="F49" i="103" s="1"/>
  <c r="G47" i="103"/>
  <c r="G49" i="103" s="1"/>
  <c r="G43" i="90"/>
  <c r="G36" i="103"/>
  <c r="F36" i="103"/>
  <c r="H35" i="103"/>
  <c r="H46" i="103" s="1"/>
  <c r="O46" i="103" s="1"/>
  <c r="H33" i="90"/>
  <c r="H35" i="90" s="1"/>
  <c r="C6" i="102"/>
  <c r="N10" i="103"/>
  <c r="K16" i="90"/>
  <c r="K57" i="45"/>
  <c r="M62" i="45"/>
  <c r="W296" i="83"/>
  <c r="U258" i="83"/>
  <c r="AG286" i="83"/>
  <c r="Y14" i="45" s="1"/>
  <c r="V271" i="83"/>
  <c r="AH286" i="83" s="1"/>
  <c r="Z14" i="45" s="1"/>
  <c r="U273" i="83"/>
  <c r="U286" i="83"/>
  <c r="L14" i="45" s="1"/>
  <c r="V256" i="83"/>
  <c r="S140" i="83"/>
  <c r="R155" i="83"/>
  <c r="AD284" i="83"/>
  <c r="V10" i="45" s="1"/>
  <c r="S153" i="83"/>
  <c r="U16" i="45"/>
  <c r="H37" i="90"/>
  <c r="H41" i="90" s="1"/>
  <c r="S60" i="83"/>
  <c r="S284" i="83" s="1"/>
  <c r="J10" i="45" s="1"/>
  <c r="R284" i="83"/>
  <c r="I10" i="45" s="1"/>
  <c r="R62" i="83"/>
  <c r="T138" i="83"/>
  <c r="S218" i="83"/>
  <c r="O56" i="45"/>
  <c r="N56" i="45"/>
  <c r="S294" i="83"/>
  <c r="J61" i="45" s="1"/>
  <c r="J7" i="103" s="1"/>
  <c r="T216" i="83"/>
  <c r="T75" i="83"/>
  <c r="S77" i="83"/>
  <c r="U64" i="83"/>
  <c r="T285" i="83"/>
  <c r="K11" i="45" s="1"/>
  <c r="U134" i="83"/>
  <c r="U214" i="83"/>
  <c r="V214" i="83"/>
  <c r="U212" i="83"/>
  <c r="U136" i="83"/>
  <c r="V136" i="83"/>
  <c r="T58" i="83"/>
  <c r="U293" i="83"/>
  <c r="L55" i="45" s="1"/>
  <c r="L6" i="103" s="1"/>
  <c r="T56" i="83"/>
  <c r="AA43" i="45"/>
  <c r="AB43" i="45"/>
  <c r="AB18" i="45"/>
  <c r="AB61" i="45"/>
  <c r="O33" i="45"/>
  <c r="O18" i="45"/>
  <c r="AA18" i="45"/>
  <c r="N18" i="45"/>
  <c r="N33" i="45"/>
  <c r="N35" i="45" s="1"/>
  <c r="F48" i="103" l="1"/>
  <c r="G48" i="103" s="1"/>
  <c r="N28" i="103"/>
  <c r="H43" i="90"/>
  <c r="G42" i="90"/>
  <c r="G44" i="90"/>
  <c r="H16" i="103"/>
  <c r="H41" i="103" s="1"/>
  <c r="O41" i="103" s="1"/>
  <c r="C13" i="102"/>
  <c r="C20" i="102" s="1"/>
  <c r="I35" i="103"/>
  <c r="I46" i="103" s="1"/>
  <c r="J33" i="90"/>
  <c r="J35" i="90" s="1"/>
  <c r="J16" i="103"/>
  <c r="J41" i="103" s="1"/>
  <c r="I33" i="90"/>
  <c r="I35" i="90" s="1"/>
  <c r="I16" i="103"/>
  <c r="I41" i="103" s="1"/>
  <c r="L16" i="90"/>
  <c r="L57" i="45"/>
  <c r="V273" i="83"/>
  <c r="V286" i="83"/>
  <c r="M14" i="45" s="1"/>
  <c r="N9" i="103" s="1"/>
  <c r="V258" i="83"/>
  <c r="T140" i="83"/>
  <c r="S62" i="83"/>
  <c r="T153" i="83"/>
  <c r="S155" i="83"/>
  <c r="AE284" i="83"/>
  <c r="W10" i="45" s="1"/>
  <c r="V16" i="45"/>
  <c r="I37" i="90"/>
  <c r="I41" i="90" s="1"/>
  <c r="T60" i="83"/>
  <c r="U138" i="83"/>
  <c r="T218" i="83"/>
  <c r="T294" i="83"/>
  <c r="K61" i="45" s="1"/>
  <c r="K7" i="103" s="1"/>
  <c r="U216" i="83"/>
  <c r="V216" i="83" s="1"/>
  <c r="T77" i="83"/>
  <c r="V64" i="83"/>
  <c r="V285" i="83" s="1"/>
  <c r="U285" i="83"/>
  <c r="L11" i="45" s="1"/>
  <c r="U75" i="83"/>
  <c r="V212" i="83"/>
  <c r="V134" i="83"/>
  <c r="U58" i="83"/>
  <c r="V293" i="83"/>
  <c r="M55" i="45" s="1"/>
  <c r="M6" i="103" s="1"/>
  <c r="N6" i="103" s="1"/>
  <c r="U56" i="83"/>
  <c r="K16" i="85"/>
  <c r="AB42" i="45"/>
  <c r="AA42" i="45"/>
  <c r="O62" i="45"/>
  <c r="O60" i="45"/>
  <c r="N60" i="45"/>
  <c r="AB60" i="45"/>
  <c r="O65" i="45"/>
  <c r="N65" i="45"/>
  <c r="H42" i="90" l="1"/>
  <c r="K6" i="97"/>
  <c r="K7" i="97" s="1"/>
  <c r="H44" i="90"/>
  <c r="H47" i="103"/>
  <c r="O47" i="103" s="1"/>
  <c r="I47" i="103"/>
  <c r="I49" i="103" s="1"/>
  <c r="I43" i="90"/>
  <c r="I36" i="103"/>
  <c r="H36" i="103"/>
  <c r="D15" i="102"/>
  <c r="D16" i="102" s="1"/>
  <c r="J35" i="103"/>
  <c r="M16" i="90"/>
  <c r="N16" i="90" s="1"/>
  <c r="M57" i="45"/>
  <c r="M16" i="85"/>
  <c r="O16" i="85"/>
  <c r="T155" i="83"/>
  <c r="AF284" i="83"/>
  <c r="X10" i="45" s="1"/>
  <c r="U153" i="83"/>
  <c r="W16" i="45"/>
  <c r="J37" i="90"/>
  <c r="J41" i="90" s="1"/>
  <c r="J43" i="90" s="1"/>
  <c r="J42" i="90" s="1"/>
  <c r="U60" i="83"/>
  <c r="U284" i="83" s="1"/>
  <c r="L10" i="45" s="1"/>
  <c r="T284" i="83"/>
  <c r="K10" i="45" s="1"/>
  <c r="T62" i="83"/>
  <c r="V138" i="83"/>
  <c r="U140" i="83"/>
  <c r="V294" i="83"/>
  <c r="M61" i="45" s="1"/>
  <c r="M7" i="103" s="1"/>
  <c r="M11" i="45"/>
  <c r="N8" i="103" s="1"/>
  <c r="U294" i="83"/>
  <c r="L61" i="45" s="1"/>
  <c r="L7" i="103" s="1"/>
  <c r="U218" i="83"/>
  <c r="V218" i="83" s="1"/>
  <c r="O55" i="45"/>
  <c r="N55" i="45"/>
  <c r="N57" i="45" s="1"/>
  <c r="V75" i="83"/>
  <c r="V58" i="83"/>
  <c r="W293" i="83"/>
  <c r="U77" i="83"/>
  <c r="V56" i="83"/>
  <c r="AI286" i="83"/>
  <c r="W285" i="83"/>
  <c r="AB41" i="45"/>
  <c r="AA41" i="45"/>
  <c r="N62" i="45"/>
  <c r="AB62" i="45"/>
  <c r="H48" i="103" l="1"/>
  <c r="I48" i="103" s="1"/>
  <c r="H49" i="103"/>
  <c r="J36" i="103"/>
  <c r="J46" i="103"/>
  <c r="I42" i="90"/>
  <c r="I44" i="90"/>
  <c r="K35" i="103"/>
  <c r="K46" i="103" s="1"/>
  <c r="L33" i="90"/>
  <c r="L35" i="90" s="1"/>
  <c r="L16" i="103"/>
  <c r="L41" i="103" s="1"/>
  <c r="K33" i="90"/>
  <c r="K35" i="90" s="1"/>
  <c r="J44" i="90"/>
  <c r="V153" i="83"/>
  <c r="AH284" i="83" s="1"/>
  <c r="Z10" i="45" s="1"/>
  <c r="U155" i="83"/>
  <c r="AG284" i="83"/>
  <c r="Y10" i="45" s="1"/>
  <c r="X16" i="45"/>
  <c r="K37" i="90"/>
  <c r="U62" i="83"/>
  <c r="V140" i="83"/>
  <c r="V60" i="83"/>
  <c r="W294" i="83"/>
  <c r="V77" i="83"/>
  <c r="O61" i="45"/>
  <c r="N61" i="45"/>
  <c r="O11" i="45"/>
  <c r="N11" i="45"/>
  <c r="AA44" i="45"/>
  <c r="AA48" i="45" s="1"/>
  <c r="R7" i="90"/>
  <c r="AB44" i="45"/>
  <c r="J47" i="103" l="1"/>
  <c r="J48" i="103" s="1"/>
  <c r="K16" i="103"/>
  <c r="K41" i="103" s="1"/>
  <c r="M37" i="90"/>
  <c r="M41" i="90" s="1"/>
  <c r="H6" i="97" s="1"/>
  <c r="N26" i="103"/>
  <c r="N35" i="103" s="1"/>
  <c r="L35" i="103"/>
  <c r="V62" i="83"/>
  <c r="V284" i="83"/>
  <c r="M10" i="45" s="1"/>
  <c r="V155" i="83"/>
  <c r="L37" i="90"/>
  <c r="Y16" i="45"/>
  <c r="K41" i="90"/>
  <c r="X8" i="90"/>
  <c r="AB48" i="45"/>
  <c r="W286" i="83"/>
  <c r="K11" i="85"/>
  <c r="AI284" i="83"/>
  <c r="AB8" i="45"/>
  <c r="AI282" i="83"/>
  <c r="AB70" i="45"/>
  <c r="J49" i="103" l="1"/>
  <c r="K47" i="103"/>
  <c r="K48" i="103" s="1"/>
  <c r="K49" i="103"/>
  <c r="L36" i="103"/>
  <c r="L46" i="103"/>
  <c r="K36" i="103"/>
  <c r="M35" i="103"/>
  <c r="M46" i="103" s="1"/>
  <c r="M33" i="90"/>
  <c r="M11" i="85"/>
  <c r="O11" i="85"/>
  <c r="L41" i="90"/>
  <c r="N37" i="90"/>
  <c r="K43" i="90"/>
  <c r="K42" i="90" s="1"/>
  <c r="AA8" i="45"/>
  <c r="K8" i="85"/>
  <c r="Z16" i="45"/>
  <c r="L47" i="103" l="1"/>
  <c r="L48" i="103" s="1"/>
  <c r="N46" i="103"/>
  <c r="M35" i="90"/>
  <c r="M43" i="90" s="1"/>
  <c r="M42" i="90" s="1"/>
  <c r="N33" i="90"/>
  <c r="N7" i="103"/>
  <c r="N16" i="103" s="1"/>
  <c r="N37" i="103" s="1"/>
  <c r="M16" i="103"/>
  <c r="M41" i="103" s="1"/>
  <c r="K44" i="90"/>
  <c r="D78" i="45"/>
  <c r="D73" i="45"/>
  <c r="D75" i="45" s="1"/>
  <c r="D17" i="90"/>
  <c r="M8" i="85"/>
  <c r="O8" i="85"/>
  <c r="L43" i="90"/>
  <c r="L42" i="90" s="1"/>
  <c r="N41" i="90"/>
  <c r="K19" i="85"/>
  <c r="E25" i="88" s="1"/>
  <c r="L49" i="103" l="1"/>
  <c r="M47" i="103"/>
  <c r="N41" i="103"/>
  <c r="H4" i="97"/>
  <c r="N35" i="90"/>
  <c r="N43" i="90" s="1"/>
  <c r="N36" i="103"/>
  <c r="M36" i="103"/>
  <c r="M44" i="90"/>
  <c r="H2" i="97" s="1"/>
  <c r="L44" i="90"/>
  <c r="O19" i="85"/>
  <c r="C8" i="95"/>
  <c r="D82" i="45"/>
  <c r="D83" i="45" s="1"/>
  <c r="E7" i="89"/>
  <c r="E9" i="89" s="1"/>
  <c r="E12" i="89" s="1"/>
  <c r="E14" i="89" s="1"/>
  <c r="E15" i="89" s="1"/>
  <c r="E24" i="89"/>
  <c r="E26" i="89" s="1"/>
  <c r="E29" i="89" s="1"/>
  <c r="E31" i="89" s="1"/>
  <c r="E32" i="89" s="1"/>
  <c r="D92" i="45"/>
  <c r="E8" i="94"/>
  <c r="D19" i="90"/>
  <c r="E78" i="45"/>
  <c r="E17" i="90"/>
  <c r="M19" i="85"/>
  <c r="U8" i="85" s="1"/>
  <c r="N10" i="45"/>
  <c r="W284" i="83"/>
  <c r="D94" i="45" l="1"/>
  <c r="B12" i="97"/>
  <c r="N47" i="103"/>
  <c r="M48" i="103"/>
  <c r="M49" i="103"/>
  <c r="K4" i="97"/>
  <c r="K5" i="97" s="1"/>
  <c r="N42" i="90"/>
  <c r="N44" i="90"/>
  <c r="K2" i="97" s="1"/>
  <c r="C9" i="95"/>
  <c r="C19" i="95" s="1"/>
  <c r="C18" i="95"/>
  <c r="C30" i="95" s="1"/>
  <c r="D28" i="90"/>
  <c r="D27" i="90" s="1"/>
  <c r="E19" i="90"/>
  <c r="F17" i="90"/>
  <c r="F78" i="45"/>
  <c r="O10" i="45"/>
  <c r="E73" i="45"/>
  <c r="R73" i="45"/>
  <c r="Q73" i="45"/>
  <c r="Q75" i="45" s="1"/>
  <c r="C10" i="97" l="1"/>
  <c r="C11" i="97" s="1"/>
  <c r="E28" i="90"/>
  <c r="E27" i="90" s="1"/>
  <c r="E12" i="97"/>
  <c r="D29" i="90"/>
  <c r="B10" i="97" s="1"/>
  <c r="C31" i="95"/>
  <c r="C45" i="95"/>
  <c r="C46" i="95" s="1"/>
  <c r="F19" i="90"/>
  <c r="G17" i="90"/>
  <c r="G78" i="45"/>
  <c r="E9" i="94"/>
  <c r="E10" i="94" s="1"/>
  <c r="E13" i="94" s="1"/>
  <c r="Q83" i="45"/>
  <c r="S73" i="45"/>
  <c r="F73" i="45"/>
  <c r="S37" i="45"/>
  <c r="Q37" i="45"/>
  <c r="Q49" i="45" s="1"/>
  <c r="F10" i="97" l="1"/>
  <c r="F11" i="97" s="1"/>
  <c r="E29" i="90"/>
  <c r="E10" i="97" s="1"/>
  <c r="F28" i="90"/>
  <c r="F27" i="90" s="1"/>
  <c r="G19" i="90"/>
  <c r="H78" i="45"/>
  <c r="H17" i="90"/>
  <c r="T73" i="45"/>
  <c r="G73" i="45"/>
  <c r="G28" i="90" l="1"/>
  <c r="G27" i="90" s="1"/>
  <c r="G29" i="90"/>
  <c r="F29" i="90"/>
  <c r="H19" i="90"/>
  <c r="E47" i="90" s="1"/>
  <c r="E48" i="90" s="1"/>
  <c r="I78" i="45"/>
  <c r="I17" i="90"/>
  <c r="U37" i="45"/>
  <c r="H73" i="45"/>
  <c r="T37" i="45"/>
  <c r="H28" i="90" l="1"/>
  <c r="I19" i="90"/>
  <c r="I28" i="90" s="1"/>
  <c r="I27" i="90" s="1"/>
  <c r="J17" i="90"/>
  <c r="J78" i="45"/>
  <c r="I73" i="45"/>
  <c r="V73" i="45"/>
  <c r="V37" i="45"/>
  <c r="U73" i="45"/>
  <c r="H27" i="90" l="1"/>
  <c r="D11" i="90"/>
  <c r="E6" i="97"/>
  <c r="E7" i="97" s="1"/>
  <c r="I29" i="90"/>
  <c r="H29" i="90"/>
  <c r="D12" i="90" s="1"/>
  <c r="J19" i="90"/>
  <c r="K17" i="90"/>
  <c r="K78" i="45"/>
  <c r="W73" i="45"/>
  <c r="J73" i="45"/>
  <c r="J28" i="90" l="1"/>
  <c r="J27" i="90" s="1"/>
  <c r="K19" i="90"/>
  <c r="K28" i="90" s="1"/>
  <c r="K27" i="90" s="1"/>
  <c r="L78" i="45"/>
  <c r="L17" i="90"/>
  <c r="W37" i="45"/>
  <c r="K73" i="45"/>
  <c r="J29" i="90" l="1"/>
  <c r="K29" i="90"/>
  <c r="L19" i="90"/>
  <c r="O30" i="45"/>
  <c r="AA14" i="45"/>
  <c r="AB54" i="45"/>
  <c r="AA54" i="45"/>
  <c r="AA57" i="45" s="1"/>
  <c r="AB14" i="45"/>
  <c r="X37" i="45"/>
  <c r="L73" i="45"/>
  <c r="X73" i="45"/>
  <c r="Y73" i="45"/>
  <c r="O68" i="45"/>
  <c r="O54" i="45"/>
  <c r="L28" i="90" l="1"/>
  <c r="L27" i="90" s="1"/>
  <c r="N66" i="45"/>
  <c r="N73" i="45" s="1"/>
  <c r="M78" i="45"/>
  <c r="M17" i="90"/>
  <c r="AA20" i="45"/>
  <c r="AA22" i="45" s="1"/>
  <c r="M73" i="45"/>
  <c r="O73" i="45" s="1"/>
  <c r="AB22" i="45"/>
  <c r="AB20" i="45"/>
  <c r="O66" i="45"/>
  <c r="AA30" i="45"/>
  <c r="AA31" i="45" s="1"/>
  <c r="AB30" i="45"/>
  <c r="Y37" i="45"/>
  <c r="AB68" i="45"/>
  <c r="O31" i="45"/>
  <c r="O20" i="45"/>
  <c r="O22" i="45"/>
  <c r="N20" i="45"/>
  <c r="N22" i="45" s="1"/>
  <c r="O14" i="45"/>
  <c r="N14" i="45"/>
  <c r="L29" i="90" l="1"/>
  <c r="N17" i="90"/>
  <c r="M19" i="90"/>
  <c r="AB66" i="45"/>
  <c r="Z73" i="45"/>
  <c r="AB73" i="45" s="1"/>
  <c r="B4" i="97" l="1"/>
  <c r="C47" i="90"/>
  <c r="C48" i="90" s="1"/>
  <c r="N19" i="90"/>
  <c r="M28" i="90"/>
  <c r="M27" i="90" s="1"/>
  <c r="Z37" i="45"/>
  <c r="AB31" i="45"/>
  <c r="N28" i="90" l="1"/>
  <c r="E4" i="97" s="1"/>
  <c r="E5" i="97" s="1"/>
  <c r="D47" i="90"/>
  <c r="D48" i="90" s="1"/>
  <c r="C11" i="90"/>
  <c r="M29" i="90"/>
  <c r="K50" i="85"/>
  <c r="R8" i="90"/>
  <c r="N29" i="90" l="1"/>
  <c r="E2" i="97" s="1"/>
  <c r="N27" i="90"/>
  <c r="C12" i="90"/>
  <c r="B2" i="97"/>
  <c r="O50" i="85"/>
  <c r="K51" i="85"/>
  <c r="M51" i="85" s="1"/>
  <c r="M50" i="85"/>
  <c r="N19" i="85" s="1"/>
  <c r="X9" i="90"/>
  <c r="R9" i="90"/>
  <c r="X10" i="90" s="1"/>
  <c r="N26" i="85" l="1"/>
  <c r="N36" i="85"/>
  <c r="N21" i="85"/>
  <c r="N41" i="85"/>
  <c r="N48" i="85"/>
  <c r="N50" i="85"/>
  <c r="AM9" i="90"/>
  <c r="C75" i="45" l="1"/>
  <c r="C82" i="45"/>
  <c r="C83" i="45" l="1"/>
  <c r="D8" i="94"/>
  <c r="D9" i="94" s="1"/>
  <c r="D10" i="94" s="1"/>
  <c r="D13" i="94" s="1"/>
  <c r="D15" i="94" s="1"/>
  <c r="D17" i="94" s="1"/>
  <c r="E12" i="94" s="1"/>
  <c r="E15" i="94" s="1"/>
  <c r="D24" i="89"/>
  <c r="D26" i="89" s="1"/>
  <c r="D29" i="89" s="1"/>
  <c r="D31" i="89" s="1"/>
  <c r="D32" i="89" s="1"/>
  <c r="D7" i="89"/>
  <c r="D9" i="89" s="1"/>
  <c r="D12" i="89" s="1"/>
  <c r="D14" i="89" s="1"/>
  <c r="D15" i="89" s="1"/>
  <c r="Q92" i="45"/>
  <c r="E37" i="45"/>
  <c r="E49" i="45" s="1"/>
  <c r="R82" i="45"/>
  <c r="E17" i="94" l="1"/>
  <c r="F12" i="94" s="1"/>
  <c r="E75" i="45"/>
  <c r="D18" i="94"/>
  <c r="D19" i="94" s="1"/>
  <c r="R75" i="45"/>
  <c r="F25" i="89"/>
  <c r="F8" i="89"/>
  <c r="D16" i="45"/>
  <c r="Q94" i="45"/>
  <c r="D98" i="45"/>
  <c r="D97" i="45"/>
  <c r="F16" i="45"/>
  <c r="F37" i="45" s="1"/>
  <c r="F8" i="94" l="1"/>
  <c r="E92" i="45"/>
  <c r="F7" i="89"/>
  <c r="F9" i="89" s="1"/>
  <c r="F12" i="89" s="1"/>
  <c r="F14" i="89" s="1"/>
  <c r="F15" i="89" s="1"/>
  <c r="F24" i="89"/>
  <c r="F26" i="89" s="1"/>
  <c r="F29" i="89" s="1"/>
  <c r="E82" i="45"/>
  <c r="E83" i="45" s="1"/>
  <c r="D8" i="95"/>
  <c r="F75" i="45"/>
  <c r="F9" i="94"/>
  <c r="R83" i="45"/>
  <c r="E18" i="94"/>
  <c r="R92" i="45"/>
  <c r="D37" i="45"/>
  <c r="D49" i="45" s="1"/>
  <c r="Q98" i="45"/>
  <c r="Q97" i="45"/>
  <c r="G16" i="45"/>
  <c r="G37" i="45" s="1"/>
  <c r="S82" i="45"/>
  <c r="F49" i="45"/>
  <c r="E94" i="45" l="1"/>
  <c r="R94" i="45"/>
  <c r="F10" i="94"/>
  <c r="F13" i="94" s="1"/>
  <c r="F15" i="94" s="1"/>
  <c r="F17" i="94" s="1"/>
  <c r="G8" i="94"/>
  <c r="F92" i="45"/>
  <c r="G24" i="89"/>
  <c r="G7" i="89"/>
  <c r="E97" i="45"/>
  <c r="E98" i="45"/>
  <c r="D9" i="95"/>
  <c r="D18" i="95"/>
  <c r="D30" i="95" s="1"/>
  <c r="F82" i="45"/>
  <c r="F83" i="45" s="1"/>
  <c r="E8" i="95"/>
  <c r="G75" i="45"/>
  <c r="G92" i="45" s="1"/>
  <c r="G94" i="45" s="1"/>
  <c r="G98" i="45" s="1"/>
  <c r="R98" i="45"/>
  <c r="E19" i="94"/>
  <c r="F31" i="89"/>
  <c r="F32" i="89" s="1"/>
  <c r="E33" i="89" s="1"/>
  <c r="E16" i="89"/>
  <c r="S75" i="45"/>
  <c r="S83" i="45" s="1"/>
  <c r="G8" i="89"/>
  <c r="G25" i="89"/>
  <c r="R49" i="45"/>
  <c r="T82" i="45"/>
  <c r="H16" i="45"/>
  <c r="H37" i="45" s="1"/>
  <c r="G49" i="45"/>
  <c r="R97" i="45" l="1"/>
  <c r="F94" i="45"/>
  <c r="G9" i="89"/>
  <c r="G12" i="89" s="1"/>
  <c r="G14" i="89" s="1"/>
  <c r="G15" i="89" s="1"/>
  <c r="F16" i="89" s="1"/>
  <c r="G26" i="89"/>
  <c r="G29" i="89" s="1"/>
  <c r="G31" i="89" s="1"/>
  <c r="G32" i="89" s="1"/>
  <c r="F33" i="89" s="1"/>
  <c r="F97" i="45"/>
  <c r="F98" i="45"/>
  <c r="H8" i="94"/>
  <c r="H24" i="89"/>
  <c r="H7" i="89"/>
  <c r="D19" i="95"/>
  <c r="E18" i="95"/>
  <c r="E30" i="95" s="1"/>
  <c r="E9" i="95"/>
  <c r="G82" i="45"/>
  <c r="G83" i="45" s="1"/>
  <c r="F8" i="95"/>
  <c r="H75" i="45"/>
  <c r="S92" i="45"/>
  <c r="G9" i="94"/>
  <c r="G10" i="94" s="1"/>
  <c r="G97" i="45"/>
  <c r="T75" i="45"/>
  <c r="T83" i="45" s="1"/>
  <c r="H25" i="89"/>
  <c r="H8" i="89"/>
  <c r="S49" i="45"/>
  <c r="U82" i="45"/>
  <c r="I16" i="45"/>
  <c r="I37" i="45" s="1"/>
  <c r="H49" i="45"/>
  <c r="S94" i="45" l="1"/>
  <c r="H26" i="89"/>
  <c r="H29" i="89" s="1"/>
  <c r="H31" i="89" s="1"/>
  <c r="H32" i="89" s="1"/>
  <c r="G33" i="89" s="1"/>
  <c r="H9" i="89"/>
  <c r="H12" i="89" s="1"/>
  <c r="H14" i="89" s="1"/>
  <c r="H15" i="89" s="1"/>
  <c r="G16" i="89" s="1"/>
  <c r="I24" i="89"/>
  <c r="H92" i="45"/>
  <c r="I8" i="94"/>
  <c r="I7" i="89"/>
  <c r="D45" i="95"/>
  <c r="D31" i="95"/>
  <c r="F9" i="95"/>
  <c r="F18" i="95"/>
  <c r="F30" i="95" s="1"/>
  <c r="H82" i="45"/>
  <c r="H83" i="45" s="1"/>
  <c r="G8" i="95"/>
  <c r="H8" i="95" s="1"/>
  <c r="H18" i="95" s="1"/>
  <c r="H30" i="95" s="1"/>
  <c r="E19" i="95"/>
  <c r="I75" i="45"/>
  <c r="I82" i="45"/>
  <c r="G12" i="94"/>
  <c r="F18" i="94"/>
  <c r="F19" i="94" s="1"/>
  <c r="G13" i="94"/>
  <c r="S97" i="45"/>
  <c r="T92" i="45"/>
  <c r="H9" i="94"/>
  <c r="H10" i="94" s="1"/>
  <c r="H13" i="94" s="1"/>
  <c r="U75" i="45"/>
  <c r="U83" i="45" s="1"/>
  <c r="I25" i="89"/>
  <c r="I8" i="89"/>
  <c r="T49" i="45"/>
  <c r="J16" i="45"/>
  <c r="J37" i="45" s="1"/>
  <c r="V82" i="45"/>
  <c r="I49" i="45"/>
  <c r="S98" i="45" l="1"/>
  <c r="H94" i="45"/>
  <c r="O94" i="45" s="1"/>
  <c r="O93" i="45"/>
  <c r="O95" i="45" s="1"/>
  <c r="O92" i="45"/>
  <c r="T94" i="45"/>
  <c r="T98" i="45" s="1"/>
  <c r="AB92" i="45"/>
  <c r="I83" i="45"/>
  <c r="I26" i="89"/>
  <c r="I29" i="89" s="1"/>
  <c r="I31" i="89" s="1"/>
  <c r="I32" i="89" s="1"/>
  <c r="H33" i="89" s="1"/>
  <c r="I9" i="89"/>
  <c r="I12" i="89" s="1"/>
  <c r="I14" i="89" s="1"/>
  <c r="I15" i="89" s="1"/>
  <c r="H16" i="89" s="1"/>
  <c r="H98" i="45"/>
  <c r="O98" i="45" s="1"/>
  <c r="H97" i="45"/>
  <c r="O97" i="45" s="1"/>
  <c r="D6" i="90" s="1"/>
  <c r="J8" i="94"/>
  <c r="I92" i="45"/>
  <c r="I94" i="45" s="1"/>
  <c r="J7" i="89"/>
  <c r="J24" i="89"/>
  <c r="D46" i="95"/>
  <c r="G18" i="95"/>
  <c r="G30" i="95" s="1"/>
  <c r="G9" i="95"/>
  <c r="E45" i="95"/>
  <c r="E31" i="95"/>
  <c r="F19" i="95"/>
  <c r="J75" i="45"/>
  <c r="J82" i="45"/>
  <c r="G15" i="94"/>
  <c r="G17" i="94" s="1"/>
  <c r="U92" i="45"/>
  <c r="I9" i="94"/>
  <c r="I10" i="94" s="1"/>
  <c r="V75" i="45"/>
  <c r="V83" i="45" s="1"/>
  <c r="J8" i="89"/>
  <c r="J25" i="89"/>
  <c r="U49" i="45"/>
  <c r="V49" i="45"/>
  <c r="J49" i="45"/>
  <c r="W82" i="45"/>
  <c r="T97" i="45" l="1"/>
  <c r="U94" i="45"/>
  <c r="AB93" i="45"/>
  <c r="AB95" i="45" s="1"/>
  <c r="J26" i="89"/>
  <c r="J29" i="89" s="1"/>
  <c r="J31" i="89" s="1"/>
  <c r="J32" i="89" s="1"/>
  <c r="I33" i="89" s="1"/>
  <c r="J9" i="89"/>
  <c r="J12" i="89" s="1"/>
  <c r="J14" i="89" s="1"/>
  <c r="J15" i="89" s="1"/>
  <c r="I16" i="89" s="1"/>
  <c r="K8" i="94"/>
  <c r="J92" i="45"/>
  <c r="J94" i="45" s="1"/>
  <c r="K24" i="89"/>
  <c r="K7" i="89"/>
  <c r="J83" i="45"/>
  <c r="I98" i="45"/>
  <c r="I97" i="45"/>
  <c r="C47" i="95"/>
  <c r="F45" i="95"/>
  <c r="F31" i="95"/>
  <c r="E46" i="95"/>
  <c r="D47" i="95" s="1"/>
  <c r="G19" i="95"/>
  <c r="H9" i="95"/>
  <c r="K75" i="45"/>
  <c r="K82" i="45"/>
  <c r="G18" i="94"/>
  <c r="G19" i="94" s="1"/>
  <c r="U97" i="45"/>
  <c r="AB97" i="45" s="1"/>
  <c r="D7" i="90" s="1"/>
  <c r="I13" i="94"/>
  <c r="V92" i="45"/>
  <c r="V94" i="45" s="1"/>
  <c r="V98" i="45" s="1"/>
  <c r="J9" i="94"/>
  <c r="J10" i="94" s="1"/>
  <c r="J13" i="94" s="1"/>
  <c r="W75" i="45"/>
  <c r="W83" i="45" s="1"/>
  <c r="K8" i="89"/>
  <c r="K25" i="89"/>
  <c r="K16" i="45"/>
  <c r="W49" i="45"/>
  <c r="AB49" i="45" s="1"/>
  <c r="X82" i="45"/>
  <c r="M16" i="45"/>
  <c r="M37" i="45" s="1"/>
  <c r="U98" i="45" l="1"/>
  <c r="AB94" i="45"/>
  <c r="D8" i="90"/>
  <c r="D9" i="90" s="1"/>
  <c r="D10" i="90"/>
  <c r="K83" i="45"/>
  <c r="K26" i="89"/>
  <c r="K29" i="89" s="1"/>
  <c r="K31" i="89" s="1"/>
  <c r="K32" i="89" s="1"/>
  <c r="J33" i="89" s="1"/>
  <c r="K9" i="89"/>
  <c r="K12" i="89" s="1"/>
  <c r="K14" i="89" s="1"/>
  <c r="K15" i="89" s="1"/>
  <c r="J16" i="89" s="1"/>
  <c r="J97" i="45"/>
  <c r="J98" i="45"/>
  <c r="L8" i="94"/>
  <c r="K92" i="45"/>
  <c r="K94" i="45" s="1"/>
  <c r="L24" i="89"/>
  <c r="L7" i="89"/>
  <c r="F46" i="95"/>
  <c r="E47" i="95" s="1"/>
  <c r="G45" i="95"/>
  <c r="G31" i="95"/>
  <c r="I8" i="95"/>
  <c r="H19" i="95"/>
  <c r="H31" i="95" s="1"/>
  <c r="L75" i="45"/>
  <c r="L82" i="45"/>
  <c r="H12" i="94"/>
  <c r="H15" i="94" s="1"/>
  <c r="H17" i="94" s="1"/>
  <c r="V97" i="45"/>
  <c r="W92" i="45"/>
  <c r="W94" i="45" s="1"/>
  <c r="W98" i="45" s="1"/>
  <c r="K9" i="94"/>
  <c r="K10" i="94" s="1"/>
  <c r="X75" i="45"/>
  <c r="X83" i="45" s="1"/>
  <c r="L8" i="89"/>
  <c r="L25" i="89"/>
  <c r="R6" i="90"/>
  <c r="X6" i="90" s="1"/>
  <c r="K37" i="45"/>
  <c r="K49" i="45" s="1"/>
  <c r="L16" i="45"/>
  <c r="L37" i="45" s="1"/>
  <c r="N15" i="45"/>
  <c r="Y82" i="45"/>
  <c r="O15" i="45"/>
  <c r="X49" i="45"/>
  <c r="M82" i="45"/>
  <c r="N75" i="45"/>
  <c r="AB98" i="45" l="1"/>
  <c r="I18" i="95"/>
  <c r="C59" i="95"/>
  <c r="L83" i="45"/>
  <c r="L9" i="89"/>
  <c r="L12" i="89" s="1"/>
  <c r="L14" i="89" s="1"/>
  <c r="L15" i="89" s="1"/>
  <c r="K16" i="89" s="1"/>
  <c r="L26" i="89"/>
  <c r="L29" i="89" s="1"/>
  <c r="L31" i="89" s="1"/>
  <c r="L32" i="89" s="1"/>
  <c r="K33" i="89" s="1"/>
  <c r="K97" i="45"/>
  <c r="K98" i="45"/>
  <c r="M8" i="94"/>
  <c r="L92" i="45"/>
  <c r="L94" i="45" s="1"/>
  <c r="M24" i="89"/>
  <c r="M7" i="89"/>
  <c r="H45" i="95"/>
  <c r="G46" i="95"/>
  <c r="H18" i="94"/>
  <c r="H19" i="94" s="1"/>
  <c r="K13" i="94"/>
  <c r="W97" i="45"/>
  <c r="X92" i="45"/>
  <c r="X94" i="45" s="1"/>
  <c r="X97" i="45" s="1"/>
  <c r="L9" i="94"/>
  <c r="L10" i="94" s="1"/>
  <c r="L13" i="94" s="1"/>
  <c r="Y75" i="45"/>
  <c r="Y83" i="45" s="1"/>
  <c r="M25" i="89"/>
  <c r="M8" i="89"/>
  <c r="AM8" i="90"/>
  <c r="Y8" i="90"/>
  <c r="X7" i="90"/>
  <c r="AM7" i="90" s="1"/>
  <c r="AM10" i="90"/>
  <c r="Y9" i="90"/>
  <c r="L49" i="45"/>
  <c r="N16" i="45"/>
  <c r="N37" i="45" s="1"/>
  <c r="Z82" i="45"/>
  <c r="AA75" i="45"/>
  <c r="AB15" i="45"/>
  <c r="Y49" i="45"/>
  <c r="O16" i="45"/>
  <c r="M75" i="45"/>
  <c r="O57" i="45"/>
  <c r="C69" i="95" l="1"/>
  <c r="I30" i="95"/>
  <c r="M26" i="89"/>
  <c r="M29" i="89" s="1"/>
  <c r="M31" i="89" s="1"/>
  <c r="M32" i="89" s="1"/>
  <c r="L33" i="89" s="1"/>
  <c r="L97" i="45"/>
  <c r="L98" i="45"/>
  <c r="M9" i="89"/>
  <c r="M12" i="89" s="1"/>
  <c r="M14" i="89" s="1"/>
  <c r="M15" i="89" s="1"/>
  <c r="L16" i="89" s="1"/>
  <c r="F47" i="95"/>
  <c r="I31" i="95"/>
  <c r="C82" i="95" s="1"/>
  <c r="G47" i="95"/>
  <c r="N8" i="94"/>
  <c r="M83" i="45"/>
  <c r="I12" i="94"/>
  <c r="Y92" i="45"/>
  <c r="Y94" i="45" s="1"/>
  <c r="Y97" i="45" s="1"/>
  <c r="M9" i="94"/>
  <c r="M10" i="94" s="1"/>
  <c r="M13" i="94" s="1"/>
  <c r="X98" i="45"/>
  <c r="N7" i="89"/>
  <c r="N24" i="89"/>
  <c r="N25" i="89"/>
  <c r="N8" i="89"/>
  <c r="N49" i="45"/>
  <c r="AA15" i="45"/>
  <c r="AB57" i="45"/>
  <c r="Z75" i="45"/>
  <c r="O75" i="45"/>
  <c r="M92" i="45"/>
  <c r="M93" i="45" s="1"/>
  <c r="M95" i="45" s="1"/>
  <c r="M49" i="45"/>
  <c r="O37" i="45"/>
  <c r="AB16" i="45"/>
  <c r="G24" i="88" l="1"/>
  <c r="C25" i="88" s="1"/>
  <c r="C26" i="88" s="1"/>
  <c r="C27" i="88" s="1"/>
  <c r="C28" i="88" s="1"/>
  <c r="C29" i="88" s="1"/>
  <c r="C30" i="88" s="1"/>
  <c r="G8" i="88"/>
  <c r="C81" i="95"/>
  <c r="H10" i="97"/>
  <c r="E6" i="90"/>
  <c r="I10" i="97"/>
  <c r="I32" i="95"/>
  <c r="C83" i="95" s="1"/>
  <c r="N9" i="94"/>
  <c r="N10" i="94" s="1"/>
  <c r="Z83" i="45"/>
  <c r="I15" i="94"/>
  <c r="Y98" i="45"/>
  <c r="N26" i="89"/>
  <c r="N29" i="89" s="1"/>
  <c r="N9" i="89"/>
  <c r="N12" i="89" s="1"/>
  <c r="N14" i="89" s="1"/>
  <c r="N15" i="89" s="1"/>
  <c r="N16" i="89" s="1"/>
  <c r="AB10" i="45"/>
  <c r="AA10" i="45"/>
  <c r="AA16" i="45" s="1"/>
  <c r="AB75" i="45"/>
  <c r="Z92" i="45"/>
  <c r="AB37" i="45"/>
  <c r="Z49" i="45"/>
  <c r="O49" i="45"/>
  <c r="M94" i="45"/>
  <c r="N92" i="45"/>
  <c r="D10" i="88" l="1"/>
  <c r="F9" i="88" s="1"/>
  <c r="C9" i="88" s="1"/>
  <c r="D31" i="88"/>
  <c r="E11" i="90"/>
  <c r="L10" i="97"/>
  <c r="N13" i="94"/>
  <c r="O10" i="94"/>
  <c r="M97" i="45"/>
  <c r="N97" i="45" s="1"/>
  <c r="M98" i="45"/>
  <c r="N98" i="45" s="1"/>
  <c r="I17" i="94"/>
  <c r="I18" i="94" s="1"/>
  <c r="I19" i="94" s="1"/>
  <c r="M16" i="89"/>
  <c r="N31" i="89"/>
  <c r="N32" i="89" s="1"/>
  <c r="AA37" i="45"/>
  <c r="AA49" i="45" s="1"/>
  <c r="Z94" i="45"/>
  <c r="Z93" i="45"/>
  <c r="Z95" i="45" s="1"/>
  <c r="AA92" i="45"/>
  <c r="N94" i="45"/>
  <c r="J12" i="94" l="1"/>
  <c r="J15" i="94" s="1"/>
  <c r="J17" i="94" s="1"/>
  <c r="J18" i="94" s="1"/>
  <c r="J19" i="94" s="1"/>
  <c r="M33" i="89"/>
  <c r="N33" i="89"/>
  <c r="C6" i="90"/>
  <c r="C8" i="90"/>
  <c r="Z98" i="45"/>
  <c r="AA98" i="45" s="1"/>
  <c r="Z97" i="45"/>
  <c r="AA97" i="45" s="1"/>
  <c r="AA94" i="45"/>
  <c r="K12" i="94" l="1"/>
  <c r="K15" i="94" s="1"/>
  <c r="C7" i="90"/>
  <c r="C10" i="90" l="1"/>
  <c r="C9" i="90"/>
  <c r="K17" i="94"/>
  <c r="K18" i="94" l="1"/>
  <c r="K19" i="94" s="1"/>
  <c r="L12" i="94"/>
  <c r="L15" i="94" s="1"/>
  <c r="L17" i="94" l="1"/>
  <c r="L18" i="94" l="1"/>
  <c r="L19" i="94" s="1"/>
  <c r="M12" i="94"/>
  <c r="M15" i="94" s="1"/>
  <c r="M17" i="94" l="1"/>
  <c r="N12" i="94" s="1"/>
  <c r="N15" i="94" s="1"/>
  <c r="N17" i="94" s="1"/>
  <c r="N18" i="94" s="1"/>
  <c r="O17" i="94" l="1"/>
  <c r="M18" i="94"/>
  <c r="O18" i="94" l="1"/>
  <c r="M19" i="94"/>
  <c r="N19" i="94" s="1"/>
  <c r="I2" i="98"/>
  <c r="O2" i="98" s="1"/>
  <c r="J2" i="98"/>
  <c r="P2"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tc={D960389B-642D-4E9B-813B-15246ED52285}</author>
    <author>tc={C0F1DD2D-D6AA-43F6-850A-A48E1BF8F362}</author>
    <author>Monica Finnegan</author>
    <author>tc={EB3DB1BA-14C3-4C70-9626-2A00EE78289A}</author>
  </authors>
  <commentList>
    <comment ref="C25" authorId="0" shapeId="0" xr:uid="{D960389B-642D-4E9B-813B-15246ED52285}">
      <text>
        <t>[Threaded comment]
Your version of Excel allows you to read this threaded comment; however, any edits to it will get removed if the file is opened in a newer version of Excel. Learn more: https://go.microsoft.com/fwlink/?linkid=870924
Comment:
    &gt;&gt;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
      </text>
    </comment>
    <comment ref="C27" authorId="1" shapeId="0" xr:uid="{C0F1DD2D-D6AA-43F6-850A-A48E1BF8F362}">
      <text>
        <t>[Threaded comment]
Your version of Excel allows you to read this threaded comment; however, any edits to it will get removed if the file is opened in a newer version of Excel. Learn more: https://go.microsoft.com/fwlink/?linkid=870924
Comment:
    &gt;&gt;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
      </text>
    </comment>
    <comment ref="Q39" authorId="2" shapeId="0" xr:uid="{8541D44F-5C61-4E00-BF0C-14BFB06EEF6A}">
      <text>
        <r>
          <rPr>
            <b/>
            <sz val="9"/>
            <color indexed="81"/>
            <rFont val="Tahoma"/>
            <family val="2"/>
          </rPr>
          <t>Monica Finnegan:</t>
        </r>
        <r>
          <rPr>
            <sz val="9"/>
            <color indexed="81"/>
            <rFont val="Tahoma"/>
            <family val="2"/>
          </rPr>
          <t xml:space="preserve">
If given RvTools, define if the scope is PowerOn or PowerOff in the assumptions </t>
        </r>
      </text>
    </comment>
    <comment ref="F162" authorId="3" shapeId="0" xr:uid="{EB3DB1BA-14C3-4C70-9626-2A00EE78289A}">
      <text>
        <t>[Threaded comment]
Your version of Excel allows you to read this threaded comment; however, any edits to it will get removed if the file is opened in a newer version of Excel. Learn more: https://go.microsoft.com/fwlink/?linkid=870924
Comment:
    Total should be 100%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tc={D544BC84-9480-49BC-BFB8-81065912A57C}</author>
    <author>tc={2AACAF1F-3488-4F61-A9F1-E1E06984B1E0}</author>
    <author>tc={2BE4650F-BCF3-436F-A9ED-563303DD489E}</author>
    <author>tc={29BB2B20-BCD1-4882-BCB0-E06445BA2DC9}</author>
    <author>tc={0FC5CB17-7ADC-4970-93E9-FA874C32D6ED}</author>
    <author>Monica Finnegan</author>
    <author>tc={EEF2E3A1-2575-4941-8078-6F0B320FAB5C}</author>
    <author>tc={D76815F6-58AE-44D1-B97E-A89B816EEE25}</author>
    <author>tc={E12E5775-89C8-4520-9034-DE61E804353A}</author>
    <author>tc={D3B512BB-7CD1-4ADE-BAB2-FAB62479623A}</author>
  </authors>
  <commentList>
    <comment ref="N3" authorId="0" shapeId="0" xr:uid="{D544BC84-9480-49BC-BFB8-81065912A57C}">
      <text>
        <t>[Threaded comment]
Your version of Excel allows you to read this threaded comment; however, any edits to it will get removed if the file is opened in a newer version of Excel. Learn more: https://go.microsoft.com/fwlink/?linkid=870924
Comment:
    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
      </text>
    </comment>
    <comment ref="N4" authorId="1" shapeId="0" xr:uid="{2AACAF1F-3488-4F61-A9F1-E1E06984B1E0}">
      <text>
        <t>[Threaded comment]
Your version of Excel allows you to read this threaded comment; however, any edits to it will get removed if the file is opened in a newer version of Excel. Learn more: https://go.microsoft.com/fwlink/?linkid=870924
Comment:
    Understand the Consumtion ramp-up if it is not aligned with the Migration ramp-up. Both ramp-ups should be aligned unless there are technical constraintes (ex. AV36 nodes deployment). A misalignment would impact the business case</t>
      </text>
    </comment>
    <comment ref="D7" authorId="2" shapeId="0" xr:uid="{2BE4650F-BCF3-436F-A9ED-563303DD489E}">
      <text>
        <t>[Threaded comment]
Your version of Excel allows you to read this threaded comment; however, any edits to it will get removed if the file is opened in a newer version of Excel. Learn more: https://go.microsoft.com/fwlink/?linkid=870924
Comment:
    These cells are used to perform a right-sizing check - take totals from the Azure consumption modeling or from Account team.
Reply:
    vCPU cell is used to estimate OS licensing costs - ensure appropriate input based on Azure solution (IaaS = vCPU, AVS = pCores)</t>
      </text>
    </comment>
    <comment ref="G7" authorId="3" shapeId="0" xr:uid="{29BB2B20-BCD1-4882-BCB0-E06445BA2DC9}">
      <text>
        <t>[Threaded comment]
Your version of Excel allows you to read this threaded comment; however, any edits to it will get removed if the file is opened in a newer version of Excel. Learn more: https://go.microsoft.com/fwlink/?linkid=870924
Comment:
    Pulls "Allocated" values</t>
      </text>
    </comment>
    <comment ref="J7" authorId="4" shapeId="0" xr:uid="{0FC5CB17-7ADC-4970-93E9-FA874C32D6ED}">
      <text>
        <t>[Threaded comment]
Your version of Excel allows you to read this threaded comment; however, any edits to it will get removed if the file is opened in a newer version of Excel. Learn more: https://go.microsoft.com/fwlink/?linkid=870924
Comment:
    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
      </text>
    </comment>
    <comment ref="D8" authorId="5" shapeId="0" xr:uid="{C330A668-57DB-4323-BEBE-7380C062F8C1}">
      <text>
        <r>
          <rPr>
            <b/>
            <sz val="9"/>
            <color rgb="FF000000"/>
            <rFont val="Tahoma"/>
            <family val="2"/>
          </rPr>
          <t>Monica Finnegan:</t>
        </r>
        <r>
          <rPr>
            <sz val="9"/>
            <color rgb="FF000000"/>
            <rFont val="Tahoma"/>
            <family val="2"/>
          </rPr>
          <t xml:space="preserve">
</t>
        </r>
        <r>
          <rPr>
            <sz val="9"/>
            <color rgb="FF000000"/>
            <rFont val="Tahoma"/>
            <family val="2"/>
          </rPr>
          <t xml:space="preserve">For AVS: node count x node size (eg: 64 or 36s) to represent pCore count for OS licensing estimate
</t>
        </r>
        <r>
          <rPr>
            <sz val="9"/>
            <color rgb="FF000000"/>
            <rFont val="Tahoma"/>
            <family val="2"/>
          </rPr>
          <t xml:space="preserve">
</t>
        </r>
        <r>
          <rPr>
            <sz val="9"/>
            <color rgb="FF000000"/>
            <rFont val="Tahoma"/>
            <family val="2"/>
          </rPr>
          <t>For Azure: sum of the vCPU columns. You will use XA2 in the Rvtools to return vCPU column; reminder the technical team should validate</t>
        </r>
      </text>
    </comment>
    <comment ref="D9" authorId="5" shapeId="0" xr:uid="{822ED362-6EB4-4A50-99CA-0123EAF9592B}">
      <text>
        <r>
          <rPr>
            <b/>
            <sz val="9"/>
            <color indexed="81"/>
            <rFont val="Tahoma"/>
            <family val="2"/>
          </rPr>
          <t>Monica Finnegan:</t>
        </r>
        <r>
          <rPr>
            <sz val="9"/>
            <color indexed="81"/>
            <rFont val="Tahoma"/>
            <family val="2"/>
          </rPr>
          <t xml:space="preserve">
For AVS: node count x RAM in GB</t>
        </r>
      </text>
    </comment>
    <comment ref="D10" authorId="5" shapeId="0" xr:uid="{54C68397-6716-43B7-BEA5-8F859813C3DC}">
      <text>
        <r>
          <rPr>
            <b/>
            <sz val="9"/>
            <color indexed="81"/>
            <rFont val="Tahoma"/>
            <family val="2"/>
          </rPr>
          <t>Monica Finnegan:</t>
        </r>
        <r>
          <rPr>
            <sz val="9"/>
            <color indexed="81"/>
            <rFont val="Tahoma"/>
            <family val="2"/>
          </rPr>
          <t xml:space="preserve">
For AVS: node count x Storage across the nodes plus the additional storage. Be sure to convert from TB or TiB to GB</t>
        </r>
      </text>
    </comment>
    <comment ref="C38" authorId="6" shapeId="0" xr:uid="{EEF2E3A1-2575-4941-8078-6F0B320FAB5C}">
      <text>
        <t>[Threaded comment]
Your version of Excel allows you to read this threaded comment; however, any edits to it will get removed if the file is opened in a newer version of Excel. Learn more: https://go.microsoft.com/fwlink/?linkid=870924
Comment:
    If storage capacity for backup is included in the Azure Consumption (Azure scenario), the current costs for backup storage (on-prem or outsourced) will be estimated and inserted in the Status Quo scenario</t>
      </text>
    </comment>
    <comment ref="C39" authorId="7" shapeId="0" xr:uid="{D76815F6-58AE-44D1-B97E-A89B816EEE25}">
      <text>
        <t>[Threaded comment]
Your version of Excel allows you to read this threaded comment; however, any edits to it will get removed if the file is opened in a newer version of Excel. Learn more: https://go.microsoft.com/fwlink/?linkid=870924
Comment:
    If storage capacity for backup is included in the Azure Consumption, a software for backup (ex Veeam) is needed. 
In the Azure scenario, the corresponding cost can be either included in the Azure Consumption or retained separately. 
To be comparable, this cost will also be inserted in the Status Quo scenario.</t>
      </text>
    </comment>
    <comment ref="C45" authorId="8" shapeId="0" xr:uid="{E12E5775-89C8-4520-9034-DE61E804353A}">
      <text>
        <t>[Threaded comment]
Your version of Excel allows you to read this threaded comment; however, any edits to it will get removed if the file is opened in a newer version of Excel. Learn more: https://go.microsoft.com/fwlink/?linkid=870924
Comment:
    If storage capacity for DR is included in the Azure Consumption (Azure scenario), the current costs for DR storage (on-prem or outsourced) will be estimated and inserted in the Status Quo scenario</t>
      </text>
    </comment>
    <comment ref="C46" authorId="9" shapeId="0" xr:uid="{D3B512BB-7CD1-4ADE-BAB2-FAB62479623A}">
      <text>
        <t>[Threaded comment]
Your version of Excel allows you to read this threaded comment; however, any edits to it will get removed if the file is opened in a newer version of Excel. Learn more: https://go.microsoft.com/fwlink/?linkid=870924
Comment:
    If storage capacity for DR is included in the Azure Consumption, a software for DR (ex JetStream) is needed. 
In the Azure scenario, the corresponding cost can be either included in the Azure Consumption or retained separately. 
To be comparable, this cost will also be inserted in the Status Quo scenario.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tc={7751CA25-DCA4-48D3-B67C-B7FDA0CD7BA7}</author>
    <author>tc={D8CF1FDD-D375-4AC9-A417-CE8EAA066961}</author>
    <author>tc={6115CA25-2E6F-4787-B1D0-6543778C1420}</author>
    <author>tc={4229141B-9103-4E64-A5C3-F4A1EFFEDD64}</author>
    <author>tc={349909D4-E053-426C-9F47-B1597CC9C4F3}</author>
    <author>tc={5E5C2261-9FE1-427C-A669-45CEE3A9BDF1}</author>
    <author>tc={D2EC14A1-DCAD-4C20-A603-A528BE13D087}</author>
    <author>tc={B781324B-352C-430A-91E8-0D8F9DB79719}</author>
  </authors>
  <commentList>
    <comment ref="N3" authorId="0" shapeId="0" xr:uid="{7751CA25-DCA4-48D3-B67C-B7FDA0CD7BA7}">
      <text>
        <t>[Threaded comment]
Your version of Excel allows you to read this threaded comment; however, any edits to it will get removed if the file is opened in a newer version of Excel. Learn more: https://go.microsoft.com/fwlink/?linkid=870924
Comment:
    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
      </text>
    </comment>
    <comment ref="N4" authorId="1" shapeId="0" xr:uid="{D8CF1FDD-D375-4AC9-A417-CE8EAA066961}">
      <text>
        <t>[Threaded comment]
Your version of Excel allows you to read this threaded comment; however, any edits to it will get removed if the file is opened in a newer version of Excel. Learn more: https://go.microsoft.com/fwlink/?linkid=870924
Comment:
    Understand the Consumtion ramp-up if it is not aligned with the Migration ramp-up. Both ramp-ups should be aligned unless there are technical constraintes (ex. AV36 nodes deployment). A misalignment would impact the business case</t>
      </text>
    </comment>
    <comment ref="G7" authorId="2" shapeId="0" xr:uid="{6115CA25-2E6F-4787-B1D0-6543778C1420}">
      <text>
        <t>[Threaded comment]
Your version of Excel allows you to read this threaded comment; however, any edits to it will get removed if the file is opened in a newer version of Excel. Learn more: https://go.microsoft.com/fwlink/?linkid=870924
Comment:
    Pulls "Allocated" values</t>
      </text>
    </comment>
    <comment ref="J7" authorId="3" shapeId="0" xr:uid="{4229141B-9103-4E64-A5C3-F4A1EFFEDD64}">
      <text>
        <t>[Threaded comment]
Your version of Excel allows you to read this threaded comment; however, any edits to it will get removed if the file is opened in a newer version of Excel. Learn more: https://go.microsoft.com/fwlink/?linkid=870924
Comment:
    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
      </text>
    </comment>
    <comment ref="C38" authorId="4" shapeId="0" xr:uid="{349909D4-E053-426C-9F47-B1597CC9C4F3}">
      <text>
        <t>[Threaded comment]
Your version of Excel allows you to read this threaded comment; however, any edits to it will get removed if the file is opened in a newer version of Excel. Learn more: https://go.microsoft.com/fwlink/?linkid=870924
Comment:
    If storage capacity for backup is included in the Azure Consumption (Azure scenario), the current costs for backup storage (on-prem or outsourced) will be estimated and inserted in the Status Quo scenario</t>
      </text>
    </comment>
    <comment ref="C39" authorId="5" shapeId="0" xr:uid="{5E5C2261-9FE1-427C-A669-45CEE3A9BDF1}">
      <text>
        <t>[Threaded comment]
Your version of Excel allows you to read this threaded comment; however, any edits to it will get removed if the file is opened in a newer version of Excel. Learn more: https://go.microsoft.com/fwlink/?linkid=870924
Comment:
    If storage capacity for backup is included in the Azure Consumption, a software for backup (ex Veeam) is needed. 
In the Azure scenario, the corresponding cost can be either included in the Azure Consumption or retained separately. 
To be comparable, this cost will also be inserted in the Status Quo scenario.</t>
      </text>
    </comment>
    <comment ref="C45" authorId="6" shapeId="0" xr:uid="{D2EC14A1-DCAD-4C20-A603-A528BE13D087}">
      <text>
        <t>[Threaded comment]
Your version of Excel allows you to read this threaded comment; however, any edits to it will get removed if the file is opened in a newer version of Excel. Learn more: https://go.microsoft.com/fwlink/?linkid=870924
Comment:
    If storage capacity for DR is included in the Azure Consumption (Azure scenario), the current costs for DR storage (on-prem or outsourced) will be estimated and inserted in the Status Quo scenario</t>
      </text>
    </comment>
    <comment ref="C46" authorId="7" shapeId="0" xr:uid="{B781324B-352C-430A-91E8-0D8F9DB79719}">
      <text>
        <t>[Threaded comment]
Your version of Excel allows you to read this threaded comment; however, any edits to it will get removed if the file is opened in a newer version of Excel. Learn more: https://go.microsoft.com/fwlink/?linkid=870924
Comment:
    If storage capacity for DR is included in the Azure Consumption, a software for DR (ex JetStream) is needed. 
In the Azure scenario, the corresponding cost can be either included in the Azure Consumption or retained separately. 
To be comparable, this cost will also be inserted in the Status Quo scenario.</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tc={4AA0D03A-F701-4486-9E86-D98826B8BA56}</author>
    <author>tc={E613C3DA-859C-4712-A60C-2796BDCF0EE2}</author>
    <author>tc={DDA95441-D99F-4EE6-B55B-8123F4314B12}</author>
    <author>tc={25C58A28-3CD1-49C9-B7D3-C922136522BF}</author>
    <author>tc={B7DDB126-1EFB-4B4E-85A5-4F3074F3B5AD}</author>
    <author>tc={91D62315-010E-4816-87FF-4917F9F14CB5}</author>
    <author>tc={3DFB62E0-733A-45FD-9BA3-9F549857A62D}</author>
    <author>tc={E17330D2-3803-4A6B-AF21-A5863FFB3A6B}</author>
  </authors>
  <commentList>
    <comment ref="N3" authorId="0" shapeId="0" xr:uid="{4AA0D03A-F701-4486-9E86-D98826B8BA56}">
      <text>
        <t>[Threaded comment]
Your version of Excel allows you to read this threaded comment; however, any edits to it will get removed if the file is opened in a newer version of Excel. Learn more: https://go.microsoft.com/fwlink/?linkid=870924
Comment:
    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
      </text>
    </comment>
    <comment ref="N4" authorId="1" shapeId="0" xr:uid="{E613C3DA-859C-4712-A60C-2796BDCF0EE2}">
      <text>
        <t>[Threaded comment]
Your version of Excel allows you to read this threaded comment; however, any edits to it will get removed if the file is opened in a newer version of Excel. Learn more: https://go.microsoft.com/fwlink/?linkid=870924
Comment:
    Understand the Consumtion ramp-up if it is not aligned with the Migration ramp-up. Both ramp-ups should be aligned unless there are technical constraintes (ex. AV36 nodes deployment). A misalignment would impact the business case</t>
      </text>
    </comment>
    <comment ref="G7" authorId="2" shapeId="0" xr:uid="{DDA95441-D99F-4EE6-B55B-8123F4314B12}">
      <text>
        <t>[Threaded comment]
Your version of Excel allows you to read this threaded comment; however, any edits to it will get removed if the file is opened in a newer version of Excel. Learn more: https://go.microsoft.com/fwlink/?linkid=870924
Comment:
    Pulls "Allocated" values</t>
      </text>
    </comment>
    <comment ref="J7" authorId="3" shapeId="0" xr:uid="{25C58A28-3CD1-49C9-B7D3-C922136522BF}">
      <text>
        <t>[Threaded comment]
Your version of Excel allows you to read this threaded comment; however, any edits to it will get removed if the file is opened in a newer version of Excel. Learn more: https://go.microsoft.com/fwlink/?linkid=870924
Comment:
    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
      </text>
    </comment>
    <comment ref="C38" authorId="4" shapeId="0" xr:uid="{B7DDB126-1EFB-4B4E-85A5-4F3074F3B5AD}">
      <text>
        <t>[Threaded comment]
Your version of Excel allows you to read this threaded comment; however, any edits to it will get removed if the file is opened in a newer version of Excel. Learn more: https://go.microsoft.com/fwlink/?linkid=870924
Comment:
    If storage capacity for backup is included in the Azure Consumption (Azure scenario), the current costs for backup storage (on-prem or outsourced) will be estimated and inserted in the Status Quo scenario</t>
      </text>
    </comment>
    <comment ref="C39" authorId="5" shapeId="0" xr:uid="{91D62315-010E-4816-87FF-4917F9F14CB5}">
      <text>
        <t>[Threaded comment]
Your version of Excel allows you to read this threaded comment; however, any edits to it will get removed if the file is opened in a newer version of Excel. Learn more: https://go.microsoft.com/fwlink/?linkid=870924
Comment:
    If storage capacity for backup is included in the Azure Consumption, a software for backup (ex Veeam) is needed. 
In the Azure scenario, the corresponding cost can be either included in the Azure Consumption or retained separately. 
To be comparable, this cost will also be inserted in the Status Quo scenario.</t>
      </text>
    </comment>
    <comment ref="C45" authorId="6" shapeId="0" xr:uid="{3DFB62E0-733A-45FD-9BA3-9F549857A62D}">
      <text>
        <t>[Threaded comment]
Your version of Excel allows you to read this threaded comment; however, any edits to it will get removed if the file is opened in a newer version of Excel. Learn more: https://go.microsoft.com/fwlink/?linkid=870924
Comment:
    If storage capacity for DR is included in the Azure Consumption (Azure scenario), the current costs for DR storage (on-prem or outsourced) will be estimated and inserted in the Status Quo scenario</t>
      </text>
    </comment>
    <comment ref="C46" authorId="7" shapeId="0" xr:uid="{E17330D2-3803-4A6B-AF21-A5863FFB3A6B}">
      <text>
        <t>[Threaded comment]
Your version of Excel allows you to read this threaded comment; however, any edits to it will get removed if the file is opened in a newer version of Excel. Learn more: https://go.microsoft.com/fwlink/?linkid=870924
Comment:
    If storage capacity for DR is included in the Azure Consumption, a software for DR (ex JetStream) is needed. 
In the Azure scenario, the corresponding cost can be either included in the Azure Consumption or retained separately. 
To be comparable, this cost will also be inserted in the Status Quo scenario.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tc={E1BFC294-8778-4618-98BE-2917DD9E99A8}</author>
  </authors>
  <commentList>
    <comment ref="C4" authorId="0" shapeId="0" xr:uid="{E1BFC294-8778-4618-98BE-2917DD9E99A8}">
      <text>
        <t>[Threaded comment]
Your version of Excel allows you to read this threaded comment; however, any edits to it will get removed if the file is opened in a newer version of Excel. Learn more: https://go.microsoft.com/fwlink/?linkid=870924
Comment:
    Discounted payback method is a capital budgeting technique used to evaluate the profitability of a project based upon the inflows and outflows of cash. Under this technique, we first discount project’s all cash flows to their present value using a preset discount rate and then determine the time period within which the initial investment would be recovered. Since this method takes into account the time value of money, it can be considered as an upgraded variant of the simple payback method.
The discounted payback method tells companies about the time period in which the initial investment in a project is expected to be recovered by the discounted value of total cash inflow. Additionally, it indicates the potential profitability of a certain business venture. For example, if a project indicates that the funds or initial investment will never be recovered by the discounted value of related cash inflows, the project would not be profitable at all. The company should therefore refrain from investing its funds in such project.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tc={94C13E35-938A-4701-AA7A-7CFD3FB242D5}</author>
  </authors>
  <commentList>
    <comment ref="AD5" authorId="0" shapeId="0" xr:uid="{94C13E35-938A-4701-AA7A-7CFD3FB242D5}">
      <text>
        <t>[Threaded comment]
Your version of Excel allows you to read this threaded comment; however, any edits to it will get removed if the file is opened in a newer version of Excel. Learn more: https://go.microsoft.com/fwlink/?linkid=870924
Comment:
    When customer POV is that benchmarked figures seem reasonable but are slightly too high/low. 
The objective is to increase/decrease benchmarked figures accordingly.
&gt;0 entry results in a decrease.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tc={5D97B9B6-BE39-4493-BCE6-45B1A77C047D}</author>
    <author>tc={39254452-3776-4BC1-BE13-A907382F0595}</author>
    <author>tc={CB956621-AEE0-41E4-B4CD-3365AE013012}</author>
    <author>tc={DF0B6F79-B2DC-449B-99A9-A1E55E6FAA4B}</author>
    <author>tc={EEA5C6CF-EED4-41AD-9275-E5798A4F1114}</author>
    <author>tc={2749545A-3816-4D60-9851-693AC8A3B097}</author>
    <author>tc={CE86DC64-C921-4374-9217-D4B374A777F6}</author>
    <author>tc={FFBCA76E-0E9B-48D3-B221-3A8D89F25552}</author>
    <author>tc={DEC0C10B-2191-46B0-9C0F-9E9BDF5253C0}</author>
    <author>tc={7748D773-4261-404A-AE6B-E168D60B5954}</author>
    <author>tc={E42BAAC0-C1F2-4340-892C-64AE20158B12}</author>
    <author>tc={3DFE1D8E-AFEB-4972-A320-11E891863D12}</author>
    <author>tc={2AF92529-FAAC-40DF-979C-F6F9FF7DCEAF}</author>
    <author>tc={73E5E2B7-D4DF-4D5A-8019-90F5736844ED}</author>
    <author>tc={305FC047-8997-4C25-9D9B-9B1134DD191A}</author>
    <author>tc={1030DD27-8887-4021-93F7-4CC32B35523C}</author>
    <author>tc={435349D1-72A2-41EC-A08F-46F91CD6061A}</author>
  </authors>
  <commentList>
    <comment ref="H18" authorId="0" shapeId="0" xr:uid="{5D97B9B6-BE39-4493-BCE6-45B1A77C047D}">
      <text>
        <t>[Threaded comment]
Your version of Excel allows you to read this threaded comment; however, any edits to it will get removed if the file is opened in a newer version of Excel. Learn more: https://go.microsoft.com/fwlink/?linkid=870924
Comment:
    Based on "Azure Storage 1200To Cold GRS 3-y RI in West Europe" that is $0.15 per GB per year (as of Dec 21)</t>
      </text>
    </comment>
    <comment ref="H19" authorId="1" shapeId="0" xr:uid="{39254452-3776-4BC1-BE13-A907382F0595}">
      <text>
        <t>[Threaded comment]
Your version of Excel allows you to read this threaded comment; however, any edits to it will get removed if the file is opened in a newer version of Excel. Learn more: https://go.microsoft.com/fwlink/?linkid=870924
Comment:
    Based on "Azure Storage 1200To Cold GRS 3-y RI in West Europe" that is $0.15 per GB per year (as of Dec 21)</t>
      </text>
    </comment>
    <comment ref="K20" authorId="2" shapeId="0" xr:uid="{CB956621-AEE0-41E4-B4CD-3365AE013012}">
      <text>
        <t>[Threaded comment]
Your version of Excel allows you to read this threaded comment; however, any edits to it will get removed if the file is opened in a newer version of Excel. Learn more: https://go.microsoft.com/fwlink/?linkid=870924
Comment:
    Updated on 13/1/22. Aligned with vmware benchmark data (from Dec 21 analysis)</t>
      </text>
    </comment>
    <comment ref="K21" authorId="3" shapeId="0" xr:uid="{DF0B6F79-B2DC-449B-99A9-A1E55E6FAA4B}">
      <text>
        <t>[Threaded comment]
Your version of Excel allows you to read this threaded comment; however, any edits to it will get removed if the file is opened in a newer version of Excel. Learn more: https://go.microsoft.com/fwlink/?linkid=870924
Comment:
    Updated on 13/1/22. Aligned with vmware benchmark data (from Dec 21 analysis)
Reply:
    Updated on 24/3/23. Seemed too high so reduced to 10%</t>
      </text>
    </comment>
    <comment ref="K35" authorId="4" shapeId="0" xr:uid="{EEA5C6CF-EED4-41AD-9275-E5798A4F1114}">
      <text>
        <t>[Threaded comment]
Your version of Excel allows you to read this threaded comment; however, any edits to it will get removed if the file is opened in a newer version of Excel. Learn more: https://go.microsoft.com/fwlink/?linkid=870924
Comment:
    Updated on 13/1/22. Aligned with vmware benchmark data (from Dec 21 analysis)
Reply:
    Updated on 24/3/23. Seemed too high so reduced to 10%</t>
      </text>
    </comment>
    <comment ref="M38" authorId="5" shapeId="0" xr:uid="{2749545A-3816-4D60-9851-693AC8A3B097}">
      <text>
        <t>[Threaded comment]
Your version of Excel allows you to read this threaded comment; however, any edits to it will get removed if the file is opened in a newer version of Excel. Learn more: https://go.microsoft.com/fwlink/?linkid=870924
Comment:
    Assumes 50% are Standard edition and 50% are Datacenter edition</t>
      </text>
    </comment>
    <comment ref="M39" authorId="6" shapeId="0" xr:uid="{CE86DC64-C921-4374-9217-D4B374A777F6}">
      <text>
        <t>[Threaded comment]
Your version of Excel allows you to read this threaded comment; however, any edits to it will get removed if the file is opened in a newer version of Excel. Learn more: https://go.microsoft.com/fwlink/?linkid=870924
Comment:
    Assumes 50% are Standard edition and 50% are Enterprise edition</t>
      </text>
    </comment>
    <comment ref="M40" authorId="7" shapeId="0" xr:uid="{FFBCA76E-0E9B-48D3-B221-3A8D89F25552}">
      <text>
        <t>[Threaded comment]
Your version of Excel allows you to read this threaded comment; however, any edits to it will get removed if the file is opened in a newer version of Excel. Learn more: https://go.microsoft.com/fwlink/?linkid=870924
Comment:
    Assumes 50% are Standard edition and 50% are Datacenter edition</t>
      </text>
    </comment>
    <comment ref="M41" authorId="8" shapeId="0" xr:uid="{DEC0C10B-2191-46B0-9C0F-9E9BDF5253C0}">
      <text>
        <t>[Threaded comment]
Your version of Excel allows you to read this threaded comment; however, any edits to it will get removed if the file is opened in a newer version of Excel. Learn more: https://go.microsoft.com/fwlink/?linkid=870924
Comment:
    Assumes 50% are Standard edition and 50% are Enterprise edition</t>
      </text>
    </comment>
    <comment ref="M42" authorId="9" shapeId="0" xr:uid="{7748D773-4261-404A-AE6B-E168D60B5954}">
      <text>
        <t>[Threaded comment]
Your version of Excel allows you to read this threaded comment; however, any edits to it will get removed if the file is opened in a newer version of Excel. Learn more: https://go.microsoft.com/fwlink/?linkid=870924
Comment:
    Assumes 50% are Standard edition and 50% are Datacenter edition</t>
      </text>
    </comment>
    <comment ref="M43" authorId="10" shapeId="0" xr:uid="{E42BAAC0-C1F2-4340-892C-64AE20158B12}">
      <text>
        <t>[Threaded comment]
Your version of Excel allows you to read this threaded comment; however, any edits to it will get removed if the file is opened in a newer version of Excel. Learn more: https://go.microsoft.com/fwlink/?linkid=870924
Comment:
    Assumes 50% are Standard edition and 50% are Enterprise edition</t>
      </text>
    </comment>
    <comment ref="M44" authorId="11" shapeId="0" xr:uid="{3DFE1D8E-AFEB-4972-A320-11E891863D12}">
      <text>
        <t>[Threaded comment]
Your version of Excel allows you to read this threaded comment; however, any edits to it will get removed if the file is opened in a newer version of Excel. Learn more: https://go.microsoft.com/fwlink/?linkid=870924
Comment:
    Assumes 50% are Standard edition and 50% are Datacenter edition</t>
      </text>
    </comment>
    <comment ref="M45" authorId="12" shapeId="0" xr:uid="{2AF92529-FAAC-40DF-979C-F6F9FF7DCEAF}">
      <text>
        <t>[Threaded comment]
Your version of Excel allows you to read this threaded comment; however, any edits to it will get removed if the file is opened in a newer version of Excel. Learn more: https://go.microsoft.com/fwlink/?linkid=870924
Comment:
    Assumes 50% are Standard edition and 50% are Enterprise edition</t>
      </text>
    </comment>
    <comment ref="M46" authorId="13" shapeId="0" xr:uid="{73E5E2B7-D4DF-4D5A-8019-90F5736844ED}">
      <text>
        <t>[Threaded comment]
Your version of Excel allows you to read this threaded comment; however, any edits to it will get removed if the file is opened in a newer version of Excel. Learn more: https://go.microsoft.com/fwlink/?linkid=870924
Comment:
    Based on VMware, Hyper-V, Citrix Hypervisor + others</t>
      </text>
    </comment>
    <comment ref="M47" authorId="14" shapeId="0" xr:uid="{305FC047-8997-4C25-9D9B-9B1134DD191A}">
      <text>
        <t>[Threaded comment]
Your version of Excel allows you to read this threaded comment; however, any edits to it will get removed if the file is opened in a newer version of Excel. Learn more: https://go.microsoft.com/fwlink/?linkid=870924
Comment:
    Based on Veritas, Veeam, Commvault + others</t>
      </text>
    </comment>
    <comment ref="H48" authorId="15" shapeId="0" xr:uid="{1030DD27-8887-4021-93F7-4CC32B35523C}">
      <text>
        <t>[Threaded comment]
Your version of Excel allows you to read this threaded comment; however, any edits to it will get removed if the file is opened in a newer version of Excel. Learn more: https://go.microsoft.com/fwlink/?linkid=870924
Comment:
    - Gartner "DC Cost model" uses $250 per year per VM.
- Jetstream costs $20 per month per VM &gt;&gt;$240 per year per VM.</t>
      </text>
    </comment>
    <comment ref="B57" authorId="16" shapeId="0" xr:uid="{435349D1-72A2-41EC-A08F-46F91CD6061A}">
      <text>
        <t xml:space="preserve">[Threaded comment]
Your version of Excel allows you to read this threaded comment; however, any edits to it will get removed if the file is opened in a newer version of Excel. Learn more: https://go.microsoft.com/fwlink/?linkid=870924
Comment:
    Average load factor = Average power usage / Peak power usage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tc={97286962-B041-4F00-8211-8EB7C3A9B3BD}</author>
    <author>tc={E05CA05F-0471-4F02-BC8A-7E4FE06D6098}</author>
    <author>tc={AC7274FA-C4C7-4419-8CB8-D68A3D1FD845}</author>
    <author>tc={30FA85D9-FC99-4321-8EA8-FA8115FD79A8}</author>
    <author>tc={6379A197-1CD5-444F-90D0-9D9BE2B27F38}</author>
    <author>tc={DF9C0448-4B3F-47C8-92BD-C0E4F063C5EC}</author>
    <author>tc={A4958C81-AB2A-4B54-964F-018935212C66}</author>
    <author>tc={5D7AB74C-BB1B-40D7-AFF7-1F4EA2A8267C}</author>
    <author>tc={ECD04186-115D-4701-B3B2-2D5CD70EC72C}</author>
    <author>tc={4DEC80DE-E73E-4580-9812-11008ABE3E37}</author>
    <author>tc={30B193CA-E7F7-48EC-8187-70D61622599D}</author>
  </authors>
  <commentList>
    <comment ref="I35" authorId="0" shapeId="0" xr:uid="{97286962-B041-4F00-8211-8EB7C3A9B3BD}">
      <text>
        <t>[Threaded comment]
Your version of Excel allows you to read this threaded comment; however, any edits to it will get removed if the file is opened in a newer version of Excel. Learn more: https://go.microsoft.com/fwlink/?linkid=870924
Comment:
    Nb of phys. servers per cabinet (best practice = 16)</t>
      </text>
    </comment>
    <comment ref="L35" authorId="1" shapeId="0" xr:uid="{E05CA05F-0471-4F02-BC8A-7E4FE06D6098}">
      <text>
        <t>[Threaded comment]
Your version of Excel allows you to read this threaded comment; however, any edits to it will get removed if the file is opened in a newer version of Excel. Learn more: https://go.microsoft.com/fwlink/?linkid=870924
Comment:
    Based on Nb of DC x Nb of core router per DC (best practice = 2)</t>
      </text>
    </comment>
    <comment ref="M35" authorId="2" shapeId="0" xr:uid="{AC7274FA-C4C7-4419-8CB8-D68A3D1FD845}">
      <text>
        <t>[Threaded comment]
Your version of Excel allows you to read this threaded comment; however, any edits to it will get removed if the file is opened in a newer version of Excel. Learn more: https://go.microsoft.com/fwlink/?linkid=870924
Comment:
    Nb of aggregate routers per core router (per survey av. = 3) x Nb of core router</t>
      </text>
    </comment>
    <comment ref="N35" authorId="3" shapeId="0" xr:uid="{30FA85D9-FC99-4321-8EA8-FA8115FD79A8}">
      <text>
        <t>[Threaded comment]
Your version of Excel allows you to read this threaded comment; however, any edits to it will get removed if the file is opened in a newer version of Excel. Learn more: https://go.microsoft.com/fwlink/?linkid=870924
Comment:
    Nb of access switch per core router (per survey av. = 13) x Nb of core router</t>
      </text>
    </comment>
    <comment ref="O35" authorId="4" shapeId="0" xr:uid="{6379A197-1CD5-444F-90D0-9D9BE2B27F38}">
      <text>
        <t>[Threaded comment]
Your version of Excel allows you to read this threaded comment; however, any edits to it will get removed if the file is opened in a newer version of Excel. Learn more: https://go.microsoft.com/fwlink/?linkid=870924
Comment:
    Nb of load balancer per core router (per survey av. = 2) x Nb of core router</t>
      </text>
    </comment>
    <comment ref="C39" authorId="5" shapeId="0" xr:uid="{DF9C0448-4B3F-47C8-92BD-C0E4F063C5EC}">
      <text>
        <t>[Threaded comment]
Your version of Excel allows you to read this threaded comment; however, any edits to it will get removed if the file is opened in a newer version of Excel. Learn more: https://go.microsoft.com/fwlink/?linkid=870924
Comment:
    Subscription model</t>
      </text>
    </comment>
    <comment ref="H64" authorId="6" shapeId="0" xr:uid="{A4958C81-AB2A-4B54-964F-018935212C66}">
      <text>
        <t xml:space="preserve">[Threaded comment]
Your version of Excel allows you to read this threaded comment; however, any edits to it will get removed if the file is opened in a newer version of Excel. Learn more: https://go.microsoft.com/fwlink/?linkid=870924
Comment:
    A realistic way to estimate peak consumption is to use a load factor, which is a ratio of average power usage to peak power usage (Load factor = Average power usage / Peak power usage).
For instance if your load factor is 0.5, it means that your average power usage is 50% of your peak power usage.  </t>
      </text>
    </comment>
    <comment ref="K66" authorId="7" shapeId="0" xr:uid="{5D7AB74C-BB1B-40D7-AFF7-1F4EA2A8267C}">
      <text>
        <t xml:space="preserve">[Threaded comment]
Your version of Excel allows you to read this threaded comment; however, any edits to it will get removed if the file is opened in a newer version of Excel. Learn more: https://go.microsoft.com/fwlink/?linkid=870924
Comment:
    &gt;&gt; Objective is to calculate "Peak Power Consumption".
The KW capacity of a datacenter is usually based on peak power consumption at a given point in time. This is because datacenters need to ensure that they have enough power supply to meet their highest possible demand, which may vary depending on factors such as workload, seasonality, redundancy and backup systems.
However, peak power consumption does not reflect the actual energy use of a datacenter over a period of time. For that, you need to look at average power consumption or energy consumption (which is power multiplied by time). Average power consumption or energy consumption can be used to calculate metrics such as PUE or carbon footprint.
</t>
      </text>
    </comment>
    <comment ref="H70" authorId="8" shapeId="0" xr:uid="{ECD04186-115D-4701-B3B2-2D5CD70EC72C}">
      <text>
        <t>[Threaded comment]
Your version of Excel allows you to read this threaded comment; however, any edits to it will get removed if the file is opened in a newer version of Excel. Learn more: https://go.microsoft.com/fwlink/?linkid=870924
Comment:
    To convert energy consumption into peak consumption, you need to divide energy consumption by time period.</t>
      </text>
    </comment>
    <comment ref="H71" authorId="9" shapeId="0" xr:uid="{4DEC80DE-E73E-4580-9812-11008ABE3E37}">
      <text>
        <t xml:space="preserve">[Threaded comment]
Your version of Excel allows you to read this threaded comment; however, any edits to it will get removed if the file is opened in a newer version of Excel. Learn more: https://go.microsoft.com/fwlink/?linkid=870924
Comment:
    A realistic way to estimate peak consumption is to use a load factor, which is a ratio of average power usage to peak power usage (Load factor = Average power usage / Peak power usage).
For instance if your load factor is 0.5, it means that your average power usage is 50% of your peak power usage.  </t>
      </text>
    </comment>
    <comment ref="H77" authorId="10" shapeId="0" xr:uid="{30B193CA-E7F7-48EC-8187-70D61622599D}">
      <text>
        <t>[Threaded comment]
Your version of Excel allows you to read this threaded comment; however, any edits to it will get removed if the file is opened in a newer version of Excel. Learn more: https://go.microsoft.com/fwlink/?linkid=870924
Comment:
    Total KW incl. unused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tc={07DEE8B2-C740-47AD-B7F8-233C8065592D}</author>
    <author>tc={35F3A867-4C5E-4E9A-AC06-7E3E28A181C9}</author>
    <author>tc={DE315264-4937-416A-BCFE-F483F2891E77}</author>
    <author>tc={E3BA387A-28DE-4CB3-8905-CA4CA9746E80}</author>
    <author>tc={17E250F3-CB70-40AC-AA24-F0F3FB99E499}</author>
    <author>tc={A7C8622D-2E18-4991-A4A5-6E98AB1D78FA}</author>
    <author>tc={99E9C7CE-1893-4F20-BF51-487AD6CC17B7}</author>
    <author>tc={67AB85BF-FED3-409D-956F-C63F9AFC8EFD}</author>
    <author>tc={93597E7C-8D5A-42B8-8A35-DE3053A4F7D1}</author>
    <author>tc={1BA702BF-E2E0-40B0-99C3-54069FB5A20B}</author>
    <author>tc={5150209C-536D-4C7C-836E-8719D1965E3C}</author>
    <author>tc={26A0F6A1-67B2-46CF-905E-CA22EBC0A9F6}</author>
    <author>tc={D2E9B222-9F96-4FB6-B996-E0964D17586C}</author>
    <author>tc={C255A772-3571-4EA7-BFFF-D8556FAEA7AE}</author>
    <author>tc={843B28D5-11DA-4922-956E-4DA36CB99AB5}</author>
    <author>tc={AAEF586E-A66B-417B-B572-DAA86225A431}</author>
    <author>tc={2E761686-CFFD-4414-A623-7D3B92220621}</author>
    <author>tc={D39D942F-7C08-4467-B56B-9861A5BCF888}</author>
    <author>tc={F0F07BF9-1231-43C1-8A7E-275B61DFA87E}</author>
    <author>tc={6EA80927-DEA1-40F3-B6C8-E775295CC93B}</author>
    <author>tc={820ED14A-D2A9-4F31-8539-682582CCF56F}</author>
    <author>tc={86A12F1F-45DB-487F-845D-1F9BA044D913}</author>
    <author>tc={4C2FE422-D3B1-40AA-AF0B-B57EACB70645}</author>
    <author>tc={A3DC628F-9EF0-4FCC-B9C5-76C04A71DB24}</author>
    <author>tc={7BE74017-95A1-476D-A514-E0076366230F}</author>
    <author>tc={A967CCB0-0111-409B-9CF4-77C2D176875B}</author>
    <author>tc={3AACF2A8-6703-4167-B7E4-274EEDF411B9}</author>
    <author>tc={7060DF71-9FC9-4216-BE16-7060044EF742}</author>
    <author>tc={D9AFD614-F1F9-4818-85D7-7E15FAAC4BE2}</author>
    <author>tc={89E77DD6-BBB4-4BCD-A245-DD7CFE848B17}</author>
    <author>tc={77FA9E1F-D738-4CAF-8FF6-6164E3AAA1B9}</author>
    <author>tc={6030E47C-11AE-47C2-99C2-4E68256BB461}</author>
    <author>tc={A016EA3C-40CA-4A96-9EA1-D1990FE2CBAD}</author>
    <author>tc={04448C19-6834-4CAE-9B30-D87406A9BFB0}</author>
    <author>tc={27C58785-A8C5-470D-ADAF-465EADB2B4E9}</author>
    <author>tc={F1CD572E-112C-460F-A1F1-76BE59CD099D}</author>
    <author>tc={7921E1FA-75EA-4933-93A5-D64CCEFD531F}</author>
    <author>tc={10FCF1B0-90FC-4A73-B28F-92FC80752139}</author>
    <author>tc={C2999D90-B812-425D-B930-E2F2073AF56E}</author>
    <author>tc={1D83295E-90C0-4415-9D8B-03944C9C5D0D}</author>
    <author>tc={24D383C2-802A-4EC9-B9CA-2E155A66933C}</author>
    <author>tc={5EBE06A4-325C-4264-8337-6DDCE334BA05}</author>
    <author>tc={707CE383-6021-41AD-AEB6-847CE3A8B664}</author>
    <author>tc={F1F7892E-ECA6-4575-B9AC-2E981F36A1EE}</author>
    <author>tc={F6D25A4F-471B-46B2-A32A-66E2D707A109}</author>
    <author>tc={6469DAE1-EAC5-456E-B021-B70D7DCADCB8}</author>
    <author>tc={3863376A-4038-41CC-ACDE-36AAF1DD7627}</author>
    <author>tc={4B0CA291-7BE9-4970-856C-612683BB4C6C}</author>
    <author>tc={B8DAF8DF-6B73-4CD9-80FE-3AC79B1A0059}</author>
  </authors>
  <commentList>
    <comment ref="D35" authorId="0" shapeId="0" xr:uid="{07DEE8B2-C740-47AD-B7F8-233C8065592D}">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53" authorId="1" shapeId="0" xr:uid="{35F3A867-4C5E-4E9A-AC06-7E3E28A181C9}">
      <text>
        <t>[Threaded comment]
Your version of Excel allows you to read this threaded comment; however, any edits to it will get removed if the file is opened in a newer version of Excel. Learn more: https://go.microsoft.com/fwlink/?linkid=870924
Comment:
    -- Windows Servers Licensing assumes "subscription" model
-- Subscriptions allow to reduce annually the nb of licenses/cores (at the next anniversary)
-- Increase in licenses/cores can happen anytime (and cost increases accordingly from deployment)</t>
      </text>
    </comment>
    <comment ref="D53" authorId="2" shapeId="0" xr:uid="{DE315264-4937-416A-BCFE-F483F2891E77}">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68" authorId="3" shapeId="0" xr:uid="{E3BA387A-28DE-4CB3-8905-CA4CA9746E80}">
      <text>
        <t>[Threaded comment]
Your version of Excel allows you to read this threaded comment; however, any edits to it will get removed if the file is opened in a newer version of Excel. Learn more: https://go.microsoft.com/fwlink/?linkid=870924
Comment:
    -- Windows Servers Licensing assumes "subscription" model
-- Subscriptions allow to reduce annually the nb of licenses/cores (at the next anniversary)
-- Increase in licenses/cores can happen anytime (and cost increases accordingly from deployment)</t>
      </text>
    </comment>
    <comment ref="D68" authorId="4" shapeId="0" xr:uid="{17E250F3-CB70-40AC-AA24-F0F3FB99E499}">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83" authorId="5" shapeId="0" xr:uid="{A7C8622D-2E18-4991-A4A5-6E98AB1D78FA}">
      <text>
        <t>[Threaded comment]
Your version of Excel allows you to read this threaded comment; however, any edits to it will get removed if the file is opened in a newer version of Excel. Learn more: https://go.microsoft.com/fwlink/?linkid=870924
Comment:
    -- Windows Servers Licensing assumes "subscription" model
-- Subscriptions allow to reduce annually the nb of licenses/cores (at the next anniversary)
-- Increase in licenses/cores can happen anytime (and cost increases accordingly from deployment)</t>
      </text>
    </comment>
    <comment ref="D83" authorId="6" shapeId="0" xr:uid="{99E9C7CE-1893-4F20-BF51-487AD6CC17B7}">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101" authorId="7" shapeId="0" xr:uid="{67AB85BF-FED3-409D-956F-C63F9AFC8EFD}">
      <text>
        <t>[Threaded comment]
Your version of Excel allows you to read this threaded comment; however, any edits to it will get removed if the file is opened in a newer version of Excel. Learn more: https://go.microsoft.com/fwlink/?linkid=870924
Comment:
    -- SQL Servers Licensing assumes "subscription" model
-- Subscriptions allow to reduce annually the nb of licenses/cores (at the next anniversary)
-- Increase in licenses/cores can happen anytime (and cost increases accordingly from deployment)</t>
      </text>
    </comment>
    <comment ref="D101" authorId="8" shapeId="0" xr:uid="{93597E7C-8D5A-42B8-8A35-DE3053A4F7D1}">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116" authorId="9" shapeId="0" xr:uid="{1BA702BF-E2E0-40B0-99C3-54069FB5A20B}">
      <text>
        <t>[Threaded comment]
Your version of Excel allows you to read this threaded comment; however, any edits to it will get removed if the file is opened in a newer version of Excel. Learn more: https://go.microsoft.com/fwlink/?linkid=870924
Comment:
    -- SQL Servers Licensing assumes "subscription" model
-- Subscriptions allow to reduce annually the nb of licenses/cores (at the next anniversary)
-- Increase in licenses/cores can happen anytime (and cost increases accordingly from deployment)</t>
      </text>
    </comment>
    <comment ref="D116" authorId="10" shapeId="0" xr:uid="{5150209C-536D-4C7C-836E-8719D1965E3C}">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131" authorId="11" shapeId="0" xr:uid="{26A0F6A1-67B2-46CF-905E-CA22EBC0A9F6}">
      <text>
        <t>[Threaded comment]
Your version of Excel allows you to read this threaded comment; however, any edits to it will get removed if the file is opened in a newer version of Excel. Learn more: https://go.microsoft.com/fwlink/?linkid=870924
Comment:
    -- SQL Servers Licensing assumes "subscription" model
-- Subscriptions allow to reduce annually the nb of licenses/cores (at the next anniversary)
-- Increase in licenses/cores can happen anytime (and cost increases accordingly from deployment)</t>
      </text>
    </comment>
    <comment ref="D131" authorId="12" shapeId="0" xr:uid="{D2E9B222-9F96-4FB6-B996-E0964D17586C}">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D152" authorId="13" shapeId="0" xr:uid="{C255A772-3571-4EA7-BFFF-D8556FAEA7AE}">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D173" authorId="14" shapeId="0" xr:uid="{843B28D5-11DA-4922-956E-4DA36CB99AB5}">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190" authorId="15" shapeId="0" xr:uid="{AAEF586E-A66B-417B-B572-DAA86225A431}">
      <text>
        <t>[Threaded comment]
Your version of Excel allows you to read this threaded comment; however, any edits to it will get removed if the file is opened in a newer version of Excel. Learn more: https://go.microsoft.com/fwlink/?linkid=870924
Comment:
    Assumes that Backup Software contract/cost can be updated every year</t>
      </text>
    </comment>
    <comment ref="D190" authorId="16" shapeId="0" xr:uid="{2E761686-CFFD-4414-A623-7D3B92220621}">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204" authorId="17" shapeId="0" xr:uid="{D39D942F-7C08-4467-B56B-9861A5BCF888}">
      <text>
        <t>[Threaded comment]
Your version of Excel allows you to read this threaded comment; however, any edits to it will get removed if the file is opened in a newer version of Excel. Learn more: https://go.microsoft.com/fwlink/?linkid=870924
Comment:
    Assumes that Backup Software contract/cost can be updated every year</t>
      </text>
    </comment>
    <comment ref="D204" authorId="18" shapeId="0" xr:uid="{F0F07BF9-1231-43C1-8A7E-275B61DFA87E}">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218" authorId="19" shapeId="0" xr:uid="{6EA80927-DEA1-40F3-B6C8-E775295CC93B}">
      <text>
        <t>[Threaded comment]
Your version of Excel allows you to read this threaded comment; however, any edits to it will get removed if the file is opened in a newer version of Excel. Learn more: https://go.microsoft.com/fwlink/?linkid=870924
Comment:
    Assumes that Backup Software contract/cost can be updated every year</t>
      </text>
    </comment>
    <comment ref="D218" authorId="20" shapeId="0" xr:uid="{820ED14A-D2A9-4F31-8539-682582CCF56F}">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235" authorId="21" shapeId="0" xr:uid="{86A12F1F-45DB-487F-845D-1F9BA044D913}">
      <text>
        <t>[Threaded comment]
Your version of Excel allows you to read this threaded comment; however, any edits to it will get removed if the file is opened in a newer version of Excel. Learn more: https://go.microsoft.com/fwlink/?linkid=870924
Comment:
    Assumes that Backup Software contract/cost can be updated every year</t>
      </text>
    </comment>
    <comment ref="D235" authorId="22" shapeId="0" xr:uid="{4C2FE422-D3B1-40AA-AF0B-B57EACB70645}">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249" authorId="23" shapeId="0" xr:uid="{A3DC628F-9EF0-4FCC-B9C5-76C04A71DB24}">
      <text>
        <t>[Threaded comment]
Your version of Excel allows you to read this threaded comment; however, any edits to it will get removed if the file is opened in a newer version of Excel. Learn more: https://go.microsoft.com/fwlink/?linkid=870924
Comment:
    Assumes that Backup Software contract/cost can be updated every year</t>
      </text>
    </comment>
    <comment ref="D249" authorId="24" shapeId="0" xr:uid="{7BE74017-95A1-476D-A514-E0076366230F}">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263" authorId="25" shapeId="0" xr:uid="{A967CCB0-0111-409B-9CF4-77C2D176875B}">
      <text>
        <t>[Threaded comment]
Your version of Excel allows you to read this threaded comment; however, any edits to it will get removed if the file is opened in a newer version of Excel. Learn more: https://go.microsoft.com/fwlink/?linkid=870924
Comment:
    Assumes that Backup Software contract/cost can be updated every year</t>
      </text>
    </comment>
    <comment ref="D263" authorId="26" shapeId="0" xr:uid="{3AACF2A8-6703-4167-B7E4-274EEDF411B9}">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287" authorId="27" shapeId="0" xr:uid="{7060DF71-9FC9-4216-BE16-7060044EF742}">
      <text>
        <t>[Threaded comment]
Your version of Excel allows you to read this threaded comment; however, any edits to it will get removed if the file is opened in a newer version of Excel. Learn more: https://go.microsoft.com/fwlink/?linkid=870924
Comment:
    Assumption: 100% of the costs are maintained until the DC is closed</t>
      </text>
    </comment>
    <comment ref="D287" authorId="28" shapeId="0" xr:uid="{D9AFD614-F1F9-4818-85D7-7E15FAAC4BE2}">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288" authorId="29" shapeId="0" xr:uid="{89E77DD6-BBB4-4BCD-A245-DD7CFE848B17}">
      <text>
        <t>[Threaded comment]
Your version of Excel allows you to read this threaded comment; however, any edits to it will get removed if the file is opened in a newer version of Excel. Learn more: https://go.microsoft.com/fwlink/?linkid=870924
Comment:
    Assumption: 100% of the costs are maintained until the DC is closed</t>
      </text>
    </comment>
    <comment ref="D288" authorId="30" shapeId="0" xr:uid="{77FA9E1F-D738-4CAF-8FF6-6164E3AAA1B9}">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293" authorId="31" shapeId="0" xr:uid="{6030E47C-11AE-47C2-99C2-4E68256BB461}">
      <text>
        <t>[Threaded comment]
Your version of Excel allows you to read this threaded comment; however, any edits to it will get removed if the file is opened in a newer version of Excel. Learn more: https://go.microsoft.com/fwlink/?linkid=870924
Comment:
    Assumption: costs decrease alongside the migration with 1-year lag</t>
      </text>
    </comment>
    <comment ref="D293" authorId="32" shapeId="0" xr:uid="{A016EA3C-40CA-4A96-9EA1-D1990FE2CBAD}">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294" authorId="33" shapeId="0" xr:uid="{04448C19-6834-4CAE-9B30-D87406A9BFB0}">
      <text>
        <t>[Threaded comment]
Your version of Excel allows you to read this threaded comment; however, any edits to it will get removed if the file is opened in a newer version of Excel. Learn more: https://go.microsoft.com/fwlink/?linkid=870924
Comment:
    Assumption: costs decrease alongside the migration with 1-year lag</t>
      </text>
    </comment>
    <comment ref="D294" authorId="34" shapeId="0" xr:uid="{27C58785-A8C5-470D-ADAF-465EADB2B4E9}">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295" authorId="35" shapeId="0" xr:uid="{F1CD572E-112C-460F-A1F1-76BE59CD099D}">
      <text>
        <t>[Threaded comment]
Your version of Excel allows you to read this threaded comment; however, any edits to it will get removed if the file is opened in a newer version of Excel. Learn more: https://go.microsoft.com/fwlink/?linkid=870924
Comment:
    Assumption: costs decrease alongside the migration with 1-year lag</t>
      </text>
    </comment>
    <comment ref="D295" authorId="36" shapeId="0" xr:uid="{7921E1FA-75EA-4933-93A5-D64CCEFD531F}">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310" authorId="37" shapeId="0" xr:uid="{10FCF1B0-90FC-4A73-B28F-92FC80752139}">
      <text>
        <t>[Threaded comment]
Your version of Excel allows you to read this threaded comment; however, any edits to it will get removed if the file is opened in a newer version of Excel. Learn more: https://go.microsoft.com/fwlink/?linkid=870924
Comment:
    Assumption: current backup (on prem or outsourced) is maintained until all the workload has migrated (after that backup is in Azure)</t>
      </text>
    </comment>
    <comment ref="D310" authorId="38" shapeId="0" xr:uid="{C2999D90-B812-425D-B930-E2F2073AF56E}">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311" authorId="39" shapeId="0" xr:uid="{1D83295E-90C0-4415-9D8B-03944C9C5D0D}">
      <text>
        <t>[Threaded comment]
Your version of Excel allows you to read this threaded comment; however, any edits to it will get removed if the file is opened in a newer version of Excel. Learn more: https://go.microsoft.com/fwlink/?linkid=870924
Comment:
    Assumption: current DR (on prem or outsourced) is maintained until all the workload has migrated (after that DR is in Azure)</t>
      </text>
    </comment>
    <comment ref="D311" authorId="40" shapeId="0" xr:uid="{24D383C2-802A-4EC9-B9CA-2E155A66933C}">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316" authorId="41" shapeId="0" xr:uid="{5EBE06A4-325C-4264-8337-6DDCE334BA05}">
      <text>
        <t>[Threaded comment]
Your version of Excel allows you to read this threaded comment; however, any edits to it will get removed if the file is opened in a newer version of Excel. Learn more: https://go.microsoft.com/fwlink/?linkid=870924
Comment:
    Assumption: current backup (on prem or outsourced) is maintained until all the workload has migrated (after that backup is in Azure)</t>
      </text>
    </comment>
    <comment ref="D316" authorId="42" shapeId="0" xr:uid="{707CE383-6021-41AD-AEB6-847CE3A8B664}">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317" authorId="43" shapeId="0" xr:uid="{F1F7892E-ECA6-4575-B9AC-2E981F36A1EE}">
      <text>
        <t>[Threaded comment]
Your version of Excel allows you to read this threaded comment; however, any edits to it will get removed if the file is opened in a newer version of Excel. Learn more: https://go.microsoft.com/fwlink/?linkid=870924
Comment:
    Assumption: current DR (on prem or outsourced) is maintained until all the workload has migrated (after that DR is in Azure)</t>
      </text>
    </comment>
    <comment ref="D317" authorId="44" shapeId="0" xr:uid="{F6D25A4F-471B-46B2-A32A-66E2D707A109}">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322" authorId="45" shapeId="0" xr:uid="{6469DAE1-EAC5-456E-B021-B70D7DCADCB8}">
      <text>
        <t>[Threaded comment]
Your version of Excel allows you to read this threaded comment; however, any edits to it will get removed if the file is opened in a newer version of Excel. Learn more: https://go.microsoft.com/fwlink/?linkid=870924
Comment:
    Assumption: current backup (on prem or outsourced) is maintained until all the workload has migrated (after that backup is in Azure)</t>
      </text>
    </comment>
    <comment ref="D322" authorId="46" shapeId="0" xr:uid="{3863376A-4038-41CC-ACDE-36AAF1DD7627}">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 ref="B323" authorId="47" shapeId="0" xr:uid="{4B0CA291-7BE9-4970-856C-612683BB4C6C}">
      <text>
        <t>[Threaded comment]
Your version of Excel allows you to read this threaded comment; however, any edits to it will get removed if the file is opened in a newer version of Excel. Learn more: https://go.microsoft.com/fwlink/?linkid=870924
Comment:
    Assumption: current DR (on prem or outsourced) is maintained until all the workload has migrated (after that DR is in Azure)</t>
      </text>
    </comment>
    <comment ref="D323" authorId="48" shapeId="0" xr:uid="{B8DAF8DF-6B73-4CD9-80FE-3AC79B1A0059}">
      <text>
        <t>[Threaded comment]
Your version of Excel allows you to read this threaded comment; however, any edits to it will get removed if the file is opened in a newer version of Excel. Learn more: https://go.microsoft.com/fwlink/?linkid=870924
Comment:
    Savings realized with a one-year lag</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tc={26FEC286-797C-475B-A3FF-62C6942D4285}</author>
    <author>tc={BDD23A73-D837-4963-B4FB-228B172D3F70}</author>
    <author>tc={192A1A32-18F9-4405-AF83-DD4A50E9C3CB}</author>
    <author>tc={51E8EEC2-EBB6-4459-ABE7-F75D8BA61C01}</author>
    <author>tc={715786E0-33F6-4ABA-AB82-DD929F48C389}</author>
    <author>tc={B1064A59-788D-4D6A-A3C5-806BBD6376F4}</author>
    <author>tc={8D4D244D-C649-49B8-AD42-63DFB08AB60E}</author>
    <author>tc={B2E7F1C4-1E10-4215-A215-05620CD6692C}</author>
    <author>tc={4E8D53BC-996A-4D57-ACF7-D8ECCA8F341F}</author>
    <author>tc={D96278A7-E091-47D6-87CE-9B8EFDC85513}</author>
    <author>tc={890EFFFA-DB13-4F9A-80EF-CD645135D19E}</author>
    <author>tc={BF684BEE-4F39-4DCD-9D54-C06FB4A30E3C}</author>
    <author>tc={87F17C09-773B-4BE5-B3E7-9BBD32A574F0}</author>
    <author>tc={265BFDC5-9740-4326-9D28-91A02CEDCB21}</author>
    <author>tc={3C58F1F9-50B2-4BE8-99CB-F6927D8B40A6}</author>
    <author>tc={3EAC96A5-2DBA-40C7-BEE4-81574030E5FA}</author>
    <author>tc={8F5F4396-07B2-4CA3-8B97-F560890A1EFB}</author>
    <author>tc={D28B294C-1087-4850-93E7-A6A5DC4B842F}</author>
    <author>tc={DD430DED-394A-4C82-8669-CA7CBD20A687}</author>
    <author>tc={9A6C1D59-B399-4836-A7EE-9A2BC96BCB21}</author>
    <author>tc={CB0E0438-0896-4AC1-BC68-DF4D84735CC5}</author>
    <author>tc={43C29338-82A8-4A62-A742-8A0D2499D964}</author>
    <author>tc={BF59EE26-0339-4A47-8DA7-DD27F9B5C035}</author>
    <author>tc={9C021E5E-C7F3-4B88-8535-D6F66FBDF0B0}</author>
    <author>tc={EB0C20EB-607D-4E86-9703-5DC86AEF6160}</author>
    <author>tc={7F4566A0-D980-4A24-BDDF-69DB8203A0E2}</author>
    <author>tc={F525776C-DD9E-45FB-8248-8E15269A521E}</author>
    <author>tc={CEF466D6-26BC-4B39-980D-3F94DA1BAC43}</author>
    <author>tc={ADC04635-C1B9-447C-AA97-F40100E1E4E5}</author>
    <author>tc={31A706B7-2BB8-4B4F-9B2F-57134463B89D}</author>
    <author>tc={35AF5261-7977-43B9-B2E2-01158E289EF8}</author>
    <author>tc={164CF09D-3DE5-406F-9B6D-895C0CC92B0D}</author>
    <author>tc={F156A367-26E0-42E7-A42A-7D29F0FAFE7E}</author>
    <author>tc={59C467B2-769B-4D73-BD98-DD615002977D}</author>
    <author>tc={FEDD5E83-5BAF-4308-9A28-1C3B5C2ADDDE}</author>
    <author>tc={72606F46-FFCE-4DF3-BAF8-1C5C3CDEFBC2}</author>
    <author>tc={26761FD4-DEB6-4124-B352-D9E3D1226732}</author>
    <author>tc={FC522482-4829-426A-94AE-F8582909A620}</author>
    <author>tc={DF85F8E7-BA7F-4EF8-8FF0-29375CFF9732}</author>
    <author>tc={65BFE540-FB9C-4DA8-B139-A5C00AC01672}</author>
    <author>tc={4A541CDF-BD24-4D50-9696-53891E792977}</author>
    <author>tc={24AB2303-33D9-4477-808C-F6574AB2CA81}</author>
    <author>tc={7E27592F-CB6D-4B28-B25C-4823241FFC90}</author>
  </authors>
  <commentList>
    <comment ref="D10" authorId="0" shapeId="0" xr:uid="{26FEC286-797C-475B-A3FF-62C6942D4285}">
      <text>
        <t>[Threaded comment]
Your version of Excel allows you to read this threaded comment; however, any edits to it will get removed if the file is opened in a newer version of Excel. Learn more: https://go.microsoft.com/fwlink/?linkid=870924
Comment:
    &gt;&gt;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
      </text>
    </comment>
    <comment ref="D12" authorId="1" shapeId="0" xr:uid="{BDD23A73-D837-4963-B4FB-228B172D3F70}">
      <text>
        <t>[Threaded comment]
Your version of Excel allows you to read this threaded comment; however, any edits to it will get removed if the file is opened in a newer version of Excel. Learn more: https://go.microsoft.com/fwlink/?linkid=870924
Comment:
    &gt;&gt;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
      </text>
    </comment>
    <comment ref="D20" authorId="2" shapeId="0" xr:uid="{192A1A32-18F9-4405-AF83-DD4A50E9C3CB}">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22" authorId="3" shapeId="0" xr:uid="{51E8EEC2-EBB6-4459-ABE7-F75D8BA61C01}">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35" authorId="4" shapeId="0" xr:uid="{715786E0-33F6-4ABA-AB82-DD929F48C389}">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37" authorId="5" shapeId="0" xr:uid="{B1064A59-788D-4D6A-A3C5-806BBD6376F4}">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48" authorId="6" shapeId="0" xr:uid="{8D4D244D-C649-49B8-AD42-63DFB08AB60E}">
      <text>
        <t>[Threaded comment]
Your version of Excel allows you to read this threaded comment; however, any edits to it will get removed if the file is opened in a newer version of Excel. Learn more: https://go.microsoft.com/fwlink/?linkid=870924
Comment:
    &gt;&gt;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
      </text>
    </comment>
    <comment ref="D50" authorId="7" shapeId="0" xr:uid="{B2E7F1C4-1E10-4215-A215-05620CD6692C}">
      <text>
        <t>[Threaded comment]
Your version of Excel allows you to read this threaded comment; however, any edits to it will get removed if the file is opened in a newer version of Excel. Learn more: https://go.microsoft.com/fwlink/?linkid=870924
Comment:
    &gt;&gt;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
      </text>
    </comment>
    <comment ref="D58" authorId="8" shapeId="0" xr:uid="{4E8D53BC-996A-4D57-ACF7-D8ECCA8F341F}">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60" authorId="9" shapeId="0" xr:uid="{D96278A7-E091-47D6-87CE-9B8EFDC85513}">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73" authorId="10" shapeId="0" xr:uid="{890EFFFA-DB13-4F9A-80EF-CD645135D19E}">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75" authorId="11" shapeId="0" xr:uid="{BF684BEE-4F39-4DCD-9D54-C06FB4A30E3C}">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88" authorId="12" shapeId="0" xr:uid="{87F17C09-773B-4BE5-B3E7-9BBD32A574F0}">
      <text>
        <t>[Threaded comment]
Your version of Excel allows you to read this threaded comment; however, any edits to it will get removed if the file is opened in a newer version of Excel. Learn more: https://go.microsoft.com/fwlink/?linkid=870924
Comment:
    &gt;&gt;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
      </text>
    </comment>
    <comment ref="D90" authorId="13" shapeId="0" xr:uid="{265BFDC5-9740-4326-9D28-91A02CEDCB21}">
      <text>
        <t>[Threaded comment]
Your version of Excel allows you to read this threaded comment; however, any edits to it will get removed if the file is opened in a newer version of Excel. Learn more: https://go.microsoft.com/fwlink/?linkid=870924
Comment:
    &gt;&gt;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
      </text>
    </comment>
    <comment ref="D98" authorId="14" shapeId="0" xr:uid="{3C58F1F9-50B2-4BE8-99CB-F6927D8B40A6}">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100" authorId="15" shapeId="0" xr:uid="{3EAC96A5-2DBA-40C7-BEE4-81574030E5FA}">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113" authorId="16" shapeId="0" xr:uid="{8F5F4396-07B2-4CA3-8B97-F560890A1EFB}">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115" authorId="17" shapeId="0" xr:uid="{D28B294C-1087-4850-93E7-A6A5DC4B842F}">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126" authorId="18" shapeId="0" xr:uid="{DD430DED-394A-4C82-8669-CA7CBD20A687}">
      <text>
        <t>[Threaded comment]
Your version of Excel allows you to read this threaded comment; however, any edits to it will get removed if the file is opened in a newer version of Excel. Learn more: https://go.microsoft.com/fwlink/?linkid=870924
Comment:
    &gt;&gt;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
      </text>
    </comment>
    <comment ref="D128" authorId="19" shapeId="0" xr:uid="{9A6C1D59-B399-4836-A7EE-9A2BC96BCB21}">
      <text>
        <t>[Threaded comment]
Your version of Excel allows you to read this threaded comment; however, any edits to it will get removed if the file is opened in a newer version of Excel. Learn more: https://go.microsoft.com/fwlink/?linkid=870924
Comment:
    &gt;&gt;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
      </text>
    </comment>
    <comment ref="D136" authorId="20" shapeId="0" xr:uid="{CB0E0438-0896-4AC1-BC68-DF4D84735CC5}">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138" authorId="21" shapeId="0" xr:uid="{43C29338-82A8-4A62-A742-8A0D2499D964}">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151" authorId="22" shapeId="0" xr:uid="{BF59EE26-0339-4A47-8DA7-DD27F9B5C035}">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153" authorId="23" shapeId="0" xr:uid="{9C021E5E-C7F3-4B88-8535-D6F66FBDF0B0}">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166" authorId="24" shapeId="0" xr:uid="{EB0C20EB-607D-4E86-9703-5DC86AEF6160}">
      <text>
        <t>[Threaded comment]
Your version of Excel allows you to read this threaded comment; however, any edits to it will get removed if the file is opened in a newer version of Excel. Learn more: https://go.microsoft.com/fwlink/?linkid=870924
Comment:
    &gt;&gt;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
      </text>
    </comment>
    <comment ref="D168" authorId="25" shapeId="0" xr:uid="{7F4566A0-D980-4A24-BDDF-69DB8203A0E2}">
      <text>
        <t>[Threaded comment]
Your version of Excel allows you to read this threaded comment; however, any edits to it will get removed if the file is opened in a newer version of Excel. Learn more: https://go.microsoft.com/fwlink/?linkid=870924
Comment:
    &gt;&gt;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
      </text>
    </comment>
    <comment ref="D176" authorId="26" shapeId="0" xr:uid="{F525776C-DD9E-45FB-8248-8E15269A521E}">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178" authorId="27" shapeId="0" xr:uid="{CEF466D6-26BC-4B39-980D-3F94DA1BAC43}">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191" authorId="28" shapeId="0" xr:uid="{ADC04635-C1B9-447C-AA97-F40100E1E4E5}">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193" authorId="29" shapeId="0" xr:uid="{31A706B7-2BB8-4B4F-9B2F-57134463B89D}">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204" authorId="30" shapeId="0" xr:uid="{35AF5261-7977-43B9-B2E2-01158E289EF8}">
      <text>
        <t>[Threaded comment]
Your version of Excel allows you to read this threaded comment; however, any edits to it will get removed if the file is opened in a newer version of Excel. Learn more: https://go.microsoft.com/fwlink/?linkid=870924
Comment:
    &gt;&gt;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
      </text>
    </comment>
    <comment ref="D206" authorId="31" shapeId="0" xr:uid="{164CF09D-3DE5-406F-9B6D-895C0CC92B0D}">
      <text>
        <t>[Threaded comment]
Your version of Excel allows you to read this threaded comment; however, any edits to it will get removed if the file is opened in a newer version of Excel. Learn more: https://go.microsoft.com/fwlink/?linkid=870924
Comment:
    &gt;&gt;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
      </text>
    </comment>
    <comment ref="D214" authorId="32" shapeId="0" xr:uid="{F156A367-26E0-42E7-A42A-7D29F0FAFE7E}">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216" authorId="33" shapeId="0" xr:uid="{59C467B2-769B-4D73-BD98-DD615002977D}">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229" authorId="34" shapeId="0" xr:uid="{FEDD5E83-5BAF-4308-9A28-1C3B5C2ADDDE}">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231" authorId="35" shapeId="0" xr:uid="{72606F46-FFCE-4DF3-BAF8-1C5C3CDEFBC2}">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244" authorId="36" shapeId="0" xr:uid="{26761FD4-DEB6-4124-B352-D9E3D1226732}">
      <text>
        <t>[Threaded comment]
Your version of Excel allows you to read this threaded comment; however, any edits to it will get removed if the file is opened in a newer version of Excel. Learn more: https://go.microsoft.com/fwlink/?linkid=870924
Comment:
    &gt;&gt;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
      </text>
    </comment>
    <comment ref="D246" authorId="37" shapeId="0" xr:uid="{FC522482-4829-426A-94AE-F8582909A620}">
      <text>
        <t>[Threaded comment]
Your version of Excel allows you to read this threaded comment; however, any edits to it will get removed if the file is opened in a newer version of Excel. Learn more: https://go.microsoft.com/fwlink/?linkid=870924
Comment:
    &gt;&gt;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
      </text>
    </comment>
    <comment ref="D254" authorId="38" shapeId="0" xr:uid="{DF85F8E7-BA7F-4EF8-8FF0-29375CFF9732}">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256" authorId="39" shapeId="0" xr:uid="{65BFE540-FB9C-4DA8-B139-A5C00AC01672}">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 ref="D264" authorId="40" shapeId="0" xr:uid="{4A541CDF-BD24-4D50-9696-53891E792977}">
      <text>
        <t>[Threaded comment]
Your version of Excel allows you to read this threaded comment; however, any edits to it will get removed if the file is opened in a newer version of Excel. Learn more: https://go.microsoft.com/fwlink/?linkid=870924
Comment:
    Use of fastest migration ramp-up among 3 workloads (impact is on yearly acquisition that consequently slow down faster)</t>
      </text>
    </comment>
    <comment ref="D269" authorId="41" shapeId="0" xr:uid="{24AB2303-33D9-4477-808C-F6574AB2CA81}">
      <text>
        <t>[Threaded comment]
Your version of Excel allows you to read this threaded comment; however, any edits to it will get removed if the file is opened in a newer version of Excel. Learn more: https://go.microsoft.com/fwlink/?linkid=870924
Comment:
    Depreciation for incremental (i.e. newly acquired) assets</t>
      </text>
    </comment>
    <comment ref="D271" authorId="42" shapeId="0" xr:uid="{7E27592F-CB6D-4B28-B25C-4823241FFC90}">
      <text>
        <t>[Threaded comment]
Your version of Excel allows you to read this threaded comment; however, any edits to it will get removed if the file is opened in a newer version of Excel. Learn more: https://go.microsoft.com/fwlink/?linkid=870924
Comment:
    Depreciation for the entire assets basis</t>
      </text>
    </comment>
  </commentList>
</comments>
</file>

<file path=xl/sharedStrings.xml><?xml version="1.0" encoding="utf-8"?>
<sst xmlns="http://schemas.openxmlformats.org/spreadsheetml/2006/main" count="2356" uniqueCount="929">
  <si>
    <t>Purpose</t>
  </si>
  <si>
    <t>User Guid</t>
  </si>
  <si>
    <t>Feedback &amp; Bug Detection Box</t>
  </si>
  <si>
    <r>
      <t xml:space="preserve">This tool aims at supporting MCAPS Finance and BVA GBB's when a business case is needed to assess the financial transformative value of moving existing workloads </t>
    </r>
    <r>
      <rPr>
        <u/>
        <sz val="11"/>
        <color theme="1"/>
        <rFont val="Segoe UI Light"/>
        <family val="2"/>
      </rPr>
      <t>to Azure IaaS</t>
    </r>
    <r>
      <rPr>
        <sz val="11"/>
        <color theme="1"/>
        <rFont val="Segoe UI Light"/>
        <family val="2"/>
      </rPr>
      <t xml:space="preserve">.
It requires some technical data (e.g., number of Cores/Memory/Storage) of the current environment, and an Azure consumption plan that is scoped to the same environment.
No need for the financial information of the client ; this tool relies on benchmark-driven assumptions for unitary quantities and costs.
Eventually, it allows comparing "status quo" (on-prem) and "Azure migration" scenarios over-time, from both a cash flow and a P&amp;L perspective. 
</t>
    </r>
    <r>
      <rPr>
        <b/>
        <sz val="11"/>
        <color theme="1"/>
        <rFont val="Segoe UI Light"/>
        <family val="2"/>
      </rPr>
      <t>Please note that this tool should NOT be used for SAP S4 HANA nor Oracle Exadata (a separate tool will be shared for these specific workloads).</t>
    </r>
  </si>
  <si>
    <t>Welcome to the Azure Cloud Economics Benchmark-Driven Business Case Tool.</t>
  </si>
  <si>
    <t>Please share for continuous improvement (email contact below)</t>
  </si>
  <si>
    <t>Azure.</t>
  </si>
  <si>
    <t>Here are some guidance to help you use this Tool:</t>
  </si>
  <si>
    <t>Cloud Economics</t>
  </si>
  <si>
    <t>Benchmark-Driven</t>
  </si>
  <si>
    <t>Cells color legend:</t>
  </si>
  <si>
    <t>Business Case Tool</t>
  </si>
  <si>
    <t>- Cells in bright yellow must be populated</t>
  </si>
  <si>
    <t>- Cells in light yellow can be overwritten if better info is available</t>
  </si>
  <si>
    <t>- Cells in light grey are calculated values (they should not be changed)</t>
  </si>
  <si>
    <t>1) Data Input &gt;&gt; tabs in yellow</t>
  </si>
  <si>
    <t>- Client Variables: required. Primarily Cores/Memory/Storage for current environment</t>
  </si>
  <si>
    <t>- Consumption Plan: 1 required + 2 optional</t>
  </si>
  <si>
    <t>Note: it is possible (but not required) to breakdown the workload to migrate into up</t>
  </si>
  <si>
    <t>Disclaimer</t>
  </si>
  <si>
    <t>to 3 meaningful buckets; Wk1, Wk2, Wk3</t>
  </si>
  <si>
    <t>This Excel Workbook is intended to be a general tool with which customers can input their own assumptions and parameters. The model framework is not intended as advice, a pricing quotation, or a forecast.</t>
  </si>
  <si>
    <t>2) Analysis Output &gt;&gt; tabs in blue</t>
  </si>
  <si>
    <t>- Financial summary, with 10Y Cash Flow and P&amp;L views</t>
  </si>
  <si>
    <t>- 5Y Cash Flow view, with ROI and Payback</t>
  </si>
  <si>
    <t>- A cost per VM overview</t>
  </si>
  <si>
    <t>- A cost per CPU table</t>
  </si>
  <si>
    <t>- A Transformative Value Waterfall chart</t>
  </si>
  <si>
    <t>- An IT Productivity view</t>
  </si>
  <si>
    <t>- A Net Interest Income Calculation</t>
  </si>
  <si>
    <t>- The detailed financial case with amounts per category and per year</t>
  </si>
  <si>
    <t>Note: all output is in local currency</t>
  </si>
  <si>
    <t>3) Calculation &amp; Backup &gt;&gt; tabs in grey</t>
  </si>
  <si>
    <t>Version</t>
  </si>
  <si>
    <t>- Status Quo Estimation: yearly baseline for current environment</t>
  </si>
  <si>
    <t>Current version</t>
  </si>
  <si>
    <t>v2.7</t>
  </si>
  <si>
    <t>(Sep24 Upgrade)</t>
  </si>
  <si>
    <t>- Retained Costs Estimation: current costs maintained in the Azure scenario</t>
  </si>
  <si>
    <t>- Depreciation Schedule: focus on hardware (depreciation, acquisition, maintenance)</t>
  </si>
  <si>
    <t>Questions</t>
  </si>
  <si>
    <t>- Benchmark Assumptions: unitary quantities/costs used to quantify the baseline</t>
  </si>
  <si>
    <t>For any questions please reach out to:</t>
  </si>
  <si>
    <t>AzureDealsFinance@microsoft.com</t>
  </si>
  <si>
    <t>Note: all calculation and assumptions in those tabs are in USD</t>
  </si>
  <si>
    <t>**CREATE A COPY PLEASE**</t>
  </si>
  <si>
    <t>1. Client-related Assumptions:</t>
  </si>
  <si>
    <t>Legend:</t>
  </si>
  <si>
    <t>BV Notes</t>
  </si>
  <si>
    <t>Must be populated</t>
  </si>
  <si>
    <t>An estimates is proposed, but can be overwritten if better info is available</t>
  </si>
  <si>
    <t>Calculated value (do not change)</t>
  </si>
  <si>
    <t>Engagement info</t>
  </si>
  <si>
    <t>Client Name</t>
  </si>
  <si>
    <t>Contoso</t>
  </si>
  <si>
    <t>For display only</t>
  </si>
  <si>
    <t>Local Currency name</t>
  </si>
  <si>
    <t>USD</t>
  </si>
  <si>
    <t>Desired conversion rate</t>
  </si>
  <si>
    <t>1 USD = x Local Currency</t>
  </si>
  <si>
    <t>Customer Price Level for Windows Server Licenses</t>
  </si>
  <si>
    <t>D</t>
  </si>
  <si>
    <t>Default is B</t>
  </si>
  <si>
    <t>Customer Price Level for SQL Server Licenses</t>
  </si>
  <si>
    <t>Datacenter:</t>
  </si>
  <si>
    <t>Nb of DC</t>
  </si>
  <si>
    <r>
      <rPr>
        <u/>
        <sz val="9"/>
        <rFont val="Aptos"/>
        <family val="2"/>
      </rPr>
      <t>Entire</t>
    </r>
    <r>
      <rPr>
        <sz val="9"/>
        <rFont val="Aptos"/>
        <family val="2"/>
      </rPr>
      <t xml:space="preserve"> datacenter (or Colo Agreement) that will be terminated after migration of below workloads is complete. Impact elimination of network hardware. Default is 0</t>
    </r>
  </si>
  <si>
    <t>DC Exit Type</t>
  </si>
  <si>
    <t>Proportional</t>
  </si>
  <si>
    <t>Option 1: "Static", no cost saving from DC until the migration is complete. Option 2: "Proportional", DC cost reduction alongside the migration with a 1-year lag.</t>
  </si>
  <si>
    <t>Review both options - consider the feasibility of a customer reducing OpEx in proportion to the Azure consumption - if not, select Static for most conservative bus case</t>
  </si>
  <si>
    <t>Nb of Interconnects</t>
  </si>
  <si>
    <t>Interconnects between On-Prem DC's that will be eliminated after migration of below workloads is complete. Default is 0</t>
  </si>
  <si>
    <t>Hardware:</t>
  </si>
  <si>
    <t>Hardware Depreciation Life</t>
  </si>
  <si>
    <t>In years</t>
  </si>
  <si>
    <t>Hardware Actual Usage Life</t>
  </si>
  <si>
    <t>Expected future growth</t>
  </si>
  <si>
    <t>Over the next 10 years</t>
  </si>
  <si>
    <t>Hardware renewal during migration ramp-up</t>
  </si>
  <si>
    <t>As % of hardware left on-prem</t>
  </si>
  <si>
    <t>Productivity:</t>
  </si>
  <si>
    <t>Incorporate productivity benefit in business case</t>
  </si>
  <si>
    <t>Yes</t>
  </si>
  <si>
    <r>
      <t>Existing workload (migrated to Azure)</t>
    </r>
    <r>
      <rPr>
        <b/>
        <sz val="10"/>
        <color theme="0"/>
        <rFont val="Aptos"/>
        <family val="2"/>
      </rPr>
      <t xml:space="preserve">          </t>
    </r>
    <r>
      <rPr>
        <sz val="10"/>
        <color theme="0"/>
        <rFont val="Aptos"/>
        <family val="2"/>
      </rPr>
      <t>// Workload N⁰</t>
    </r>
    <r>
      <rPr>
        <sz val="9"/>
        <color theme="0"/>
        <rFont val="Aptos"/>
        <family val="2"/>
      </rPr>
      <t>1</t>
    </r>
  </si>
  <si>
    <t>Workload Name</t>
  </si>
  <si>
    <t>DC Move</t>
  </si>
  <si>
    <t>&gt; From technical inventory</t>
  </si>
  <si>
    <t>BV Notes:</t>
  </si>
  <si>
    <t>Nb of VM's</t>
  </si>
  <si>
    <r>
      <t xml:space="preserve">Note: vInfo tab, count # of all </t>
    </r>
    <r>
      <rPr>
        <b/>
        <sz val="10"/>
        <color theme="4"/>
        <rFont val="Aptos"/>
        <family val="2"/>
      </rPr>
      <t>VM</t>
    </r>
    <r>
      <rPr>
        <sz val="10"/>
        <color theme="4"/>
        <rFont val="Aptos"/>
        <family val="2"/>
      </rPr>
      <t xml:space="preserve"> (column A) </t>
    </r>
  </si>
  <si>
    <t>Nb of physical servers (excl. VM hosts)</t>
  </si>
  <si>
    <t>Total VM's and physical servers combined</t>
  </si>
  <si>
    <t>(should match inventory count)</t>
  </si>
  <si>
    <t>Est. Nb of physical servers (incl. VM hosts)</t>
  </si>
  <si>
    <t>If available, otherwise leverage average VM to physical server ratio (benchmark)</t>
  </si>
  <si>
    <r>
      <t xml:space="preserve">Note: vHost tab, count # of </t>
    </r>
    <r>
      <rPr>
        <b/>
        <sz val="10"/>
        <color theme="4"/>
        <rFont val="Aptos"/>
        <family val="2"/>
      </rPr>
      <t>Host</t>
    </r>
    <r>
      <rPr>
        <sz val="10"/>
        <color theme="4"/>
        <rFont val="Aptos"/>
        <family val="2"/>
      </rPr>
      <t xml:space="preserve"> (column A)</t>
    </r>
  </si>
  <si>
    <t>Avg.</t>
  </si>
  <si>
    <t>Allocated vCPU</t>
  </si>
  <si>
    <t>vCPU per VM (virtualized environment only)</t>
  </si>
  <si>
    <r>
      <t>Note: vinfo tab, sum of</t>
    </r>
    <r>
      <rPr>
        <b/>
        <sz val="10"/>
        <color theme="4"/>
        <rFont val="Aptos"/>
        <family val="2"/>
      </rPr>
      <t xml:space="preserve"> CPUs</t>
    </r>
    <r>
      <rPr>
        <sz val="10"/>
        <color theme="4"/>
        <rFont val="Aptos"/>
        <family val="2"/>
      </rPr>
      <t xml:space="preserve"> (column O)</t>
    </r>
  </si>
  <si>
    <t>Allocated pCores (excl. VM hosts)</t>
  </si>
  <si>
    <t>pCores per physical server (non-virtualized environment only)</t>
  </si>
  <si>
    <t>Total vCPU and pCores combined</t>
  </si>
  <si>
    <t>Est. allocated pCores (incl. VM hosts)</t>
  </si>
  <si>
    <t>If available, otherwise leverage average vCPU to pCores ratio (benchmark)</t>
  </si>
  <si>
    <t>pCores per physical server (both environments)</t>
  </si>
  <si>
    <r>
      <t xml:space="preserve">Note: vHost tab, sum of </t>
    </r>
    <r>
      <rPr>
        <b/>
        <sz val="10"/>
        <color theme="4"/>
        <rFont val="Aptos"/>
        <family val="2"/>
      </rPr>
      <t>#Cores</t>
    </r>
    <r>
      <rPr>
        <sz val="10"/>
        <color theme="4"/>
        <rFont val="Aptos"/>
        <family val="2"/>
      </rPr>
      <t xml:space="preserve"> (column N)</t>
    </r>
  </si>
  <si>
    <t>Allocated vMemory GB</t>
  </si>
  <si>
    <t>vMem per VM (virtualized environment only)</t>
  </si>
  <si>
    <r>
      <t xml:space="preserve">Note: vinfo tab, sum of </t>
    </r>
    <r>
      <rPr>
        <b/>
        <sz val="10"/>
        <color theme="4"/>
        <rFont val="Aptos"/>
        <family val="2"/>
      </rPr>
      <t>Memory</t>
    </r>
    <r>
      <rPr>
        <sz val="10"/>
        <color theme="4"/>
        <rFont val="Aptos"/>
        <family val="2"/>
      </rPr>
      <t xml:space="preserve"> (column P)/1024 GB</t>
    </r>
  </si>
  <si>
    <t>Allocated pMemory GB (excl. VM hosts)</t>
  </si>
  <si>
    <t>pMem per physical server (non-virtualized environment only)</t>
  </si>
  <si>
    <t>Total vMemory and pMemory combined</t>
  </si>
  <si>
    <t>Est. allocated pMemory GB (incl. VM hosts)</t>
  </si>
  <si>
    <t>If available, otherwise leverage average vMem to pMem ratio (benchmark)</t>
  </si>
  <si>
    <t>pMem per physical server (both environments)</t>
  </si>
  <si>
    <r>
      <t>Note: vhost tab, sum of</t>
    </r>
    <r>
      <rPr>
        <b/>
        <sz val="10"/>
        <color theme="4"/>
        <rFont val="Aptos"/>
        <family val="2"/>
      </rPr>
      <t xml:space="preserve"> # Memory</t>
    </r>
    <r>
      <rPr>
        <sz val="10"/>
        <color theme="4"/>
        <rFont val="Aptos"/>
        <family val="2"/>
      </rPr>
      <t xml:space="preserve"> (column P)/1024</t>
    </r>
  </si>
  <si>
    <t>Allocated Storage GB</t>
  </si>
  <si>
    <t>GB per physical server (both environments)</t>
  </si>
  <si>
    <r>
      <t xml:space="preserve">Note: vinfo tab, sum of </t>
    </r>
    <r>
      <rPr>
        <b/>
        <sz val="10"/>
        <color theme="4"/>
        <rFont val="Aptos"/>
        <family val="2"/>
      </rPr>
      <t>In Use MiB</t>
    </r>
    <r>
      <rPr>
        <sz val="10"/>
        <color theme="4"/>
        <rFont val="Aptos"/>
        <family val="2"/>
      </rPr>
      <t xml:space="preserve"> (column AT)/953.67 GB</t>
    </r>
  </si>
  <si>
    <t>&gt; Other technical parameters:</t>
  </si>
  <si>
    <t>Backup Size (GB)</t>
  </si>
  <si>
    <t>Needed only if backup is included in consumption plan (if so, align storage capacity with consumption plan estimate unless better info is available). Default is 0</t>
  </si>
  <si>
    <t>Backup - Number of protected VM's</t>
  </si>
  <si>
    <t xml:space="preserve">Needed only if backup is included in consumption plan AND proposal replaces current backup software. Default is 100% of migrated VM's when "Backup Option" is activated </t>
  </si>
  <si>
    <t>Disaster Recovery Size (GB)</t>
  </si>
  <si>
    <t>Needed only if DR is included in consumption plan (if so, align storage capacity with consumption plan estimate unless better info is available). Default is 0</t>
  </si>
  <si>
    <t>Disaster Recovery - Number of protected VM's</t>
  </si>
  <si>
    <t xml:space="preserve">Needed only if DR is included in consumption plan AND proposal replaces current DR software. Default is 100% of migrated VM's when "DR Option" is activated </t>
  </si>
  <si>
    <t>&gt; Licenses info:</t>
  </si>
  <si>
    <t>pCores with virtualization software</t>
  </si>
  <si>
    <t>As % of total pCores</t>
  </si>
  <si>
    <t>BYOL Virtualization Licenses for Azure? (AVS)</t>
  </si>
  <si>
    <t>No</t>
  </si>
  <si>
    <t>average ratio vCPU/Core</t>
  </si>
  <si>
    <t>Note: vHost tab, average vCPUs per Core (column Y)</t>
  </si>
  <si>
    <t>pCores with Windows Server OS</t>
  </si>
  <si>
    <r>
      <t xml:space="preserve">If available, </t>
    </r>
    <r>
      <rPr>
        <sz val="9"/>
        <color rgb="FFFF0000"/>
        <rFont val="Aptos"/>
        <family val="2"/>
      </rPr>
      <t>otherwise '0"</t>
    </r>
  </si>
  <si>
    <r>
      <t xml:space="preserve">Note: vinfo tab, filter </t>
    </r>
    <r>
      <rPr>
        <b/>
        <sz val="10"/>
        <color theme="4"/>
        <rFont val="Aptos"/>
        <family val="2"/>
      </rPr>
      <t>OS</t>
    </r>
    <r>
      <rPr>
        <sz val="10"/>
        <color theme="4"/>
        <rFont val="Aptos"/>
        <family val="2"/>
      </rPr>
      <t xml:space="preserve"> to Windows Server: [sum CPU /Cell D66]</t>
    </r>
  </si>
  <si>
    <t>of which pCores with ESU supported versions</t>
  </si>
  <si>
    <r>
      <t xml:space="preserve">Note: vinfo tab, filter </t>
    </r>
    <r>
      <rPr>
        <b/>
        <sz val="10"/>
        <color theme="4"/>
        <rFont val="Aptos"/>
        <family val="2"/>
      </rPr>
      <t>OS</t>
    </r>
    <r>
      <rPr>
        <sz val="10"/>
        <color theme="4"/>
        <rFont val="Aptos"/>
        <family val="2"/>
      </rPr>
      <t xml:space="preserve"> to Windows Server &lt;2012: [sum CPU/ Cell D66]</t>
    </r>
  </si>
  <si>
    <t>pCores with SQL Server DBMS</t>
  </si>
  <si>
    <t>Note: assume 10% of D67</t>
  </si>
  <si>
    <t>Note: assume 10% of D68</t>
  </si>
  <si>
    <r>
      <t>Existing workload (migrated to Azure)</t>
    </r>
    <r>
      <rPr>
        <b/>
        <sz val="10"/>
        <color theme="0"/>
        <rFont val="Aptos"/>
        <family val="2"/>
      </rPr>
      <t xml:space="preserve">          </t>
    </r>
    <r>
      <rPr>
        <sz val="10"/>
        <color theme="0"/>
        <rFont val="Aptos"/>
        <family val="2"/>
      </rPr>
      <t>// Workload N⁰2</t>
    </r>
    <r>
      <rPr>
        <b/>
        <sz val="10"/>
        <color theme="0"/>
        <rFont val="Aptos"/>
        <family val="2"/>
      </rPr>
      <t xml:space="preserve">   </t>
    </r>
    <r>
      <rPr>
        <b/>
        <u/>
        <sz val="10"/>
        <color rgb="FFFF0000"/>
        <rFont val="Aptos"/>
        <family val="2"/>
      </rPr>
      <t>(OPTIONAL)</t>
    </r>
  </si>
  <si>
    <r>
      <t>Existing workload (migrated to Azure)</t>
    </r>
    <r>
      <rPr>
        <b/>
        <sz val="10"/>
        <color theme="0"/>
        <rFont val="Aptos"/>
        <family val="2"/>
      </rPr>
      <t xml:space="preserve">          </t>
    </r>
    <r>
      <rPr>
        <sz val="10"/>
        <color theme="0"/>
        <rFont val="Aptos"/>
        <family val="2"/>
      </rPr>
      <t>// Workload N⁰3</t>
    </r>
    <r>
      <rPr>
        <b/>
        <sz val="10"/>
        <color theme="0"/>
        <rFont val="Aptos"/>
        <family val="2"/>
      </rPr>
      <t xml:space="preserve">   </t>
    </r>
    <r>
      <rPr>
        <b/>
        <u/>
        <sz val="10"/>
        <color rgb="FFFF0000"/>
        <rFont val="Aptos"/>
        <family val="2"/>
      </rPr>
      <t>(OPTIONAL)</t>
    </r>
  </si>
  <si>
    <t>Azure Run Rate (Existing Azure Consumption)</t>
  </si>
  <si>
    <t>Incorporate Run Rate in Business Case (Y/N)</t>
  </si>
  <si>
    <t>Check if it is favorable to Business Case to decide (can be dilutive as % savings)</t>
  </si>
  <si>
    <r>
      <t xml:space="preserve">This section is only needed if Business Case will be </t>
    </r>
    <r>
      <rPr>
        <b/>
        <u/>
        <sz val="10"/>
        <color theme="4"/>
        <rFont val="Aptos"/>
        <family val="2"/>
      </rPr>
      <t xml:space="preserve">inclusive </t>
    </r>
    <r>
      <rPr>
        <sz val="10"/>
        <color theme="4"/>
        <rFont val="Aptos"/>
        <family val="2"/>
      </rPr>
      <t>of customers existing Azure consumption</t>
    </r>
  </si>
  <si>
    <t>ACD Assumptions</t>
  </si>
  <si>
    <t>Current ACD</t>
  </si>
  <si>
    <t>These do not apply to the migration scenario, only the existing Azure consumption</t>
  </si>
  <si>
    <t>New ACD</t>
  </si>
  <si>
    <t>Should be approved by Deal Desk</t>
  </si>
  <si>
    <t>Azure Run Rate (For Extrapolation)</t>
  </si>
  <si>
    <t>Monthly Spend in USD</t>
  </si>
  <si>
    <t>Current Pricing Mix</t>
  </si>
  <si>
    <t>&lt; Mix check</t>
  </si>
  <si>
    <t>PayGo (ACD applies)</t>
  </si>
  <si>
    <t>Reserved Instances</t>
  </si>
  <si>
    <t>Savings Plan</t>
  </si>
  <si>
    <t>SKU-based Discounting</t>
  </si>
  <si>
    <t>2. Migration &amp; Consumption Plan:</t>
  </si>
  <si>
    <t>BV Data Input</t>
  </si>
  <si>
    <t>Consistency checks:</t>
  </si>
  <si>
    <t>// Workload N⁰1</t>
  </si>
  <si>
    <t>1. Has there been some right-sizing?</t>
  </si>
  <si>
    <t>2. Are migration ramp-up and consumption ramp-up aligned?</t>
  </si>
  <si>
    <t>2a.1 Azure workload profile</t>
  </si>
  <si>
    <t>3.  Avg Migration cost/VM benchmarks</t>
  </si>
  <si>
    <t>In Azure</t>
  </si>
  <si>
    <t>On-prem</t>
  </si>
  <si>
    <t>Evol.</t>
  </si>
  <si>
    <t>Evol. %</t>
  </si>
  <si>
    <t>&lt; Right-sizing check</t>
  </si>
  <si>
    <t>Nb of vCPU</t>
  </si>
  <si>
    <t xml:space="preserve">Avg. migration cost per VM/server to AVS </t>
  </si>
  <si>
    <t>Memory (GB)</t>
  </si>
  <si>
    <t xml:space="preserve">Avg. migration cost per VM/server to IaaS </t>
  </si>
  <si>
    <t>Storage (GB)</t>
  </si>
  <si>
    <t>2a.2 Migration</t>
  </si>
  <si>
    <r>
      <t xml:space="preserve">Avg. migration cost per VM/server </t>
    </r>
    <r>
      <rPr>
        <b/>
        <sz val="10"/>
        <color theme="4"/>
        <rFont val="Aptos"/>
        <family val="2"/>
      </rPr>
      <t>(Local Currency)</t>
    </r>
  </si>
  <si>
    <t>Reference BV Becnhmarks table above (3.)</t>
  </si>
  <si>
    <t>Total</t>
  </si>
  <si>
    <t>Migration ram-up (EOY cumulated %)</t>
  </si>
  <si>
    <t>100% at the end of the migration period</t>
  </si>
  <si>
    <t>Nb of VM/servers left on-prem</t>
  </si>
  <si>
    <t>Nb of VM/servers migrated to Azure</t>
  </si>
  <si>
    <r>
      <t>Migration cost</t>
    </r>
    <r>
      <rPr>
        <b/>
        <sz val="10"/>
        <color theme="4"/>
        <rFont val="Aptos"/>
        <family val="2"/>
      </rPr>
      <t xml:space="preserve"> (Local Currency)</t>
    </r>
  </si>
  <si>
    <t>Enter &gt; 0, will calculate from 2a.2 - review Local Currency Estimates</t>
  </si>
  <si>
    <t>ACO</t>
  </si>
  <si>
    <r>
      <t xml:space="preserve">Enter &lt; 0 &amp; In </t>
    </r>
    <r>
      <rPr>
        <b/>
        <sz val="9"/>
        <color theme="4"/>
        <rFont val="Aptos"/>
        <family val="2"/>
      </rPr>
      <t>Local Currency</t>
    </r>
  </si>
  <si>
    <t>ECIF</t>
  </si>
  <si>
    <t>Microsoft funding (ACO + ECIF)</t>
  </si>
  <si>
    <t>2a.3 Consumption</t>
  </si>
  <si>
    <t>Enter &gt; 0  (or 0 if not applicable) &amp; In Local Currency &amp; Including discount</t>
  </si>
  <si>
    <t>Compute consumption for business case &gt;</t>
  </si>
  <si>
    <r>
      <rPr>
        <b/>
        <sz val="9"/>
        <color theme="4"/>
        <rFont val="Aptos"/>
        <family val="2"/>
      </rPr>
      <t xml:space="preserve">Local Currency: </t>
    </r>
    <r>
      <rPr>
        <sz val="9"/>
        <color theme="4"/>
        <rFont val="Aptos"/>
        <family val="2"/>
      </rPr>
      <t>Enter Annual Consumption Total in Y10, prior years will populate</t>
    </r>
  </si>
  <si>
    <t>Storage consumption for business case &gt;</t>
  </si>
  <si>
    <r>
      <rPr>
        <b/>
        <sz val="9"/>
        <color theme="4"/>
        <rFont val="Aptos"/>
        <family val="2"/>
      </rPr>
      <t>Local Currency:</t>
    </r>
    <r>
      <rPr>
        <sz val="9"/>
        <color theme="4"/>
        <rFont val="Aptos"/>
        <family val="2"/>
      </rPr>
      <t xml:space="preserve"> Enter Annual Storage Total in Y10, prior years will populate</t>
    </r>
  </si>
  <si>
    <t>Other consumption for business case &gt;</t>
  </si>
  <si>
    <t>2a.4 Options</t>
  </si>
  <si>
    <t>Backup:</t>
  </si>
  <si>
    <t>Activate Backup Option:</t>
  </si>
  <si>
    <t>Activate this option only when Backup storage is included in the Azure Consumption</t>
  </si>
  <si>
    <t>If Backup Option is activated, please indicate:</t>
  </si>
  <si>
    <t>Is Backup Storage included in Azure Consumption?</t>
  </si>
  <si>
    <t>Is Backup Software included in Azure Consumption?</t>
  </si>
  <si>
    <t>Disaster Recovery:</t>
  </si>
  <si>
    <t>Activate Disaster Recovery Option:</t>
  </si>
  <si>
    <t>Activate this option only when DR storage is included in the Azure Consumption</t>
  </si>
  <si>
    <t>If Disaster Recovery Option is activated, please indicate:</t>
  </si>
  <si>
    <t>Is Disaster Recovery Storage included in Azure Consumption?</t>
  </si>
  <si>
    <t>Is Disaster Recovery Software included in Azure Consumption?</t>
  </si>
  <si>
    <r>
      <t>2. Migration &amp; Consumption Plan:</t>
    </r>
    <r>
      <rPr>
        <b/>
        <sz val="11"/>
        <color rgb="FFFF0000"/>
        <rFont val="Aptos"/>
        <family val="2"/>
      </rPr>
      <t xml:space="preserve"> &gt;&gt; POPULATE CELLS IN YELLOW ONLY</t>
    </r>
  </si>
  <si>
    <t>// Workload N⁰2</t>
  </si>
  <si>
    <t>Needed if workload #2 section has been populated in '1-Client Variables' tab</t>
  </si>
  <si>
    <t>2b.1 Azure workload profile</t>
  </si>
  <si>
    <t>2b.2 Migration</t>
  </si>
  <si>
    <t>Avg. migration cost per VM/server</t>
  </si>
  <si>
    <t>Default is $1,500 per VM/server</t>
  </si>
  <si>
    <t>Migration cost</t>
  </si>
  <si>
    <t>Enter &gt; 0 &amp; In Local Currency</t>
  </si>
  <si>
    <r>
      <rPr>
        <sz val="9"/>
        <color rgb="FFFF0000"/>
        <rFont val="Aptos"/>
        <family val="2"/>
      </rPr>
      <t xml:space="preserve">Enter &lt; </t>
    </r>
    <r>
      <rPr>
        <sz val="9"/>
        <color theme="1"/>
        <rFont val="Aptos"/>
        <family val="2"/>
      </rPr>
      <t>0 &amp; In Local Currency</t>
    </r>
  </si>
  <si>
    <t>2b.3 Consumption</t>
  </si>
  <si>
    <r>
      <t xml:space="preserve">Enter &gt; 0  (or 0 if not applicable) &amp; In Local Currency </t>
    </r>
    <r>
      <rPr>
        <sz val="9"/>
        <color rgb="FFFF0000"/>
        <rFont val="Aptos"/>
        <family val="2"/>
      </rPr>
      <t>&amp; Including discount</t>
    </r>
  </si>
  <si>
    <t>2b.4 Options</t>
  </si>
  <si>
    <t>// Workload N⁰3</t>
  </si>
  <si>
    <t>Needed if workload #3 section has been populated in '1-Client Variables' tab</t>
  </si>
  <si>
    <t>2c.1 Azure workload profile</t>
  </si>
  <si>
    <t>2c.2 Migration</t>
  </si>
  <si>
    <t>2c.3 Consumption</t>
  </si>
  <si>
    <t>2c.4 Options</t>
  </si>
  <si>
    <t>10-year Transformation Value</t>
  </si>
  <si>
    <t>ROI</t>
  </si>
  <si>
    <t>Business Case Parameters</t>
  </si>
  <si>
    <t>Average cost per VM</t>
  </si>
  <si>
    <t>NPV Status Quo (10 Years)</t>
  </si>
  <si>
    <t>Growth Rate</t>
  </si>
  <si>
    <t>On-Prem Cost</t>
  </si>
  <si>
    <t>On-Prem Cost/VM</t>
  </si>
  <si>
    <t>NPV Azure Case (10 Years)</t>
  </si>
  <si>
    <t>Hardware Depreciation Life (in Years)</t>
  </si>
  <si>
    <t>Azure Env Cost</t>
  </si>
  <si>
    <t>Azure Savings/VM</t>
  </si>
  <si>
    <t>Terminal value (relative savings)</t>
  </si>
  <si>
    <t>Azure On-prem Env</t>
  </si>
  <si>
    <t>Azure Env Cost/VM</t>
  </si>
  <si>
    <t>Project NPV</t>
  </si>
  <si>
    <t>Payback</t>
  </si>
  <si>
    <t>Total Azure Costs</t>
  </si>
  <si>
    <t>Remain On-Prem/VM</t>
  </si>
  <si>
    <t>Project NPV (excl. Terminal value)</t>
  </si>
  <si>
    <t>(Years)</t>
  </si>
  <si>
    <t># VMs Assumed</t>
  </si>
  <si>
    <t>Total Azure Cost/VM</t>
  </si>
  <si>
    <t>Year 10 (Savings) Per Year (CF)</t>
  </si>
  <si>
    <t>Year 10 (Savings) Rate (CF)</t>
  </si>
  <si>
    <t>Data Labels</t>
  </si>
  <si>
    <t>Cash Flow (CF)</t>
  </si>
  <si>
    <t>10Y Total</t>
  </si>
  <si>
    <t>Cash Flow model includes CapEx - review options with Account team / Customer as applicible to guide choice Cash Flow vs P&amp;L analysis</t>
  </si>
  <si>
    <t>Status Quo</t>
  </si>
  <si>
    <t>Azure Scenario</t>
  </si>
  <si>
    <t>CAPEX</t>
  </si>
  <si>
    <t>Status Quo Scenario</t>
  </si>
  <si>
    <t>OPEX</t>
  </si>
  <si>
    <t>Capex</t>
  </si>
  <si>
    <t>Azure Costs</t>
  </si>
  <si>
    <t>Status Quo Cash Flows</t>
  </si>
  <si>
    <t>Opex</t>
  </si>
  <si>
    <t>Azure Case</t>
  </si>
  <si>
    <t>Azure</t>
  </si>
  <si>
    <t>Migration</t>
  </si>
  <si>
    <t>Ensure Labels are placed correctly:</t>
  </si>
  <si>
    <t>Microsoft Investment</t>
  </si>
  <si>
    <r>
      <t xml:space="preserve">Status Quo Scenario &gt;&gt; dotted line in </t>
    </r>
    <r>
      <rPr>
        <b/>
        <sz val="12"/>
        <color theme="5"/>
        <rFont val="Aptos"/>
        <family val="2"/>
      </rPr>
      <t>Orange</t>
    </r>
  </si>
  <si>
    <t>Migration Costs</t>
  </si>
  <si>
    <r>
      <t xml:space="preserve">Azure Scenario &gt;&gt; dotted line in </t>
    </r>
    <r>
      <rPr>
        <b/>
        <sz val="12"/>
        <color rgb="FF00B0F0"/>
        <rFont val="Aptos"/>
        <family val="2"/>
      </rPr>
      <t>Blue</t>
    </r>
  </si>
  <si>
    <t>Microsoft Investments</t>
  </si>
  <si>
    <t>Azure Case Cash Flows</t>
  </si>
  <si>
    <t>Savings</t>
  </si>
  <si>
    <t>Cash flow delta</t>
  </si>
  <si>
    <t>Cash flow (negative indicates savings)</t>
  </si>
  <si>
    <t>P&amp;L</t>
  </si>
  <si>
    <t>Status Quo P&amp;L</t>
  </si>
  <si>
    <t>Azure Case P&amp;L</t>
  </si>
  <si>
    <t>P&amp;L delta</t>
  </si>
  <si>
    <t>P&amp;L (negative indicates savings)</t>
  </si>
  <si>
    <t>Annual Run Rate</t>
  </si>
  <si>
    <t>10 Year Total</t>
  </si>
  <si>
    <t>Annual Delta (savings)</t>
  </si>
  <si>
    <t>--</t>
  </si>
  <si>
    <t>Azure AVS</t>
  </si>
  <si>
    <r>
      <t>6. Payback Analysis:</t>
    </r>
    <r>
      <rPr>
        <b/>
        <sz val="11"/>
        <color rgb="FFFF0000"/>
        <rFont val="Aptos"/>
        <family val="2"/>
      </rPr>
      <t xml:space="preserve"> &gt;&gt; DO NOT CHANGE (FOR INFO ONLY)</t>
    </r>
  </si>
  <si>
    <t>Discount rate:</t>
  </si>
  <si>
    <t>5-Year Cash Flow Analysis</t>
  </si>
  <si>
    <t>Year 1</t>
  </si>
  <si>
    <t>Year 2</t>
  </si>
  <si>
    <t>Year 3</t>
  </si>
  <si>
    <t>Year 4</t>
  </si>
  <si>
    <t>Year 5</t>
  </si>
  <si>
    <t>NPV</t>
  </si>
  <si>
    <t>Benefits:</t>
  </si>
  <si>
    <t>1. Infrastructure Cost Savings</t>
  </si>
  <si>
    <t>2. Infrastructure Administration Cost Savings &amp; Efficiencies</t>
  </si>
  <si>
    <t>3. Application-Development Efficiencies</t>
  </si>
  <si>
    <t>4. Revenue Loss Avoided From Improved Application Uptime</t>
  </si>
  <si>
    <t>5. Revenue Gains From Faster Application Production</t>
  </si>
  <si>
    <t>Total benefits</t>
  </si>
  <si>
    <t>Costs:</t>
  </si>
  <si>
    <t>6. Incremental Azure Run Costs (incl. Azure Credit Offer)</t>
  </si>
  <si>
    <t>7. Migration One-Time Costs (incl. ECIF Funds)</t>
  </si>
  <si>
    <t>8. Training One-Time Costs</t>
  </si>
  <si>
    <t>Total costs</t>
  </si>
  <si>
    <t>Net benefits</t>
  </si>
  <si>
    <t>Payback in years</t>
  </si>
  <si>
    <t>Payback calculation</t>
  </si>
  <si>
    <t>Investment (One-Time Costs) NPV</t>
  </si>
  <si>
    <t>Total Run costs</t>
  </si>
  <si>
    <t>Total Benefits</t>
  </si>
  <si>
    <t>Cumulative Discounted Run Costs Impact</t>
  </si>
  <si>
    <t>Investment (One-Time Costs)</t>
  </si>
  <si>
    <t>Do not delete &gt;&gt;</t>
  </si>
  <si>
    <r>
      <t>3. Cost per VM Overview:</t>
    </r>
    <r>
      <rPr>
        <b/>
        <sz val="11"/>
        <color rgb="FFFF0000"/>
        <rFont val="Aptos"/>
        <family val="2"/>
      </rPr>
      <t xml:space="preserve"> &gt;&gt; DO NOT CHANGE (FOR INFO ONLY)</t>
    </r>
  </si>
  <si>
    <t>On-prem (in USD)</t>
  </si>
  <si>
    <r>
      <rPr>
        <b/>
        <sz val="11"/>
        <color theme="0"/>
        <rFont val="Aptos"/>
        <family val="2"/>
      </rPr>
      <t>On-prem</t>
    </r>
    <r>
      <rPr>
        <sz val="11"/>
        <color theme="0"/>
        <rFont val="Aptos"/>
        <family val="2"/>
      </rPr>
      <t xml:space="preserve"> (in Local Currency)</t>
    </r>
  </si>
  <si>
    <r>
      <rPr>
        <b/>
        <sz val="11"/>
        <color theme="0"/>
        <rFont val="Aptos"/>
        <family val="2"/>
      </rPr>
      <t>Azure case</t>
    </r>
    <r>
      <rPr>
        <sz val="11"/>
        <color theme="0"/>
        <rFont val="Aptos"/>
        <family val="2"/>
      </rPr>
      <t xml:space="preserve"> (in Local Currency)</t>
    </r>
  </si>
  <si>
    <t>Per VM</t>
  </si>
  <si>
    <t>P&amp;L View</t>
  </si>
  <si>
    <t>Baseline</t>
  </si>
  <si>
    <t>Steady state</t>
  </si>
  <si>
    <t>(yearly)</t>
  </si>
  <si>
    <t>Share</t>
  </si>
  <si>
    <t>Evolution</t>
  </si>
  <si>
    <t>Category</t>
  </si>
  <si>
    <t>Server Depreciation</t>
  </si>
  <si>
    <t>Server Hardware Maintenance</t>
  </si>
  <si>
    <t>Storage Depreciation</t>
  </si>
  <si>
    <t>Storage Maintenance</t>
  </si>
  <si>
    <t>Storage Cost for Backup</t>
  </si>
  <si>
    <t>Storage Cost for Disaster Recovery</t>
  </si>
  <si>
    <t>NW and Fitout Depreciation</t>
  </si>
  <si>
    <t>Network Hardware Maintenance</t>
  </si>
  <si>
    <t>↓</t>
  </si>
  <si>
    <t>Hardware Costs</t>
  </si>
  <si>
    <t>Bandwidth Costs</t>
  </si>
  <si>
    <t>DC Lease (Space) Cost</t>
  </si>
  <si>
    <t>DC Power Cost</t>
  </si>
  <si>
    <t>Datacenter Costs (Lease &amp; Power)</t>
  </si>
  <si>
    <t>Virtualization Licenses</t>
  </si>
  <si>
    <t>Windows Server Licenses</t>
  </si>
  <si>
    <t>SQL Server Licenses</t>
  </si>
  <si>
    <t>Windows Server ESU</t>
  </si>
  <si>
    <t>SQL Server ESU</t>
  </si>
  <si>
    <t>Backup Licenses</t>
  </si>
  <si>
    <t>Disaster Recovery Licenses</t>
  </si>
  <si>
    <t>Licenses Costs</t>
  </si>
  <si>
    <t>System Admin Staff</t>
  </si>
  <si>
    <t>Managed Services</t>
  </si>
  <si>
    <t>IT Operations Costs</t>
  </si>
  <si>
    <t>Azure Run Rate</t>
  </si>
  <si>
    <t>Azure Compute (New)</t>
  </si>
  <si>
    <t>Azure Storage (New)</t>
  </si>
  <si>
    <t>Azure Other (New)</t>
  </si>
  <si>
    <t>Total Azure Consumption</t>
  </si>
  <si>
    <t>Total Costs</t>
  </si>
  <si>
    <t>Nb VM/servers Migrated</t>
  </si>
  <si>
    <r>
      <t>4. Cost per pCore (to facilitate comparison with On-Prem financial metrics):</t>
    </r>
    <r>
      <rPr>
        <b/>
        <sz val="11"/>
        <color rgb="FFFF0000"/>
        <rFont val="Aptos"/>
        <family val="2"/>
      </rPr>
      <t xml:space="preserve"> &gt;&gt; DO NOT CHANGE (FOR INFO ONLY)</t>
    </r>
  </si>
  <si>
    <t>(In Local Currency)</t>
  </si>
  <si>
    <t>On-Prem Allocated pCores</t>
  </si>
  <si>
    <t>Yearly Cost</t>
  </si>
  <si>
    <t>Cost per pCore</t>
  </si>
  <si>
    <t>CAPEX Cash Flows</t>
  </si>
  <si>
    <t>Server Acquisition</t>
  </si>
  <si>
    <t>Storage Acquisition</t>
  </si>
  <si>
    <t>Networking HW Acquisition</t>
  </si>
  <si>
    <t>Total CAPEX Cash Flows</t>
  </si>
  <si>
    <t>OPEX Cash Flows</t>
  </si>
  <si>
    <t>Server Support &amp; Maintenance</t>
  </si>
  <si>
    <t>Storage Support &amp; Maintenance</t>
  </si>
  <si>
    <t>Networking HW Support &amp; Maintenance</t>
  </si>
  <si>
    <t>Storage for Backup</t>
  </si>
  <si>
    <t>Storage for Disaster Recovery</t>
  </si>
  <si>
    <t>Virtualization License Costs</t>
  </si>
  <si>
    <t>Windows Server License Costs (excl. ESU)</t>
  </si>
  <si>
    <t>SQL Server License Costs (excl. ESU)</t>
  </si>
  <si>
    <t>Total OPEX Cash Flows</t>
  </si>
  <si>
    <t>Total (excl. Azure Costs)</t>
  </si>
  <si>
    <r>
      <t>5. Azure Transformative Value Waterfall Charts:</t>
    </r>
    <r>
      <rPr>
        <b/>
        <sz val="11"/>
        <color rgb="FFFF0000"/>
        <rFont val="Aptos"/>
        <family val="2"/>
      </rPr>
      <t xml:space="preserve"> </t>
    </r>
  </si>
  <si>
    <t>Invisible</t>
  </si>
  <si>
    <t>Final</t>
  </si>
  <si>
    <t>Plus 2</t>
  </si>
  <si>
    <t>Plus 1</t>
  </si>
  <si>
    <t>Initial</t>
  </si>
  <si>
    <t>Status Quo (On-Prem)</t>
  </si>
  <si>
    <t>Azure Transformative Value</t>
  </si>
  <si>
    <t>Cost Reduction</t>
  </si>
  <si>
    <t>Cost Increase</t>
  </si>
  <si>
    <t>Hardware Costs Reduction</t>
  </si>
  <si>
    <t>Bandwidth Costs Reduction</t>
  </si>
  <si>
    <t>Facilities Costs Reduction</t>
  </si>
  <si>
    <t>Licenses Costs Reduction</t>
  </si>
  <si>
    <t>IT Operations Costs Reduction</t>
  </si>
  <si>
    <t>Azure Consumption Increase</t>
  </si>
  <si>
    <r>
      <t>6. IT Productivity:</t>
    </r>
    <r>
      <rPr>
        <b/>
        <sz val="11"/>
        <color rgb="FFFF0000"/>
        <rFont val="Aptos"/>
        <family val="2"/>
      </rPr>
      <t xml:space="preserve"> &gt;&gt; DO NOT CHANGE (FOR INFO ONLY)</t>
    </r>
  </si>
  <si>
    <t>Year 10' VM's/physical servers Count (incl. Growth)</t>
  </si>
  <si>
    <r>
      <t xml:space="preserve">Select Waterfall Chart View </t>
    </r>
    <r>
      <rPr>
        <sz val="11"/>
        <color theme="1"/>
        <rFont val="Segoe UI"/>
        <family val="2"/>
      </rPr>
      <t>››</t>
    </r>
  </si>
  <si>
    <t>Full-Time Equivalent</t>
  </si>
  <si>
    <t>Workload #1</t>
  </si>
  <si>
    <t>Workload #2</t>
  </si>
  <si>
    <t>Workload #3</t>
  </si>
  <si>
    <t>End State (per Year)</t>
  </si>
  <si>
    <t>Man-Hours</t>
  </si>
  <si>
    <t>System Admin Count</t>
  </si>
  <si>
    <t>Value ($)</t>
  </si>
  <si>
    <t>Value (LC)</t>
  </si>
  <si>
    <t>Selected View</t>
  </si>
  <si>
    <t>Productivity Gain</t>
  </si>
  <si>
    <t>Estimated On-Premises Time Spent</t>
  </si>
  <si>
    <t>Realization Premium (e.g., Not Recaptured)</t>
  </si>
  <si>
    <t>Adjusted Productivity Gain</t>
  </si>
  <si>
    <t>Estimated Time Spent in Azure Case</t>
  </si>
  <si>
    <r>
      <rPr>
        <sz val="9"/>
        <color theme="1"/>
        <rFont val="Segoe UI"/>
        <family val="2"/>
      </rPr>
      <t>›››</t>
    </r>
    <r>
      <rPr>
        <i/>
        <sz val="9"/>
        <color theme="1"/>
        <rFont val="Aptos"/>
        <family val="2"/>
      </rPr>
      <t xml:space="preserve"> Calculated only if productivity benefit is incorporated in business case</t>
    </r>
  </si>
  <si>
    <r>
      <t>7. Net Interest Income Analysis:</t>
    </r>
    <r>
      <rPr>
        <b/>
        <sz val="11"/>
        <color rgb="FFFF0000"/>
        <rFont val="Aptos"/>
        <family val="2"/>
      </rPr>
      <t xml:space="preserve"> &gt;&gt; DO NOT CHANGE (FOR INFO ONLY)</t>
    </r>
  </si>
  <si>
    <t>Assumptions</t>
  </si>
  <si>
    <t>&gt;&gt; Net Interest Income Calculation:</t>
  </si>
  <si>
    <t>Net Interest Margin (NIM):</t>
  </si>
  <si>
    <t>in Q1 2023 for US Banks</t>
  </si>
  <si>
    <t>https://www.investopedia.com/ask/answers/061715/what-net-interest-margin-typical-bank.asp</t>
  </si>
  <si>
    <t>WACC:</t>
  </si>
  <si>
    <t>Status Quo Scenario Cashflow</t>
  </si>
  <si>
    <t>Azure Scenario Cashflow</t>
  </si>
  <si>
    <t xml:space="preserve">Net Annual Cash Outlay </t>
  </si>
  <si>
    <t xml:space="preserve">&lt;&lt; Negative represents excess cash outflow in Azure Scenario. Positive represents cash saved (YoY cashflow savings) which in turn generates Net Interest Income </t>
  </si>
  <si>
    <t>Beginning Cash</t>
  </si>
  <si>
    <t>Net Annual Cash Outlay</t>
  </si>
  <si>
    <t>&lt;&lt; Positive represents Inflow into bank account</t>
  </si>
  <si>
    <t>Net Annual Cash Outlay Invested in other projects</t>
  </si>
  <si>
    <t>&lt;&lt; Negative represents Outflow out of the bank account</t>
  </si>
  <si>
    <t>Ending Cash</t>
  </si>
  <si>
    <t>Explanation: if the positive Net Annual Cash Outlay (i.e. cashflow savings) are invested in other strategic projects (i.e. cash taken out of the bank) then we need to show such cash investment in other projects as reducing End cash balance.. Therefore we need to show them as negative values. In order to generate maximum Net Interest Income benefit we should keep this row as zero</t>
  </si>
  <si>
    <t xml:space="preserve">Net Interest Income </t>
  </si>
  <si>
    <t xml:space="preserve">Discounted Net Interest Income </t>
  </si>
  <si>
    <t xml:space="preserve">Cummulative Discounted Net Interest Income </t>
  </si>
  <si>
    <r>
      <t>6. Payback Analysis:</t>
    </r>
    <r>
      <rPr>
        <b/>
        <sz val="10"/>
        <color rgb="FFFF0000"/>
        <rFont val="Segoe UI"/>
        <family val="2"/>
      </rPr>
      <t xml:space="preserve"> &gt;&gt; DO NOT CHANGE (FOR INFO ONLY)</t>
    </r>
  </si>
  <si>
    <t>&gt;&gt; Discounted Payback Method (default):</t>
  </si>
  <si>
    <t xml:space="preserve">Run Cost Impact </t>
  </si>
  <si>
    <t>&lt;&lt; Negative represents cash outflow</t>
  </si>
  <si>
    <t>MSFT Investments</t>
  </si>
  <si>
    <t>&lt;&lt; Positve represents net cash inflow</t>
  </si>
  <si>
    <t>Annual Savings</t>
  </si>
  <si>
    <t>Discounted Annual Savings</t>
  </si>
  <si>
    <t>Cumulative Discounted Annual Savings</t>
  </si>
  <si>
    <t>Discounted Payback Period (years)</t>
  </si>
  <si>
    <t>&gt;&gt; Discounted Payback Method (with updated discount rate when applicable):</t>
  </si>
  <si>
    <t>Other discount rate:</t>
  </si>
  <si>
    <t>Annual Run-Rate Prior to Migration &lt;--</t>
  </si>
  <si>
    <t>On-Prem</t>
  </si>
  <si>
    <t xml:space="preserve">Servers </t>
  </si>
  <si>
    <t>Storage / Other</t>
  </si>
  <si>
    <t>Network Hardware</t>
  </si>
  <si>
    <t>Included with Azure</t>
  </si>
  <si>
    <t>Facilities</t>
  </si>
  <si>
    <t>Virt Software</t>
  </si>
  <si>
    <t>Win/SQL Licenses</t>
  </si>
  <si>
    <t>Win/SQL ESU</t>
  </si>
  <si>
    <t>Labor</t>
  </si>
  <si>
    <t>Annual Total</t>
  </si>
  <si>
    <t>Annual Net Savings</t>
  </si>
  <si>
    <t>%savings</t>
  </si>
  <si>
    <t>Adjusted 3 Year Costs</t>
  </si>
  <si>
    <t>AVS ACO Empowerment</t>
  </si>
  <si>
    <t>Blue Emp Remaining</t>
  </si>
  <si>
    <t>Value of CMF</t>
  </si>
  <si>
    <t>BV Note: Use this tab if you need to make manual additions or subtractions from the model after completeing the necessary steps for a complete 'Summary Financial Case'</t>
  </si>
  <si>
    <t>On-Prem Costs</t>
  </si>
  <si>
    <t>Cost Type</t>
  </si>
  <si>
    <t>Y0</t>
  </si>
  <si>
    <t>Notes</t>
  </si>
  <si>
    <t>Storage + Network Acquisition</t>
  </si>
  <si>
    <t>Hardware Maintainance</t>
  </si>
  <si>
    <t xml:space="preserve"> </t>
  </si>
  <si>
    <t xml:space="preserve">Backup &amp; DR </t>
  </si>
  <si>
    <t>Data Center Facilities</t>
  </si>
  <si>
    <t>Virtualization Software</t>
  </si>
  <si>
    <t>Windows + SQL Server Liceneses</t>
  </si>
  <si>
    <t>Windows + SQL Server ESU</t>
  </si>
  <si>
    <t>Prof Services OPEX</t>
  </si>
  <si>
    <t>Migration Services</t>
  </si>
  <si>
    <t>Azure OPEX</t>
  </si>
  <si>
    <t>Azure Consumption (existing)</t>
  </si>
  <si>
    <t>Total:</t>
  </si>
  <si>
    <t>Cloud Costs</t>
  </si>
  <si>
    <t>Backup &amp; DR Storage</t>
  </si>
  <si>
    <t>(negative indicates savings)</t>
  </si>
  <si>
    <t>On-Prem Total</t>
  </si>
  <si>
    <t>Migration Cost</t>
  </si>
  <si>
    <t>Cloud Scenario Total</t>
  </si>
  <si>
    <t>Cumulative (savings)</t>
  </si>
  <si>
    <t>Net Savings</t>
  </si>
  <si>
    <t>*row for chart visualizations only</t>
  </si>
  <si>
    <t>On-Prem Costs Reduction Factor</t>
  </si>
  <si>
    <t>Tag synthesis</t>
  </si>
  <si>
    <t>CAGR</t>
  </si>
  <si>
    <t>Datacenter Costs</t>
  </si>
  <si>
    <t>Total On-Prem Cost</t>
  </si>
  <si>
    <t>Azure Run Rate (No growth)</t>
  </si>
  <si>
    <t>Azure Incremental Consumption</t>
  </si>
  <si>
    <t>Azure Migration Costs</t>
  </si>
  <si>
    <t>Total Azure Cost</t>
  </si>
  <si>
    <t>Total P&amp;L Costs</t>
  </si>
  <si>
    <t>Cash Flow View</t>
  </si>
  <si>
    <t>Capital Expenditures (CAPEX)</t>
  </si>
  <si>
    <t>NW + Fitout Acquisition</t>
  </si>
  <si>
    <t>Total CAPEX</t>
  </si>
  <si>
    <t>Operating Cash Flows</t>
  </si>
  <si>
    <t>Licenses Subscription &amp; Software Support</t>
  </si>
  <si>
    <t>Total Operating Cash Flows</t>
  </si>
  <si>
    <t>Total Cash Flows</t>
  </si>
  <si>
    <t>1. Infrastructure Costs</t>
  </si>
  <si>
    <t>2. Infrastructure Administration Costs</t>
  </si>
  <si>
    <t>6. Azure Run Costs (incl. Azure Credit Offer)</t>
  </si>
  <si>
    <t>NPV Calculation</t>
  </si>
  <si>
    <t>Cash flows</t>
  </si>
  <si>
    <t>Terminal Value (if desired)</t>
  </si>
  <si>
    <t>Annual NPV</t>
  </si>
  <si>
    <t>NPV Terminal Value</t>
  </si>
  <si>
    <t>NPV including terminal Value</t>
  </si>
  <si>
    <t>WACC</t>
  </si>
  <si>
    <t>Perp. Growth Rate</t>
  </si>
  <si>
    <r>
      <t xml:space="preserve">7. Benchmark Model Assumptions: </t>
    </r>
    <r>
      <rPr>
        <b/>
        <sz val="11"/>
        <color rgb="FFFF0000"/>
        <rFont val="Aptos"/>
        <family val="2"/>
      </rPr>
      <t>&gt;&gt; Only change in column K if needed. DO NOT SHARE ENTIRE DATASET WITH CUSTOMERS (only share specific benchmark that were used) --- IN USD</t>
    </r>
  </si>
  <si>
    <t>Type</t>
  </si>
  <si>
    <t>Rely on</t>
  </si>
  <si>
    <t>Estimation</t>
  </si>
  <si>
    <t>Backup file</t>
  </si>
  <si>
    <t>Backup tab</t>
  </si>
  <si>
    <t>Value per Backup</t>
  </si>
  <si>
    <t>Value Used</t>
  </si>
  <si>
    <t>Previous Values</t>
  </si>
  <si>
    <t>Research</t>
  </si>
  <si>
    <t>n/a</t>
  </si>
  <si>
    <t>Hours in one Year</t>
  </si>
  <si>
    <t>Conversion</t>
  </si>
  <si>
    <t xml:space="preserve">Watt to kWh Conversion </t>
  </si>
  <si>
    <t>https://learn.g2.com/virtualization-statistics</t>
  </si>
  <si>
    <t>GB to TB Conversion</t>
  </si>
  <si>
    <t>Servers &amp; Storage:</t>
  </si>
  <si>
    <t>VM to physical server ratio</t>
  </si>
  <si>
    <t>Survey</t>
  </si>
  <si>
    <t>Average</t>
  </si>
  <si>
    <t>FY24 Azure TCO Benchmark with Surveys_vF</t>
  </si>
  <si>
    <t>Survey 1</t>
  </si>
  <si>
    <t>vCPU to pCores ratio</t>
  </si>
  <si>
    <t>Survey 5</t>
  </si>
  <si>
    <t>vMemory to pMemory ratio</t>
  </si>
  <si>
    <t>Servers acquisition cost - cost per core</t>
  </si>
  <si>
    <t>Servers acquisition cost - cost per GB Memory</t>
  </si>
  <si>
    <t>Storage acquisition cost - cost per GB</t>
  </si>
  <si>
    <t>NAS / SAN / DAS</t>
  </si>
  <si>
    <t>GB storage already captured in acquisition cost</t>
  </si>
  <si>
    <t>Default is no capacity included</t>
  </si>
  <si>
    <t>Backup storage cost per year per GB</t>
  </si>
  <si>
    <t>Azure Pricing example</t>
  </si>
  <si>
    <t>cf comment</t>
  </si>
  <si>
    <t>Disaster Recovery storage cost per year per GB</t>
  </si>
  <si>
    <t>Server hardware maintenance - as % of acquisition cost</t>
  </si>
  <si>
    <t>vmware benchmark</t>
  </si>
  <si>
    <t>TBD</t>
  </si>
  <si>
    <t>Own analysis not yet done</t>
  </si>
  <si>
    <t>Storage hardware maintenance - as % of acquisition cost</t>
  </si>
  <si>
    <t>Network &amp; Fitout:</t>
  </si>
  <si>
    <t>Nb of physical server per cabinet</t>
  </si>
  <si>
    <t>Best practice</t>
  </si>
  <si>
    <t>Best Practices &amp; Research</t>
  </si>
  <si>
    <t>Nb of core router per DC</t>
  </si>
  <si>
    <t>Nb of aggregate router per core router</t>
  </si>
  <si>
    <t>GLG Survey Summary</t>
  </si>
  <si>
    <t>Nb of access switch per core router</t>
  </si>
  <si>
    <t>Nb of load balancer per core router</t>
  </si>
  <si>
    <t>Average cost per cabinet</t>
  </si>
  <si>
    <t>42u Rack from 4 vendors</t>
  </si>
  <si>
    <t>Research DC estimates</t>
  </si>
  <si>
    <t>Average cost per core router</t>
  </si>
  <si>
    <t>Average cost per aggregate router</t>
  </si>
  <si>
    <t>Average cost per access switch</t>
  </si>
  <si>
    <t>Average cost per load balancer</t>
  </si>
  <si>
    <t>Network hardware maintenance - as % of acquisition cost</t>
  </si>
  <si>
    <t>Licenses &amp; Support:</t>
  </si>
  <si>
    <t>Windows Server License - Cost per year per core</t>
  </si>
  <si>
    <t>Msft pricelist</t>
  </si>
  <si>
    <t>WCF Automated Price Tool</t>
  </si>
  <si>
    <t>Price Level B</t>
  </si>
  <si>
    <t>Perpetual model (SA only)</t>
  </si>
  <si>
    <t>SQL Server Licence - Cost per year per core</t>
  </si>
  <si>
    <t>Windows Server ESU - Cost per year per core</t>
  </si>
  <si>
    <t>Classic ESU (e.g., not Arc ESU)</t>
  </si>
  <si>
    <t>SQL Server ESU - Cost per year per core</t>
  </si>
  <si>
    <t>Price Level D</t>
  </si>
  <si>
    <t>Virtualization License - Cost per year per core</t>
  </si>
  <si>
    <t>Subscription model</t>
  </si>
  <si>
    <t>Backup software License - Cost per year per protected VM</t>
  </si>
  <si>
    <t>Disaster Recovery software License - Cost per year per VM</t>
  </si>
  <si>
    <t>JetStream example</t>
  </si>
  <si>
    <t>Lease &amp; Power:</t>
  </si>
  <si>
    <t>% of unused/overhead power draw capacity</t>
  </si>
  <si>
    <t>Survey 3</t>
  </si>
  <si>
    <t>Based on Leased DC's</t>
  </si>
  <si>
    <t>Space cost per KW per month</t>
  </si>
  <si>
    <t>Power cost per KW per month</t>
  </si>
  <si>
    <t>On-Prem PUE</t>
  </si>
  <si>
    <t>Study</t>
  </si>
  <si>
    <t>Uptime Institute Global Data Center Survey 2024</t>
  </si>
  <si>
    <t>On-Prem Thermal Design Power (Watt/year per core)</t>
  </si>
  <si>
    <t>cf. Carbon Model Analysis</t>
  </si>
  <si>
    <t>On-Prem Storage Power Rating (kWh/year per TB)</t>
  </si>
  <si>
    <t>On-Prem Load Factor</t>
  </si>
  <si>
    <t>Bandwidth &amp; Telecom Charges:</t>
  </si>
  <si>
    <t>Yearly Cost per Interconnect (Bandwidth)</t>
  </si>
  <si>
    <t>Benchmark</t>
  </si>
  <si>
    <t>IT Admin:</t>
  </si>
  <si>
    <t>Number of VM's/physical servers managed per System Administrator</t>
  </si>
  <si>
    <t>System Administrator - fully loaded cost per year</t>
  </si>
  <si>
    <t>Survey 2</t>
  </si>
  <si>
    <t>Salary + Bonus + Incentives</t>
  </si>
  <si>
    <t>Average working hours per year (for one System Administrator)</t>
  </si>
  <si>
    <t>"Total Economic Impact Of Microsoft Azure AI" (April 2023)</t>
  </si>
  <si>
    <t>Share of System Administrators who are fulltime contractors</t>
  </si>
  <si>
    <t>Contractors vs Employees</t>
  </si>
  <si>
    <t>Reduction in infrastructure support after migrating to Azure IaaS</t>
  </si>
  <si>
    <t>IDC "Business Value of Microsoft Azure" (Feb. 2023)</t>
  </si>
  <si>
    <t>Productivity recapture rate</t>
  </si>
  <si>
    <r>
      <t xml:space="preserve">4. Baseline (status quo) </t>
    </r>
    <r>
      <rPr>
        <b/>
        <sz val="11"/>
        <color rgb="FFFF0000"/>
        <rFont val="Aptos"/>
        <family val="2"/>
      </rPr>
      <t>&gt;&gt; DO NOT CHANGE (FOR INFO ONLY) --- IN USD</t>
    </r>
  </si>
  <si>
    <t>4.1 Capital Assets Expenses (CAPEX)</t>
  </si>
  <si>
    <t>Acquisition cost</t>
  </si>
  <si>
    <t>Depr. Duration</t>
  </si>
  <si>
    <t>Depr. cost</t>
  </si>
  <si>
    <t>Servers</t>
  </si>
  <si>
    <t>All workloads</t>
  </si>
  <si>
    <t>Allocated pCores</t>
  </si>
  <si>
    <t xml:space="preserve">Allocated pMemory (GB) </t>
  </si>
  <si>
    <t>For information only &gt;&gt;</t>
  </si>
  <si>
    <t>Av Cores/Server</t>
  </si>
  <si>
    <t>Av Memory/Server</t>
  </si>
  <si>
    <t>Av Cost/Server</t>
  </si>
  <si>
    <t>Workload yearly depreciation</t>
  </si>
  <si>
    <t>Storage</t>
  </si>
  <si>
    <t>Nb of physical servers</t>
  </si>
  <si>
    <t>Included in servers (GB)</t>
  </si>
  <si>
    <t>Allocated in current env. (GB)</t>
  </si>
  <si>
    <t>Extra storage to capture (GB)</t>
  </si>
  <si>
    <t>Cost per GB</t>
  </si>
  <si>
    <t>Weighted average based on survey</t>
  </si>
  <si>
    <t>NW and Fitout</t>
  </si>
  <si>
    <t>Notes: 
- Firewalls not incorporated (as they would exist both in status quo and in Azure Case).
- Interconnect routers not incorporated in status quo (as they would be replaced by other routers in Azure Case).</t>
  </si>
  <si>
    <t>Cabinets</t>
  </si>
  <si>
    <t>Core Routers</t>
  </si>
  <si>
    <t>Aggregate Router</t>
  </si>
  <si>
    <t>Access Switches</t>
  </si>
  <si>
    <t>Load balancers</t>
  </si>
  <si>
    <t>&gt;&gt; DC-related</t>
  </si>
  <si>
    <t>Nb of Units</t>
  </si>
  <si>
    <t>Cost /unit</t>
  </si>
  <si>
    <t>Acquisition Cost</t>
  </si>
  <si>
    <t>Licenses (Subscriptions &amp; Software Support)</t>
  </si>
  <si>
    <t>Virtualization</t>
  </si>
  <si>
    <t>Windows Servers SA</t>
  </si>
  <si>
    <t>SQL Servers SA</t>
  </si>
  <si>
    <t>Windows Servers ESU</t>
  </si>
  <si>
    <t>SQL Servers ESU</t>
  </si>
  <si>
    <t>Licenses with a cost model per core &gt;&gt;</t>
  </si>
  <si>
    <t># of Phys. Cores - Workload #1</t>
  </si>
  <si>
    <t># of Phys. Cores - Workload #2</t>
  </si>
  <si>
    <t># of Phys. Cores - Workload #3</t>
  </si>
  <si>
    <t>Cost per core per year</t>
  </si>
  <si>
    <t>Backup software</t>
  </si>
  <si>
    <t>DR software</t>
  </si>
  <si>
    <t>Licenses with a cost model per VM &gt;&gt;</t>
  </si>
  <si>
    <t># of VM/server - Workload #1</t>
  </si>
  <si>
    <t>&gt;&gt; VM count only when Option is Activated</t>
  </si>
  <si>
    <t># of VM/server - Workload #2</t>
  </si>
  <si>
    <t># of VM/server - Workload #3</t>
  </si>
  <si>
    <t>Cost per VM per year</t>
  </si>
  <si>
    <t>4.2 Operating Asset Expenses (OPEX)</t>
  </si>
  <si>
    <t>Total Cores Count</t>
  </si>
  <si>
    <t>Cores</t>
  </si>
  <si>
    <t xml:space="preserve">x On-Prem TDP (per core - Watt) x Watt to kWh Conversion </t>
  </si>
  <si>
    <t>kWh per core</t>
  </si>
  <si>
    <t>x Integration of Load factor</t>
  </si>
  <si>
    <t>x On-Prem PUE</t>
  </si>
  <si>
    <t>kWh (Capacity)</t>
  </si>
  <si>
    <t>Total Storage Capacity (GB) x GB to TB Conversion</t>
  </si>
  <si>
    <t>TB</t>
  </si>
  <si>
    <t>x On-Prem Storage Power Rating (kWh/year per TB)</t>
  </si>
  <si>
    <t>kWh/year per TB</t>
  </si>
  <si>
    <t>x Conversion of energy consumption into peak consumption</t>
  </si>
  <si>
    <t>kW Capacity for current workloads</t>
  </si>
  <si>
    <t>Unused and/or overhead capacity</t>
  </si>
  <si>
    <t>kW Capacity including unused and/or overhead</t>
  </si>
  <si>
    <t>Av. Space price per KW per month</t>
  </si>
  <si>
    <t>Yearly Space cost</t>
  </si>
  <si>
    <t>Av. Power price per KW per month</t>
  </si>
  <si>
    <t>Yearly Power cost</t>
  </si>
  <si>
    <t>Note: 
- ISP Bandwidth Cost (1/10/100 Gbps connections) related to data transfers to/from offices not incorporated (as they would exist both in status quo and in Azure Case).</t>
  </si>
  <si>
    <t>Nb of Eliminated Interconnects</t>
  </si>
  <si>
    <t>Yearly cost</t>
  </si>
  <si>
    <t>Server HW Maintenance as % of acquisition cost</t>
  </si>
  <si>
    <t>Each year</t>
  </si>
  <si>
    <t>Total cost per year</t>
  </si>
  <si>
    <t>Storage Hardware Maintenance</t>
  </si>
  <si>
    <t>Storage HW Maintenance as % of acquisition cost</t>
  </si>
  <si>
    <t>NW HW Maintenance as % of acquisition cost</t>
  </si>
  <si>
    <t>Cost of Storage for Backup</t>
  </si>
  <si>
    <t>Is Backup Option Activated?</t>
  </si>
  <si>
    <t>Backup size (GB)</t>
  </si>
  <si>
    <t>Cost of Storage for Disaster Recovery</t>
  </si>
  <si>
    <t>Is DR Option Activated?</t>
  </si>
  <si>
    <t>DR storage cost per year per GB</t>
  </si>
  <si>
    <t>DR size (GB)</t>
  </si>
  <si>
    <t>System Admin Staff Costs</t>
  </si>
  <si>
    <t>Number of VM's/physical servers (incl. Growth)</t>
  </si>
  <si>
    <t>Number of VM's/physical servers per System Administrator</t>
  </si>
  <si>
    <t>System Admin FTE's supporting in-scope infra hosted On-Premises</t>
  </si>
  <si>
    <t>Fully burdened annual compensation for a System Admin</t>
  </si>
  <si>
    <t>Infrastructure administration cost</t>
  </si>
  <si>
    <t>Is Productivity Option Activated?</t>
  </si>
  <si>
    <r>
      <t xml:space="preserve">5. Retained costs (Azure scenario) </t>
    </r>
    <r>
      <rPr>
        <b/>
        <sz val="11"/>
        <color rgb="FFFF0000"/>
        <rFont val="Aptos"/>
        <family val="2"/>
      </rPr>
      <t>&gt;&gt; DO NOT CHANGE (FOR INFO ONLY) --- IN USD</t>
    </r>
  </si>
  <si>
    <t>5.1 Capital Assets Expenses (CAPEX)</t>
  </si>
  <si>
    <t>Storage                              &gt;&gt; Refer to Depreciation Schedule Tab</t>
  </si>
  <si>
    <t>5.1.1 Licenses (Subscriptions and Software Support)</t>
  </si>
  <si>
    <t>5.1.1.1 Virtualization Licenses</t>
  </si>
  <si>
    <t>&gt;&gt; Workload #1</t>
  </si>
  <si>
    <t>Migration ram-up</t>
  </si>
  <si>
    <t>Base Nb of Phys. Cores (incl. Growth)</t>
  </si>
  <si>
    <t>Nb of Phys. Cores left on-prem</t>
  </si>
  <si>
    <t>&gt;&gt; Workload #2</t>
  </si>
  <si>
    <t>&gt;&gt; Workload #3</t>
  </si>
  <si>
    <t>5.1.1.2 Windows Servers Licenses</t>
  </si>
  <si>
    <t>Physical cores with Windows OS</t>
  </si>
  <si>
    <t>Initial Qty</t>
  </si>
  <si>
    <t>(before growth)</t>
  </si>
  <si>
    <t>Avg. Cores Right-sizing</t>
  </si>
  <si>
    <t>Revised Qty</t>
  </si>
  <si>
    <t>Has workload fully migated?</t>
  </si>
  <si>
    <t>Nb of Cores left on-prem (incl. Growth)</t>
  </si>
  <si>
    <t>Nb of Cores moved to Azure with right-sizing (incl. Growth)</t>
  </si>
  <si>
    <t>Total nb of Cores (with Growth)</t>
  </si>
  <si>
    <t>Nb of Cores left on-prem (with Growth)</t>
  </si>
  <si>
    <t>Nb of Cores moved to Azure incl. right-sizing (with Growth)</t>
  </si>
  <si>
    <t>5.1.1.3 SQL Servers Licenses</t>
  </si>
  <si>
    <t>Physical cores of SQL servers</t>
  </si>
  <si>
    <t>5.1.1.4 Windows Server ESU</t>
  </si>
  <si>
    <t>5.1.1.5 SQL Server ESU</t>
  </si>
  <si>
    <t>5.1.1.6 Backup Software</t>
  </si>
  <si>
    <t>Number of VM's</t>
  </si>
  <si>
    <t>Nb of VM's left on-prem (incl. Growth)</t>
  </si>
  <si>
    <t>Nb of VM's moved to Azure (incl. Growth)</t>
  </si>
  <si>
    <t>Total nb of VM's (with Growth)</t>
  </si>
  <si>
    <t>5.1.1.7 Disaster Recovery Software</t>
  </si>
  <si>
    <t>Is DR Software included in Azure Consumption?</t>
  </si>
  <si>
    <t>5.2 Operating Asset Expenses (OPEX)</t>
  </si>
  <si>
    <t>Servers Maintenance</t>
  </si>
  <si>
    <t>Storage Maintenance                             &gt;&gt; Refer to Depreciation Schedule Tab</t>
  </si>
  <si>
    <t>NW and Fitout Maintenance</t>
  </si>
  <si>
    <t>5.2.1 DC-related expenses</t>
  </si>
  <si>
    <t>Migration ram-up - Workload #1</t>
  </si>
  <si>
    <t>Migration ram-up - Workload #2</t>
  </si>
  <si>
    <t>Migration ram-up - Workload #3</t>
  </si>
  <si>
    <t>Nb of workloads Analyzed</t>
  </si>
  <si>
    <t>Nb of workloads Migrated</t>
  </si>
  <si>
    <t>All analyzed workloads have migated?</t>
  </si>
  <si>
    <t>Option 1 ("Static")</t>
  </si>
  <si>
    <t>Bandwidth Cost</t>
  </si>
  <si>
    <t>Option 2 ("Proportional")</t>
  </si>
  <si>
    <t>Slowest migration ramp-up</t>
  </si>
  <si>
    <t>Cost Reduction %</t>
  </si>
  <si>
    <t>Selected Input:</t>
  </si>
  <si>
    <t>5.2.2 Cost of Storage for Backup and/or Disaster Recovery</t>
  </si>
  <si>
    <t>5.2.3 System Admin Staff</t>
  </si>
  <si>
    <t>Productivity is from infra migrated the previous year</t>
  </si>
  <si>
    <t>Retained System Admin FTE's</t>
  </si>
  <si>
    <t>FTE evolution vs Status Quo</t>
  </si>
  <si>
    <r>
      <t xml:space="preserve">6. Depreciation schedule </t>
    </r>
    <r>
      <rPr>
        <b/>
        <sz val="11"/>
        <color rgb="FFFF0000"/>
        <rFont val="Aptos"/>
        <family val="2"/>
      </rPr>
      <t>&gt;&gt; DO NOT CHANGE (FOR INFO ONLY) --- IN USD</t>
    </r>
  </si>
  <si>
    <t>Servers &amp; Storage (Workload #1)</t>
  </si>
  <si>
    <t>6.1.1 Servers</t>
  </si>
  <si>
    <t>Depreciation cost</t>
  </si>
  <si>
    <t>Depreciation Life</t>
  </si>
  <si>
    <t>Servers maintenance</t>
  </si>
  <si>
    <t>Yearly (baseline) cost</t>
  </si>
  <si>
    <t>Y -7</t>
  </si>
  <si>
    <t>Y -6</t>
  </si>
  <si>
    <t>Y -5</t>
  </si>
  <si>
    <t>Y -4</t>
  </si>
  <si>
    <t>Y -3</t>
  </si>
  <si>
    <t>Y -2</t>
  </si>
  <si>
    <t>Y -1</t>
  </si>
  <si>
    <t>Cash flow &gt;</t>
  </si>
  <si>
    <t>Yearly Acquisition</t>
  </si>
  <si>
    <t>Falling off books</t>
  </si>
  <si>
    <t>Gross Book Value (year-end)</t>
  </si>
  <si>
    <t>Yearly Added Depreciation</t>
  </si>
  <si>
    <t>No longer depreciating</t>
  </si>
  <si>
    <t>P&amp;L &gt;</t>
  </si>
  <si>
    <t>Yearly Cumulated Depreciation</t>
  </si>
  <si>
    <t>Net Book Value (year-end)</t>
  </si>
  <si>
    <t>6.1.2 Storage</t>
  </si>
  <si>
    <t>Storage maintenance</t>
  </si>
  <si>
    <t>Servers &amp; Storage (Workload #2)</t>
  </si>
  <si>
    <t>6.2.1 Servers</t>
  </si>
  <si>
    <t>6.2.2 Storage</t>
  </si>
  <si>
    <t>Servers &amp; Storage (Workload #3)</t>
  </si>
  <si>
    <t>6.3.1 Servers</t>
  </si>
  <si>
    <t>6.3.2 Storage</t>
  </si>
  <si>
    <t>NW and Fitout (all workloads + DC)</t>
  </si>
  <si>
    <t>6.3.1 NW and Fitout</t>
  </si>
  <si>
    <t>NW and Fitout maintenance</t>
  </si>
  <si>
    <t>Consolidation</t>
  </si>
  <si>
    <t>NW and Fitout Acquisition</t>
  </si>
  <si>
    <r>
      <t xml:space="preserve">6. Impact of greater ACD on Run Rate (if applicable) </t>
    </r>
    <r>
      <rPr>
        <b/>
        <sz val="11"/>
        <color rgb="FFFF0000"/>
        <rFont val="Aptos"/>
        <family val="2"/>
      </rPr>
      <t>&gt;&gt; DO NOT CHANGE (FOR INFO ONLY)</t>
    </r>
  </si>
  <si>
    <t>Local Currency</t>
  </si>
  <si>
    <t>Monthly Spend</t>
  </si>
  <si>
    <t>(Extrapolated) Yearly Spend</t>
  </si>
  <si>
    <t>Of which ACD applies</t>
  </si>
  <si>
    <t>Of which ACD does not apply</t>
  </si>
  <si>
    <t>Status Quo:</t>
  </si>
  <si>
    <t>Yearly Spend Excl. ACD</t>
  </si>
  <si>
    <t>ACD @ Current %</t>
  </si>
  <si>
    <t>Yearly Spend Incl. ACD</t>
  </si>
  <si>
    <t>Azure Case:</t>
  </si>
  <si>
    <t>ACD @ New %</t>
  </si>
  <si>
    <t>Yearly Transformative Value</t>
  </si>
  <si>
    <t>Workloads</t>
  </si>
  <si>
    <t>VMs</t>
  </si>
  <si>
    <t>vCPU</t>
  </si>
  <si>
    <t>vMemory</t>
  </si>
  <si>
    <t>Physical servers</t>
  </si>
  <si>
    <t>pCPU</t>
  </si>
  <si>
    <t>pMemory</t>
  </si>
  <si>
    <t>On-Premises Virtualized environment</t>
  </si>
  <si>
    <t>Virtualization Ratio</t>
  </si>
  <si>
    <t>On-Premises Non-Virtualized environment</t>
  </si>
  <si>
    <t xml:space="preserve">On-Premises Subtotal Moved to Azure </t>
  </si>
  <si>
    <r>
      <t>Yearly</t>
    </r>
    <r>
      <rPr>
        <b/>
        <sz val="11"/>
        <color theme="4"/>
        <rFont val="Aptos"/>
        <family val="2"/>
      </rPr>
      <t xml:space="preserve"> Cash Flow </t>
    </r>
    <r>
      <rPr>
        <sz val="11"/>
        <color theme="1"/>
        <rFont val="Aptos"/>
        <family val="2"/>
      </rPr>
      <t>(end state)</t>
    </r>
  </si>
  <si>
    <r>
      <t xml:space="preserve">10-year Cumulative </t>
    </r>
    <r>
      <rPr>
        <b/>
        <sz val="11"/>
        <color theme="4"/>
        <rFont val="Aptos"/>
        <family val="2"/>
      </rPr>
      <t>Cash Flow</t>
    </r>
    <r>
      <rPr>
        <b/>
        <sz val="8"/>
        <color theme="4"/>
        <rFont val="Aptos"/>
        <family val="2"/>
      </rPr>
      <t xml:space="preserve"> </t>
    </r>
    <r>
      <rPr>
        <sz val="8"/>
        <color theme="1"/>
        <rFont val="Aptos"/>
        <family val="2"/>
      </rPr>
      <t>(1)</t>
    </r>
  </si>
  <si>
    <r>
      <t xml:space="preserve">Yearly </t>
    </r>
    <r>
      <rPr>
        <b/>
        <sz val="11"/>
        <rFont val="Aptos"/>
        <family val="2"/>
      </rPr>
      <t>P&amp;L</t>
    </r>
    <r>
      <rPr>
        <sz val="11"/>
        <rFont val="Aptos"/>
        <family val="2"/>
      </rPr>
      <t xml:space="preserve"> (end state)</t>
    </r>
  </si>
  <si>
    <r>
      <t xml:space="preserve">10-year Cumulative </t>
    </r>
    <r>
      <rPr>
        <b/>
        <sz val="11"/>
        <rFont val="Aptos"/>
        <family val="2"/>
      </rPr>
      <t xml:space="preserve">P&amp;L </t>
    </r>
    <r>
      <rPr>
        <sz val="8"/>
        <rFont val="Aptos"/>
        <family val="2"/>
      </rPr>
      <t>(1)</t>
    </r>
  </si>
  <si>
    <t>Comparing with annual baseline 
(end state)</t>
  </si>
  <si>
    <t>Comparing with 10-year baseline (aggregating +/- over term)</t>
  </si>
  <si>
    <t>Status Quo annual baseline</t>
  </si>
  <si>
    <t>(1) Excludes Cost of Capital</t>
  </si>
  <si>
    <r>
      <t xml:space="preserve">Year 1 </t>
    </r>
    <r>
      <rPr>
        <b/>
        <sz val="11"/>
        <color theme="4"/>
        <rFont val="Aptos"/>
        <family val="2"/>
      </rPr>
      <t>Cash Flow</t>
    </r>
  </si>
  <si>
    <r>
      <t xml:space="preserve">Year 2 </t>
    </r>
    <r>
      <rPr>
        <b/>
        <sz val="11"/>
        <color theme="4"/>
        <rFont val="Aptos"/>
        <family val="2"/>
      </rPr>
      <t>Cash Flow</t>
    </r>
  </si>
  <si>
    <r>
      <t xml:space="preserve">5-year </t>
    </r>
    <r>
      <rPr>
        <b/>
        <sz val="11"/>
        <color theme="4"/>
        <rFont val="Aptos"/>
        <family val="2"/>
      </rPr>
      <t>Discounted Cash Flow</t>
    </r>
    <r>
      <rPr>
        <sz val="11"/>
        <color theme="4"/>
        <rFont val="Aptos"/>
        <family val="2"/>
      </rPr>
      <t xml:space="preserve"> </t>
    </r>
    <r>
      <rPr>
        <sz val="11"/>
        <color theme="1"/>
        <rFont val="Aptos"/>
        <family val="2"/>
      </rPr>
      <t>analysis (2)</t>
    </r>
  </si>
  <si>
    <t>Comparing with annual baseline</t>
  </si>
  <si>
    <t>Years Payback</t>
  </si>
  <si>
    <t>5-year Net Present Value</t>
  </si>
  <si>
    <t>5-year Return On Investment</t>
  </si>
  <si>
    <t>General Assumptions:</t>
  </si>
  <si>
    <t>Business case currency</t>
  </si>
  <si>
    <t>Business case conversion rate (1 USD = x Business case currency)</t>
  </si>
  <si>
    <t>WACC (cost of capital) assumption</t>
  </si>
  <si>
    <t>Backup Option Activated (yes or no)</t>
  </si>
  <si>
    <t>Disaster Recovery Option Activated (yes or no)</t>
  </si>
  <si>
    <t>Datacenter assumptions:</t>
  </si>
  <si>
    <t>On-premises PUE assumption</t>
  </si>
  <si>
    <t>In-scope DC kW Capacity (including unused and/or overhead)</t>
  </si>
  <si>
    <t>kW</t>
  </si>
  <si>
    <t xml:space="preserve">DC Lease (Space) yearly costs </t>
  </si>
  <si>
    <t>DC Power yearly costs</t>
  </si>
  <si>
    <t>Datacenter footprint release type (static or proportional)</t>
  </si>
  <si>
    <t>Number of entire datacenter(s) exited</t>
  </si>
  <si>
    <r>
      <t>Licenses Assumptions</t>
    </r>
    <r>
      <rPr>
        <sz val="12"/>
        <color theme="4"/>
        <rFont val="Aptos"/>
        <family val="2"/>
      </rPr>
      <t xml:space="preserve">: </t>
    </r>
  </si>
  <si>
    <t>Core Licensed</t>
  </si>
  <si>
    <t>Yearly Costs</t>
  </si>
  <si>
    <t>Virtualization software</t>
  </si>
  <si>
    <t>Windows Server Software Assurance</t>
  </si>
  <si>
    <t>SQL Server Software Assurance</t>
  </si>
  <si>
    <t>Windows Servers Extended Security Updates</t>
  </si>
  <si>
    <t>SQL Servers ESU Extended Security Updates</t>
  </si>
  <si>
    <t>Protected VMs</t>
  </si>
  <si>
    <t>Bandwidth Assumptions:</t>
  </si>
  <si>
    <t>Number of eliminated interconnects</t>
  </si>
  <si>
    <t>Yearly Bandwidth Costs</t>
  </si>
  <si>
    <t>IT Operations Assumptions:</t>
  </si>
  <si>
    <t>Productivity benefit incorporated in business case (yes or no)</t>
  </si>
  <si>
    <t>Estimated On-Premises Time Spent (Full Time Equivalent)</t>
  </si>
  <si>
    <t>FTE</t>
  </si>
  <si>
    <t>Estimated Azure Case Time Spent (Full Time Equivalent)</t>
  </si>
  <si>
    <t>Hardware General Assumptions:</t>
  </si>
  <si>
    <t>Years</t>
  </si>
  <si>
    <t>Expected (volume) future growth</t>
  </si>
  <si>
    <t>Network Hardware Assumptions:</t>
  </si>
  <si>
    <t>Eliminated quantity of cabinets</t>
  </si>
  <si>
    <t>Eliminated quantity of Core Routers</t>
  </si>
  <si>
    <t>Eliminated quantity of Aggregate Router</t>
  </si>
  <si>
    <t>Eliminated quantity of Access Switches</t>
  </si>
  <si>
    <t>Eliminated quantity of Load balancers</t>
  </si>
  <si>
    <t>Network Hardware maintenance yearly costs as % of acquisition cost:</t>
  </si>
  <si>
    <t>Compute and Storage Hardware Assumptions:</t>
  </si>
  <si>
    <t>Workload 1</t>
  </si>
  <si>
    <t>Workload 2</t>
  </si>
  <si>
    <t>Workload 3</t>
  </si>
  <si>
    <t>Server maintenance yearly costs as % of acquisition cost</t>
  </si>
  <si>
    <t>Storage hardware maintenance yearly costs as % of acquisition cost</t>
  </si>
  <si>
    <t xml:space="preserve">Specifications evolution (e.g., potential right-sizing): </t>
  </si>
  <si>
    <t>Memory</t>
  </si>
  <si>
    <t>Azure Ramp up Assumptions (end of year percentages):</t>
  </si>
  <si>
    <t>Year 6</t>
  </si>
  <si>
    <t>Year 7</t>
  </si>
  <si>
    <t>Year 8</t>
  </si>
  <si>
    <t>Year 9</t>
  </si>
  <si>
    <t>Year 10</t>
  </si>
  <si>
    <r>
      <t>Estimated Azure Consumption</t>
    </r>
    <r>
      <rPr>
        <sz val="12"/>
        <color rgb="FFD83B01"/>
        <rFont val="Aptos"/>
        <family val="2"/>
      </rPr>
      <t>:</t>
    </r>
  </si>
  <si>
    <t>3-Year total</t>
  </si>
  <si>
    <t>5-Year total</t>
  </si>
  <si>
    <t>Do Not Delete Anything Above</t>
  </si>
  <si>
    <t>On-prem Model Category</t>
  </si>
  <si>
    <t>Azure Model Category</t>
  </si>
  <si>
    <t>5-Year</t>
  </si>
  <si>
    <t>10-Year (and 5-Year) NPV</t>
  </si>
  <si>
    <t>5-year</t>
  </si>
  <si>
    <t>5 Year Total</t>
  </si>
  <si>
    <t>10-Year Cash Flow: Azure Case versus Status Quo</t>
  </si>
  <si>
    <t>10-Year P&amp;L: Azure Case versus Status Quo</t>
  </si>
  <si>
    <t>5-Year Cash Flow: Azure Case versus Status Quo</t>
  </si>
  <si>
    <t>5-Year P&amp;L: Azure Case versus Status Quo</t>
  </si>
  <si>
    <t>If not available, a value of "1.97" is a good benchmark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</si>
</sst>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8" formatCode="&quot;$&quot;#,##0.00_);[Red]\(&quot;$&quot;#,##0.00\)"/>
    <numFmt numFmtId="44" formatCode="_(&quot;$&quot;* #,##0.00_);_(&quot;$&quot;* \(#,##0.00\);_(&quot;$&quot;* &quot;-&quot;??_);_(@_)"/>
    <numFmt numFmtId="43" formatCode="_(* #,##0.00_);_(* \(#,##0.00\);_(* &quot;-&quot;??_);_(@_)"/>
    <numFmt numFmtId="164" formatCode="_-* #,##0.00_-;\-* #,##0.00_-;_-* &quot;-&quot;??_-;_-@_-"/>
    <numFmt numFmtId="165" formatCode="_(* #,##0_);_(* \(#,##0\);_(* &quot;-&quot;??_);_(@_)"/>
    <numFmt numFmtId="166" formatCode="_(* #,##0.0_);_(* \(#,##0.0\);_(* &quot;-&quot;??_);_(@_)"/>
    <numFmt numFmtId="167" formatCode="_(&quot;$&quot;* #,##0_);_(&quot;$&quot;* \(#,##0\);_(&quot;$&quot;* &quot;-&quot;??_);_(@_)"/>
    <numFmt numFmtId="168" formatCode="0.0%"/>
    <numFmt numFmtId="169" formatCode="&quot;$&quot;#,##0.0,,&quot;M&quot;;\(&quot;$&quot;#,##0.0,,&quot;M&quot;\)"/>
    <numFmt numFmtId="170" formatCode="0.0%;\(0.0%\)"/>
    <numFmt numFmtId="171" formatCode="&quot;Y&quot;0"/>
    <numFmt numFmtId="172" formatCode="0%;\(0%\)"/>
    <numFmt numFmtId="173" formatCode="&quot;Match Reference&quot;\ 0"/>
    <numFmt numFmtId="174" formatCode="_(&quot;$&quot;* #,##0.000_);_(&quot;$&quot;* \(#,##0.000\);_(&quot;$&quot;* &quot;-&quot;??_);_(@_)"/>
    <numFmt numFmtId="175" formatCode="_(* #,##0.000_);_(* \(#,##0.000\);_(* &quot;-&quot;??_);_(@_)"/>
    <numFmt numFmtId="176" formatCode="_-* #,##0.000\ [$€-40C]_-;\-* #,##0.000\ [$€-40C]_-;_-* &quot;-&quot;??\ [$€-40C]_-;_-@_-"/>
    <numFmt numFmtId="177" formatCode="#,##0.0,,&quot;M&quot;"/>
    <numFmt numFmtId="178" formatCode="#,##0.0,,&quot;M&quot;;\(#,##0.0,,&quot;M&quot;\)"/>
    <numFmt numFmtId="179" formatCode="#,##0.000,,&quot;M&quot;"/>
    <numFmt numFmtId="180" formatCode="&quot;v&quot;0.0"/>
    <numFmt numFmtId="181" formatCode="m/d/yy;@"/>
    <numFmt numFmtId="182" formatCode="#,##0.000,,&quot;M&quot;;\(#,##0.000,,&quot;M&quot;\)"/>
    <numFmt numFmtId="183" formatCode="&quot;$&quot;#,##0"/>
    <numFmt numFmtId="184" formatCode="_(* #,##0.0000_);_(* \(#,##0.0000\);_(* &quot;-&quot;??_);_(@_)"/>
    <numFmt numFmtId="185" formatCode="#,##0.0"/>
    <numFmt numFmtId="186" formatCode="0.0"/>
    <numFmt numFmtId="187" formatCode="0.000"/>
    <numFmt numFmtId="188" formatCode="#,##0;#,##0;"/>
    <numFmt numFmtId="189" formatCode="#,##0.0_);\(#,##0.0\)"/>
    <numFmt numFmtId="190" formatCode="_(&quot;$&quot;* #,##0.0_);_(&quot;$&quot;* \(#,##0.0\);_(&quot;$&quot;* &quot;-&quot;??_);_(@_)"/>
    <numFmt numFmtId="191" formatCode="&quot;$&quot;#,##0.00"/>
    <numFmt numFmtId="192" formatCode="&quot;$&quot;##.##&quot;M&quot;"/>
    <numFmt numFmtId="193" formatCode="&quot;$&quot;##.#&quot;M&quot;"/>
    <numFmt numFmtId="194" formatCode="&quot;$&quot;#,##0.000,,&quot;M&quot;;\(&quot;$&quot;#,##0.000,,&quot;M&quot;\)"/>
  </numFmts>
  <fonts count="183" x14ac:knownFonts="1">
    <font>
      <sz val="11"/>
      <color theme="1"/>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Calibri"/>
      <family val="2"/>
      <scheme val="minor"/>
    </font>
    <font>
      <sz val="10"/>
      <color theme="1"/>
      <name val="Segoe UI"/>
      <family val="2"/>
    </font>
    <font>
      <b/>
      <sz val="10"/>
      <color theme="1"/>
      <name val="Segoe UI"/>
      <family val="2"/>
    </font>
    <font>
      <sz val="9"/>
      <color theme="1"/>
      <name val="Segoe UI"/>
      <family val="2"/>
    </font>
    <font>
      <u/>
      <sz val="10"/>
      <color indexed="12"/>
      <name val="Arial"/>
      <family val="2"/>
    </font>
    <font>
      <sz val="11"/>
      <color rgb="FF000000"/>
      <name val="Calibri"/>
      <family val="2"/>
    </font>
    <font>
      <b/>
      <sz val="10"/>
      <color rgb="FFFF0000"/>
      <name val="Segoe UI"/>
      <family val="2"/>
    </font>
    <font>
      <sz val="11"/>
      <color theme="1"/>
      <name val="Tahoma"/>
      <family val="2"/>
    </font>
    <font>
      <b/>
      <sz val="9"/>
      <color theme="0"/>
      <name val="Segoe UI"/>
      <family val="2"/>
    </font>
    <font>
      <b/>
      <sz val="14"/>
      <color theme="0"/>
      <name val="Segoe UI Light"/>
      <family val="2"/>
    </font>
    <font>
      <sz val="14"/>
      <color theme="1"/>
      <name val="Segoe UI Light"/>
      <family val="2"/>
    </font>
    <font>
      <b/>
      <u/>
      <sz val="14"/>
      <color theme="0"/>
      <name val="Segoe UI Light"/>
      <family val="2"/>
    </font>
    <font>
      <sz val="11"/>
      <color theme="1"/>
      <name val="Segoe UI Light"/>
      <family val="2"/>
    </font>
    <font>
      <sz val="10"/>
      <color theme="1"/>
      <name val="Segoe UI Light"/>
      <family val="2"/>
    </font>
    <font>
      <i/>
      <sz val="11"/>
      <color theme="0" tint="-0.499984740745262"/>
      <name val="Segoe UI Light"/>
      <family val="2"/>
    </font>
    <font>
      <b/>
      <sz val="11"/>
      <color theme="1"/>
      <name val="Segoe UI Light"/>
      <family val="2"/>
    </font>
    <font>
      <sz val="10"/>
      <color theme="2"/>
      <name val="Segoe UI"/>
      <family val="2"/>
    </font>
    <font>
      <b/>
      <sz val="16"/>
      <color theme="0"/>
      <name val="Segoe UI Semibold"/>
      <family val="2"/>
    </font>
    <font>
      <b/>
      <sz val="16"/>
      <color rgb="FF50E6FF"/>
      <name val="Segoe UI Semibold"/>
      <family val="2"/>
    </font>
    <font>
      <i/>
      <sz val="11"/>
      <name val="Segoe UI Light"/>
      <family val="2"/>
    </font>
    <font>
      <b/>
      <sz val="12"/>
      <color rgb="FF0078D4"/>
      <name val="Segoe UI Light"/>
      <family val="2"/>
    </font>
    <font>
      <b/>
      <sz val="11"/>
      <color theme="1" tint="0.499984740745262"/>
      <name val="Segoe UI Light"/>
      <family val="2"/>
    </font>
    <font>
      <u/>
      <sz val="11"/>
      <color theme="1"/>
      <name val="Segoe UI Light"/>
      <family val="2"/>
    </font>
    <font>
      <sz val="11"/>
      <color rgb="FFFF0000"/>
      <name val="Segoe UI Light"/>
      <family val="2"/>
    </font>
    <font>
      <b/>
      <sz val="11"/>
      <color rgb="FFFF0000"/>
      <name val="Segoe UI Light"/>
      <family val="2"/>
    </font>
    <font>
      <sz val="9"/>
      <color theme="1"/>
      <name val="Segoe UI Semibold"/>
      <family val="2"/>
    </font>
    <font>
      <i/>
      <sz val="9"/>
      <color theme="1"/>
      <name val="Segoe UI"/>
      <family val="2"/>
    </font>
    <font>
      <sz val="9"/>
      <color rgb="FF000000"/>
      <name val="Segoe UI"/>
      <family val="2"/>
    </font>
    <font>
      <i/>
      <sz val="9"/>
      <name val="Segoe UI Light"/>
      <family val="2"/>
    </font>
    <font>
      <b/>
      <i/>
      <sz val="9"/>
      <color theme="1"/>
      <name val="Segoe UI"/>
      <family val="2"/>
    </font>
    <font>
      <sz val="11"/>
      <color theme="1"/>
      <name val="Aptos"/>
      <family val="2"/>
    </font>
    <font>
      <b/>
      <sz val="11"/>
      <color theme="1"/>
      <name val="Aptos"/>
      <family val="2"/>
    </font>
    <font>
      <sz val="11"/>
      <name val="Aptos"/>
      <family val="2"/>
    </font>
    <font>
      <sz val="9"/>
      <color theme="1"/>
      <name val="Aptos"/>
      <family val="2"/>
    </font>
    <font>
      <i/>
      <sz val="9"/>
      <color theme="1"/>
      <name val="Aptos"/>
      <family val="2"/>
    </font>
    <font>
      <b/>
      <sz val="10"/>
      <color theme="1"/>
      <name val="Aptos"/>
      <family val="2"/>
    </font>
    <font>
      <b/>
      <sz val="9"/>
      <color theme="0"/>
      <name val="Aptos"/>
      <family val="2"/>
    </font>
    <font>
      <b/>
      <sz val="11"/>
      <color rgb="FFFF0000"/>
      <name val="Aptos"/>
      <family val="2"/>
    </font>
    <font>
      <sz val="10"/>
      <color theme="1"/>
      <name val="Aptos"/>
      <family val="2"/>
    </font>
    <font>
      <b/>
      <sz val="10"/>
      <color theme="0"/>
      <name val="Aptos"/>
      <family val="2"/>
    </font>
    <font>
      <i/>
      <sz val="10"/>
      <color rgb="FFFF0000"/>
      <name val="Aptos"/>
      <family val="2"/>
    </font>
    <font>
      <sz val="10"/>
      <color theme="0"/>
      <name val="Aptos"/>
      <family val="2"/>
    </font>
    <font>
      <b/>
      <sz val="9"/>
      <name val="Aptos"/>
      <family val="2"/>
    </font>
    <font>
      <sz val="10"/>
      <color rgb="FFFF0000"/>
      <name val="Aptos"/>
      <family val="2"/>
    </font>
    <font>
      <u/>
      <sz val="10"/>
      <color theme="1"/>
      <name val="Aptos"/>
      <family val="2"/>
    </font>
    <font>
      <sz val="10"/>
      <name val="Aptos"/>
      <family val="2"/>
    </font>
    <font>
      <i/>
      <sz val="10"/>
      <color theme="1"/>
      <name val="Aptos"/>
      <family val="2"/>
    </font>
    <font>
      <b/>
      <u/>
      <sz val="10"/>
      <color theme="0"/>
      <name val="Aptos"/>
      <family val="2"/>
    </font>
    <font>
      <sz val="10"/>
      <color rgb="FFEE0000"/>
      <name val="Aptos"/>
      <family val="2"/>
    </font>
    <font>
      <sz val="10"/>
      <color theme="2" tint="-0.749992370372631"/>
      <name val="Aptos"/>
      <family val="2"/>
    </font>
    <font>
      <b/>
      <sz val="10"/>
      <color theme="2" tint="-0.749992370372631"/>
      <name val="Aptos"/>
      <family val="2"/>
    </font>
    <font>
      <u/>
      <sz val="11"/>
      <color theme="10"/>
      <name val="Aptos"/>
      <family val="2"/>
    </font>
    <font>
      <sz val="8"/>
      <color theme="1"/>
      <name val="Aptos"/>
      <family val="2"/>
    </font>
    <font>
      <sz val="9"/>
      <color theme="0"/>
      <name val="Aptos"/>
      <family val="2"/>
    </font>
    <font>
      <sz val="9"/>
      <color rgb="FFFF0000"/>
      <name val="Aptos"/>
      <family val="2"/>
    </font>
    <font>
      <sz val="9"/>
      <name val="Aptos"/>
      <family val="2"/>
    </font>
    <font>
      <b/>
      <u/>
      <sz val="10"/>
      <color theme="1"/>
      <name val="Aptos"/>
      <family val="2"/>
    </font>
    <font>
      <u/>
      <sz val="9"/>
      <name val="Aptos"/>
      <family val="2"/>
    </font>
    <font>
      <b/>
      <u/>
      <sz val="10"/>
      <color rgb="FFFF0000"/>
      <name val="Aptos"/>
      <family val="2"/>
    </font>
    <font>
      <i/>
      <sz val="9"/>
      <color rgb="FFFF0000"/>
      <name val="Aptos"/>
      <family val="2"/>
    </font>
    <font>
      <b/>
      <sz val="11"/>
      <name val="Aptos"/>
      <family val="2"/>
    </font>
    <font>
      <b/>
      <u/>
      <sz val="10"/>
      <color theme="4"/>
      <name val="Aptos"/>
      <family val="2"/>
    </font>
    <font>
      <sz val="8"/>
      <color theme="4"/>
      <name val="Aptos"/>
      <family val="2"/>
    </font>
    <font>
      <b/>
      <sz val="14"/>
      <color theme="0"/>
      <name val="Aptos"/>
      <family val="2"/>
    </font>
    <font>
      <b/>
      <sz val="16"/>
      <color theme="0"/>
      <name val="Aptos"/>
      <family val="2"/>
    </font>
    <font>
      <b/>
      <sz val="16"/>
      <color theme="1"/>
      <name val="Aptos"/>
      <family val="2"/>
    </font>
    <font>
      <b/>
      <sz val="11"/>
      <color theme="0"/>
      <name val="Aptos"/>
      <family val="2"/>
    </font>
    <font>
      <b/>
      <sz val="12"/>
      <color theme="1"/>
      <name val="Aptos"/>
      <family val="2"/>
    </font>
    <font>
      <sz val="11"/>
      <color rgb="FFFF0000"/>
      <name val="Aptos"/>
      <family val="2"/>
    </font>
    <font>
      <sz val="11"/>
      <color theme="8"/>
      <name val="Aptos"/>
      <family val="2"/>
    </font>
    <font>
      <b/>
      <sz val="12"/>
      <color theme="0"/>
      <name val="Aptos"/>
      <family val="2"/>
    </font>
    <font>
      <sz val="12"/>
      <color theme="1"/>
      <name val="Aptos"/>
      <family val="2"/>
    </font>
    <font>
      <b/>
      <sz val="12"/>
      <name val="Aptos"/>
      <family val="2"/>
    </font>
    <font>
      <sz val="12"/>
      <color theme="8"/>
      <name val="Aptos"/>
      <family val="2"/>
    </font>
    <font>
      <i/>
      <sz val="12"/>
      <color theme="1"/>
      <name val="Aptos"/>
      <family val="2"/>
    </font>
    <font>
      <b/>
      <u/>
      <sz val="12"/>
      <color rgb="FFFF0000"/>
      <name val="Aptos"/>
      <family val="2"/>
    </font>
    <font>
      <b/>
      <u/>
      <sz val="12"/>
      <color theme="8" tint="-0.249977111117893"/>
      <name val="Aptos"/>
      <family val="2"/>
    </font>
    <font>
      <b/>
      <u/>
      <sz val="12"/>
      <color rgb="FF002060"/>
      <name val="Aptos"/>
      <family val="2"/>
    </font>
    <font>
      <i/>
      <sz val="11"/>
      <color theme="1"/>
      <name val="Aptos"/>
      <family val="2"/>
    </font>
    <font>
      <sz val="11"/>
      <color theme="0"/>
      <name val="Aptos"/>
      <family val="2"/>
    </font>
    <font>
      <u/>
      <sz val="11"/>
      <color theme="1"/>
      <name val="Aptos"/>
      <family val="2"/>
    </font>
    <font>
      <sz val="11"/>
      <color rgb="FF7030A0"/>
      <name val="Aptos"/>
      <family val="2"/>
    </font>
    <font>
      <b/>
      <sz val="11"/>
      <color theme="4"/>
      <name val="Aptos"/>
      <family val="2"/>
    </font>
    <font>
      <sz val="11"/>
      <color theme="4"/>
      <name val="Aptos"/>
      <family val="2"/>
    </font>
    <font>
      <b/>
      <i/>
      <sz val="11"/>
      <color theme="1"/>
      <name val="Aptos"/>
      <family val="2"/>
    </font>
    <font>
      <b/>
      <sz val="11"/>
      <color rgb="FF000000"/>
      <name val="Aptos"/>
      <family val="2"/>
    </font>
    <font>
      <sz val="11"/>
      <color rgb="FF000000"/>
      <name val="Aptos"/>
      <family val="2"/>
    </font>
    <font>
      <u val="singleAccounting"/>
      <sz val="11"/>
      <color theme="1"/>
      <name val="Aptos"/>
      <family val="2"/>
    </font>
    <font>
      <sz val="11"/>
      <color theme="1"/>
      <name val="Segoe UI"/>
      <family val="2"/>
    </font>
    <font>
      <sz val="11"/>
      <color theme="0" tint="-0.14999847407452621"/>
      <name val="Aptos"/>
      <family val="2"/>
    </font>
    <font>
      <sz val="22"/>
      <color theme="1"/>
      <name val="Aptos"/>
      <family val="2"/>
    </font>
    <font>
      <i/>
      <sz val="8"/>
      <color theme="1"/>
      <name val="Aptos"/>
      <family val="2"/>
    </font>
    <font>
      <b/>
      <sz val="8"/>
      <color theme="4"/>
      <name val="Aptos"/>
      <family val="2"/>
    </font>
    <font>
      <sz val="8"/>
      <name val="Aptos"/>
      <family val="2"/>
    </font>
    <font>
      <sz val="14"/>
      <color theme="1"/>
      <name val="Aptos"/>
      <family val="2"/>
    </font>
    <font>
      <b/>
      <i/>
      <u/>
      <sz val="11"/>
      <color theme="1"/>
      <name val="Aptos"/>
      <family val="2"/>
    </font>
    <font>
      <sz val="12"/>
      <color rgb="FFD83B01"/>
      <name val="Aptos"/>
      <family val="2"/>
    </font>
    <font>
      <u/>
      <sz val="12"/>
      <color theme="4"/>
      <name val="Aptos"/>
      <family val="2"/>
    </font>
    <font>
      <sz val="12"/>
      <color theme="4"/>
      <name val="Aptos"/>
      <family val="2"/>
    </font>
    <font>
      <sz val="16"/>
      <color theme="0"/>
      <name val="Aptos"/>
      <family val="2"/>
    </font>
    <font>
      <sz val="11"/>
      <color theme="3"/>
      <name val="Aptos"/>
      <family val="2"/>
    </font>
    <font>
      <i/>
      <sz val="11"/>
      <color theme="3"/>
      <name val="Aptos"/>
      <family val="2"/>
    </font>
    <font>
      <b/>
      <sz val="11"/>
      <color theme="3"/>
      <name val="Aptos"/>
      <family val="2"/>
    </font>
    <font>
      <sz val="18"/>
      <name val="Arial"/>
      <family val="2"/>
    </font>
    <font>
      <b/>
      <sz val="12"/>
      <color rgb="FF000000"/>
      <name val="Aptos Narrow"/>
      <family val="2"/>
    </font>
    <font>
      <b/>
      <sz val="10.5"/>
      <color rgb="FFF96800"/>
      <name val="Aptos Narrow"/>
      <family val="2"/>
    </font>
    <font>
      <b/>
      <i/>
      <sz val="10.5"/>
      <color rgb="FF49C5B1"/>
      <name val="Aptos Narrow"/>
      <family val="2"/>
    </font>
    <font>
      <b/>
      <sz val="10.5"/>
      <color rgb="FF37A9FF"/>
      <name val="Aptos Narrow"/>
      <family val="2"/>
    </font>
    <font>
      <sz val="10.5"/>
      <color rgb="FF8661C5"/>
      <name val="Aptos Narrow"/>
      <family val="2"/>
    </font>
    <font>
      <sz val="10.5"/>
      <color rgb="FF0070C0"/>
      <name val="Aptos Narrow"/>
      <family val="2"/>
    </font>
    <font>
      <sz val="10.5"/>
      <color rgb="FF8DC8E8"/>
      <name val="Aptos Narrow"/>
      <family val="2"/>
    </font>
    <font>
      <sz val="10.5"/>
      <color rgb="FF2A446F"/>
      <name val="Aptos Narrow"/>
      <family val="2"/>
    </font>
    <font>
      <b/>
      <sz val="10"/>
      <color rgb="FFFF0000"/>
      <name val="Aptos"/>
      <family val="2"/>
    </font>
    <font>
      <b/>
      <sz val="9"/>
      <color theme="0"/>
      <name val="Calibri"/>
      <family val="2"/>
      <scheme val="minor"/>
    </font>
    <font>
      <b/>
      <sz val="9"/>
      <color theme="1"/>
      <name val="Calibri"/>
      <family val="2"/>
      <scheme val="minor"/>
    </font>
    <font>
      <sz val="9"/>
      <color theme="1"/>
      <name val="Calibri"/>
      <family val="2"/>
      <scheme val="minor"/>
    </font>
    <font>
      <sz val="9"/>
      <name val="Arial"/>
      <family val="2"/>
    </font>
    <font>
      <b/>
      <sz val="9"/>
      <color rgb="FFFFFFFF"/>
      <name val="Segoe Sans Display"/>
    </font>
    <font>
      <sz val="9"/>
      <color rgb="FF595959"/>
      <name val="Segoe Sans Display"/>
    </font>
    <font>
      <sz val="9"/>
      <color rgb="FF5A5A5A"/>
      <name val="Segoe Sans Display"/>
    </font>
    <font>
      <b/>
      <sz val="8"/>
      <color rgb="FFFFFFFF"/>
      <name val="Segoe UI"/>
      <family val="2"/>
    </font>
    <font>
      <sz val="8"/>
      <color theme="1"/>
      <name val="Segoe UI"/>
      <family val="2"/>
    </font>
    <font>
      <b/>
      <sz val="8"/>
      <color theme="0"/>
      <name val="Segoe UI"/>
      <family val="2"/>
    </font>
    <font>
      <i/>
      <sz val="8"/>
      <color rgb="FFFFFFFF"/>
      <name val="Segoe UI"/>
      <family val="2"/>
    </font>
    <font>
      <sz val="8"/>
      <color rgb="FF000000"/>
      <name val="Segoe UI"/>
      <family val="2"/>
    </font>
    <font>
      <b/>
      <sz val="8"/>
      <color rgb="FF000000"/>
      <name val="Segoe UI"/>
      <family val="2"/>
    </font>
    <font>
      <sz val="8"/>
      <name val="Segoe UI"/>
      <family val="2"/>
    </font>
    <font>
      <i/>
      <sz val="8"/>
      <color rgb="FF000000"/>
      <name val="Segoe UI"/>
      <family val="2"/>
    </font>
    <font>
      <b/>
      <sz val="8"/>
      <name val="Segoe UI"/>
      <family val="2"/>
    </font>
    <font>
      <b/>
      <sz val="8"/>
      <color theme="1"/>
      <name val="Segoe UI"/>
      <family val="2"/>
    </font>
    <font>
      <i/>
      <sz val="8"/>
      <color theme="1"/>
      <name val="Segoe UI"/>
      <family val="2"/>
    </font>
    <font>
      <i/>
      <sz val="8"/>
      <color rgb="FFC00000"/>
      <name val="Segoe UI"/>
      <family val="2"/>
    </font>
    <font>
      <b/>
      <i/>
      <sz val="8"/>
      <color theme="1"/>
      <name val="Segoe UI"/>
      <family val="2"/>
    </font>
    <font>
      <sz val="8"/>
      <color rgb="FFC00000"/>
      <name val="Segoe UI"/>
      <family val="2"/>
    </font>
    <font>
      <sz val="8"/>
      <color theme="0"/>
      <name val="Segoe UI"/>
      <family val="2"/>
    </font>
    <font>
      <sz val="10"/>
      <color theme="4"/>
      <name val="Aptos"/>
      <family val="2"/>
    </font>
    <font>
      <b/>
      <sz val="10"/>
      <color theme="4"/>
      <name val="Aptos"/>
      <family val="2"/>
    </font>
    <font>
      <sz val="9"/>
      <color theme="4"/>
      <name val="Aptos"/>
      <family val="2"/>
    </font>
    <font>
      <b/>
      <u/>
      <sz val="10"/>
      <color theme="2" tint="-0.499984740745262"/>
      <name val="Aptos"/>
      <family val="2"/>
    </font>
    <font>
      <b/>
      <sz val="12"/>
      <color rgb="FF00B0F0"/>
      <name val="Aptos"/>
      <family val="2"/>
    </font>
    <font>
      <b/>
      <sz val="12"/>
      <color theme="5"/>
      <name val="Aptos"/>
      <family val="2"/>
    </font>
    <font>
      <sz val="8"/>
      <color theme="4"/>
      <name val="Segoe UI"/>
      <family val="2"/>
    </font>
    <font>
      <b/>
      <sz val="9"/>
      <color theme="4"/>
      <name val="Calibri"/>
      <family val="2"/>
      <scheme val="minor"/>
    </font>
    <font>
      <b/>
      <sz val="8"/>
      <color theme="4"/>
      <name val="Segoe UI"/>
      <family val="2"/>
    </font>
    <font>
      <b/>
      <sz val="8"/>
      <color theme="5"/>
      <name val="Segoe UI"/>
      <family val="2"/>
    </font>
    <font>
      <sz val="8"/>
      <color theme="3"/>
      <name val="Segoe UI"/>
      <family val="2"/>
    </font>
    <font>
      <sz val="8"/>
      <color theme="3" tint="0.79998168889431442"/>
      <name val="Segoe UI"/>
      <family val="2"/>
    </font>
    <font>
      <sz val="8"/>
      <color rgb="FF0078D4"/>
      <name val="Segoe UI"/>
      <family val="2"/>
    </font>
    <font>
      <sz val="8"/>
      <color rgb="FF7030A0"/>
      <name val="Segoe UI"/>
      <family val="2"/>
    </font>
    <font>
      <b/>
      <sz val="8"/>
      <color rgb="FF00B0F0"/>
      <name val="Segoe UI"/>
      <family val="2"/>
    </font>
    <font>
      <sz val="8"/>
      <color theme="9"/>
      <name val="Segoe UI"/>
      <family val="2"/>
    </font>
    <font>
      <sz val="8"/>
      <color theme="0" tint="-0.249977111117893"/>
      <name val="Segoe UI"/>
      <family val="2"/>
    </font>
    <font>
      <i/>
      <sz val="9"/>
      <color theme="4"/>
      <name val="Aptos"/>
      <family val="2"/>
    </font>
    <font>
      <b/>
      <sz val="9"/>
      <color theme="4"/>
      <name val="Aptos"/>
      <family val="2"/>
    </font>
    <font>
      <sz val="9"/>
      <color indexed="81"/>
      <name val="Tahoma"/>
      <family val="2"/>
    </font>
    <font>
      <b/>
      <sz val="9"/>
      <color indexed="81"/>
      <name val="Tahoma"/>
      <family val="2"/>
    </font>
    <font>
      <b/>
      <sz val="8"/>
      <color theme="1"/>
      <name val="Segoe UI"/>
      <family val="2"/>
    </font>
    <font>
      <b/>
      <sz val="11"/>
      <color theme="1"/>
      <name val="Aptos"/>
      <family val="2"/>
    </font>
    <font>
      <b/>
      <sz val="12"/>
      <color theme="0"/>
      <name val="Aptos"/>
      <family val="2"/>
    </font>
    <font>
      <b/>
      <sz val="12"/>
      <color theme="1"/>
      <name val="Aptos"/>
      <family val="2"/>
    </font>
    <font>
      <b/>
      <sz val="9"/>
      <color rgb="FF000000"/>
      <name val="Tahoma"/>
      <family val="2"/>
    </font>
    <font>
      <sz val="9"/>
      <color rgb="FF000000"/>
      <name val="Tahoma"/>
      <family val="2"/>
    </font>
  </fonts>
  <fills count="68">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1"/>
        <bgColor indexed="64"/>
      </patternFill>
    </fill>
    <fill>
      <patternFill patternType="solid">
        <fgColor theme="3"/>
        <bgColor indexed="64"/>
      </patternFill>
    </fill>
    <fill>
      <patternFill patternType="solid">
        <fgColor theme="0"/>
        <bgColor indexed="64"/>
      </patternFill>
    </fill>
    <fill>
      <patternFill patternType="solid">
        <fgColor theme="6"/>
        <bgColor indexed="64"/>
      </patternFill>
    </fill>
    <fill>
      <patternFill patternType="solid">
        <fgColor theme="2" tint="-9.9978637043366805E-2"/>
        <bgColor indexed="64"/>
      </patternFill>
    </fill>
    <fill>
      <patternFill patternType="solid">
        <fgColor theme="4"/>
        <bgColor indexed="64"/>
      </patternFill>
    </fill>
    <fill>
      <patternFill patternType="solid">
        <fgColor theme="3" tint="0.59999389629810485"/>
        <bgColor indexed="64"/>
      </patternFill>
    </fill>
    <fill>
      <patternFill patternType="solid">
        <fgColor rgb="FFCCCCFF"/>
        <bgColor indexed="64"/>
      </patternFill>
    </fill>
    <fill>
      <patternFill patternType="solid">
        <fgColor rgb="FFFFCCFF"/>
        <bgColor indexed="64"/>
      </patternFill>
    </fill>
    <fill>
      <patternFill patternType="solid">
        <fgColor rgb="FFCCFFCC"/>
        <bgColor indexed="64"/>
      </patternFill>
    </fill>
    <fill>
      <patternFill patternType="solid">
        <fgColor theme="2" tint="-0.499984740745262"/>
        <bgColor indexed="64"/>
      </patternFill>
    </fill>
    <fill>
      <patternFill patternType="solid">
        <fgColor theme="0" tint="-4.9989318521683403E-2"/>
        <bgColor indexed="64"/>
      </patternFill>
    </fill>
    <fill>
      <patternFill patternType="solid">
        <fgColor rgb="FFCCECFF"/>
        <bgColor indexed="64"/>
      </patternFill>
    </fill>
    <fill>
      <patternFill patternType="solid">
        <fgColor rgb="FF0070C0"/>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rgb="FFFFFFFF"/>
        <bgColor rgb="FF000000"/>
      </patternFill>
    </fill>
    <fill>
      <patternFill patternType="lightDown">
        <fgColor rgb="FF000000"/>
        <bgColor rgb="FFFFFFFF"/>
      </patternFill>
    </fill>
    <fill>
      <patternFill patternType="solid">
        <fgColor theme="2"/>
        <bgColor rgb="FF000000"/>
      </patternFill>
    </fill>
    <fill>
      <patternFill patternType="solid">
        <fgColor theme="4" tint="0.59999389629810485"/>
        <bgColor indexed="64"/>
      </patternFill>
    </fill>
    <fill>
      <patternFill patternType="solid">
        <fgColor rgb="FFFFFF66"/>
        <bgColor indexed="64"/>
      </patternFill>
    </fill>
    <fill>
      <patternFill patternType="solid">
        <fgColor rgb="FF0078D4"/>
        <bgColor indexed="64"/>
      </patternFill>
    </fill>
    <fill>
      <patternFill patternType="solid">
        <fgColor rgb="FFE7E6E6"/>
        <bgColor rgb="FF000000"/>
      </patternFill>
    </fill>
    <fill>
      <patternFill patternType="solid">
        <fgColor theme="9"/>
        <bgColor indexed="64"/>
      </patternFill>
    </fill>
  </fills>
  <borders count="103">
    <border>
      <left/>
      <right/>
      <top/>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diagonal/>
    </border>
    <border>
      <left style="mediumDashed">
        <color indexed="64"/>
      </left>
      <right/>
      <top style="mediumDashed">
        <color indexed="64"/>
      </top>
      <bottom style="mediumDashed">
        <color indexed="64"/>
      </bottom>
      <diagonal/>
    </border>
    <border>
      <left/>
      <right/>
      <top style="mediumDashed">
        <color indexed="64"/>
      </top>
      <bottom style="mediumDashed">
        <color indexed="64"/>
      </bottom>
      <diagonal/>
    </border>
    <border>
      <left/>
      <right style="mediumDashed">
        <color indexed="64"/>
      </right>
      <top style="mediumDashed">
        <color indexed="64"/>
      </top>
      <bottom style="mediumDashed">
        <color indexed="64"/>
      </bottom>
      <diagonal/>
    </border>
    <border>
      <left style="mediumDashed">
        <color indexed="64"/>
      </left>
      <right/>
      <top/>
      <bottom/>
      <diagonal/>
    </border>
    <border>
      <left style="dashed">
        <color indexed="64"/>
      </left>
      <right/>
      <top style="dashed">
        <color indexed="64"/>
      </top>
      <bottom style="dashed">
        <color indexed="64"/>
      </bottom>
      <diagonal/>
    </border>
    <border>
      <left/>
      <right/>
      <top style="dashed">
        <color indexed="64"/>
      </top>
      <bottom style="dashed">
        <color indexed="64"/>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medium">
        <color rgb="FFFF0000"/>
      </left>
      <right style="medium">
        <color rgb="FFFF0000"/>
      </right>
      <top/>
      <bottom/>
      <diagonal/>
    </border>
    <border>
      <left style="dotted">
        <color auto="1"/>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style="dotted">
        <color auto="1"/>
      </right>
      <top/>
      <bottom style="dotted">
        <color auto="1"/>
      </bottom>
      <diagonal/>
    </border>
    <border>
      <left style="dotted">
        <color rgb="FFFF0000"/>
      </left>
      <right/>
      <top style="dotted">
        <color rgb="FFFF0000"/>
      </top>
      <bottom style="dotted">
        <color rgb="FFFF0000"/>
      </bottom>
      <diagonal/>
    </border>
    <border>
      <left/>
      <right/>
      <top style="dotted">
        <color rgb="FFFF0000"/>
      </top>
      <bottom style="dotted">
        <color rgb="FFFF0000"/>
      </bottom>
      <diagonal/>
    </border>
    <border>
      <left style="medium">
        <color rgb="FFFFCC66"/>
      </left>
      <right style="medium">
        <color rgb="FFFFCC66"/>
      </right>
      <top style="medium">
        <color rgb="FFFFCC66"/>
      </top>
      <bottom/>
      <diagonal/>
    </border>
    <border>
      <left style="medium">
        <color rgb="FFFFCC66"/>
      </left>
      <right style="medium">
        <color rgb="FFFFCC66"/>
      </right>
      <top/>
      <bottom/>
      <diagonal/>
    </border>
    <border>
      <left style="medium">
        <color rgb="FFFFCC66"/>
      </left>
      <right style="medium">
        <color rgb="FFFFCC66"/>
      </right>
      <top/>
      <bottom style="medium">
        <color rgb="FFFFCC66"/>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right/>
      <top style="thin">
        <color indexed="64"/>
      </top>
      <bottom style="medium">
        <color indexed="64"/>
      </bottom>
      <diagonal/>
    </border>
    <border>
      <left/>
      <right/>
      <top style="dotted">
        <color auto="1"/>
      </top>
      <bottom style="dotted">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dotted">
        <color rgb="FF0070C0"/>
      </left>
      <right/>
      <top style="dotted">
        <color rgb="FF0070C0"/>
      </top>
      <bottom style="dotted">
        <color rgb="FF0070C0"/>
      </bottom>
      <diagonal/>
    </border>
    <border>
      <left/>
      <right/>
      <top style="dotted">
        <color rgb="FF0070C0"/>
      </top>
      <bottom style="dotted">
        <color rgb="FF0070C0"/>
      </bottom>
      <diagonal/>
    </border>
    <border>
      <left style="medium">
        <color indexed="64"/>
      </left>
      <right style="medium">
        <color indexed="64"/>
      </right>
      <top style="medium">
        <color indexed="64"/>
      </top>
      <bottom style="medium">
        <color indexed="64"/>
      </bottom>
      <diagonal/>
    </border>
    <border>
      <left style="dotted">
        <color indexed="64"/>
      </left>
      <right style="dotted">
        <color indexed="64"/>
      </right>
      <top style="dotted">
        <color indexed="64"/>
      </top>
      <bottom style="dotted">
        <color indexed="64"/>
      </bottom>
      <diagonal/>
    </border>
    <border>
      <left style="thin">
        <color theme="3"/>
      </left>
      <right style="thin">
        <color theme="3"/>
      </right>
      <top style="thin">
        <color theme="3"/>
      </top>
      <bottom/>
      <diagonal/>
    </border>
    <border>
      <left style="thin">
        <color theme="3"/>
      </left>
      <right style="thin">
        <color theme="3"/>
      </right>
      <top/>
      <bottom/>
      <diagonal/>
    </border>
    <border>
      <left style="thin">
        <color theme="3"/>
      </left>
      <right style="thin">
        <color theme="3"/>
      </right>
      <top style="dotted">
        <color auto="1"/>
      </top>
      <bottom style="dotted">
        <color auto="1"/>
      </bottom>
      <diagonal/>
    </border>
    <border>
      <left style="medium">
        <color theme="3"/>
      </left>
      <right/>
      <top style="medium">
        <color theme="3"/>
      </top>
      <bottom style="medium">
        <color theme="3"/>
      </bottom>
      <diagonal/>
    </border>
    <border>
      <left style="thin">
        <color theme="3"/>
      </left>
      <right style="thin">
        <color theme="3"/>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dotted">
        <color auto="1"/>
      </left>
      <right style="dotted">
        <color rgb="FFFF0000"/>
      </right>
      <top style="dotted">
        <color rgb="FFFF0000"/>
      </top>
      <bottom style="dotted">
        <color rgb="FFFF0000"/>
      </bottom>
      <diagonal/>
    </border>
    <border>
      <left style="dotted">
        <color auto="1"/>
      </left>
      <right style="dotted">
        <color rgb="FF0070C0"/>
      </right>
      <top style="dotted">
        <color rgb="FF0070C0"/>
      </top>
      <bottom style="dotted">
        <color rgb="FF0070C0"/>
      </bottom>
      <diagonal/>
    </border>
    <border>
      <left style="dotted">
        <color auto="1"/>
      </left>
      <right style="thin">
        <color indexed="64"/>
      </right>
      <top style="thin">
        <color indexed="64"/>
      </top>
      <bottom/>
      <diagonal/>
    </border>
    <border>
      <left style="dotted">
        <color auto="1"/>
      </left>
      <right style="thin">
        <color indexed="64"/>
      </right>
      <top/>
      <bottom style="thin">
        <color indexed="64"/>
      </bottom>
      <diagonal/>
    </border>
    <border>
      <left/>
      <right/>
      <top/>
      <bottom style="dotted">
        <color auto="1"/>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dotted">
        <color auto="1"/>
      </bottom>
      <diagonal/>
    </border>
    <border>
      <left/>
      <right style="medium">
        <color theme="4"/>
      </right>
      <top/>
      <bottom style="dotted">
        <color auto="1"/>
      </bottom>
      <diagonal/>
    </border>
    <border>
      <left style="medium">
        <color theme="4"/>
      </left>
      <right/>
      <top/>
      <bottom/>
      <diagonal/>
    </border>
    <border>
      <left/>
      <right style="medium">
        <color theme="4"/>
      </right>
      <top/>
      <bottom/>
      <diagonal/>
    </border>
    <border>
      <left style="medium">
        <color theme="4"/>
      </left>
      <right/>
      <top/>
      <bottom style="medium">
        <color theme="4"/>
      </bottom>
      <diagonal/>
    </border>
    <border>
      <left/>
      <right style="medium">
        <color theme="4"/>
      </right>
      <top/>
      <bottom style="medium">
        <color theme="4"/>
      </bottom>
      <diagonal/>
    </border>
    <border>
      <left style="medium">
        <color theme="4"/>
      </left>
      <right/>
      <top style="dotted">
        <color auto="1"/>
      </top>
      <bottom/>
      <diagonal/>
    </border>
    <border>
      <left/>
      <right style="medium">
        <color theme="4"/>
      </right>
      <top style="dotted">
        <color auto="1"/>
      </top>
      <bottom/>
      <diagonal/>
    </border>
    <border>
      <left/>
      <right/>
      <top style="dotted">
        <color auto="1"/>
      </top>
      <bottom/>
      <diagonal/>
    </border>
    <border>
      <left/>
      <right style="dashed">
        <color auto="1"/>
      </right>
      <top/>
      <bottom/>
      <diagonal/>
    </border>
    <border>
      <left style="dashed">
        <color auto="1"/>
      </left>
      <right/>
      <top/>
      <bottom/>
      <diagonal/>
    </border>
    <border>
      <left/>
      <right/>
      <top/>
      <bottom style="double">
        <color indexed="64"/>
      </bottom>
      <diagonal/>
    </border>
    <border>
      <left style="dotted">
        <color indexed="64"/>
      </left>
      <right style="thin">
        <color theme="3"/>
      </right>
      <top/>
      <bottom style="dotted">
        <color indexed="64"/>
      </bottom>
      <diagonal/>
    </border>
    <border>
      <left style="dotted">
        <color indexed="64"/>
      </left>
      <right style="thin">
        <color theme="3"/>
      </right>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8EA9DB"/>
      </left>
      <right/>
      <top style="thin">
        <color rgb="FF8EA9DB"/>
      </top>
      <bottom style="thin">
        <color rgb="FF8EA9DB"/>
      </bottom>
      <diagonal/>
    </border>
    <border>
      <left/>
      <right style="thin">
        <color rgb="FF000000"/>
      </right>
      <top style="thin">
        <color rgb="FF8EA9DB"/>
      </top>
      <bottom style="thin">
        <color rgb="FF8EA9DB"/>
      </bottom>
      <diagonal/>
    </border>
    <border>
      <left style="thin">
        <color rgb="FF000000"/>
      </left>
      <right style="thin">
        <color rgb="FF8EA9DB"/>
      </right>
      <top style="thin">
        <color rgb="FF8EA9DB"/>
      </top>
      <bottom style="thin">
        <color rgb="FF8EA9DB"/>
      </bottom>
      <diagonal/>
    </border>
    <border>
      <left style="thin">
        <color rgb="FF8EA9DB"/>
      </left>
      <right/>
      <top style="thin">
        <color rgb="FF8EA9DB"/>
      </top>
      <bottom/>
      <diagonal/>
    </border>
    <border>
      <left/>
      <right style="thin">
        <color rgb="FF000000"/>
      </right>
      <top style="thin">
        <color rgb="FF8EA9DB"/>
      </top>
      <bottom/>
      <diagonal/>
    </border>
    <border>
      <left style="thin">
        <color rgb="FF000000"/>
      </left>
      <right style="thin">
        <color rgb="FF8EA9DB"/>
      </right>
      <top style="thin">
        <color rgb="FF8EA9DB"/>
      </top>
      <bottom/>
      <diagonal/>
    </border>
    <border>
      <left style="thin">
        <color rgb="FF8EA9DB"/>
      </left>
      <right/>
      <top/>
      <bottom style="double">
        <color rgb="FF000000"/>
      </bottom>
      <diagonal/>
    </border>
    <border>
      <left/>
      <right style="thin">
        <color rgb="FF000000"/>
      </right>
      <top/>
      <bottom style="double">
        <color rgb="FF000000"/>
      </bottom>
      <diagonal/>
    </border>
    <border>
      <left style="thin">
        <color rgb="FF000000"/>
      </left>
      <right style="thin">
        <color rgb="FF8EA9DB"/>
      </right>
      <top/>
      <bottom style="double">
        <color rgb="FF00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tted">
        <color indexed="64"/>
      </left>
      <right style="dotted">
        <color indexed="64"/>
      </right>
      <top/>
      <bottom/>
      <diagonal/>
    </border>
    <border>
      <left style="medium">
        <color indexed="64"/>
      </left>
      <right/>
      <top/>
      <bottom/>
      <diagonal/>
    </border>
    <border>
      <left/>
      <right/>
      <top/>
      <bottom style="medium">
        <color indexed="64"/>
      </bottom>
      <diagonal/>
    </border>
  </borders>
  <cellStyleXfs count="55">
    <xf numFmtId="0" fontId="0" fillId="0" borderId="0"/>
    <xf numFmtId="43" fontId="2" fillId="0" borderId="0" applyFont="0" applyFill="0" applyBorder="0" applyAlignment="0" applyProtection="0"/>
    <xf numFmtId="44" fontId="2" fillId="0" borderId="0" applyFont="0" applyFill="0" applyBorder="0" applyAlignment="0" applyProtection="0"/>
    <xf numFmtId="0" fontId="3"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7" fillId="0" borderId="9" applyNumberFormat="0" applyFill="0" applyAlignment="0" applyProtection="0"/>
    <xf numFmtId="0" fontId="8" fillId="0" borderId="10" applyNumberFormat="0" applyFill="0" applyAlignment="0" applyProtection="0"/>
    <xf numFmtId="0" fontId="9" fillId="0" borderId="11" applyNumberFormat="0" applyFill="0" applyAlignment="0" applyProtection="0"/>
    <xf numFmtId="0" fontId="9" fillId="0" borderId="0" applyNumberFormat="0" applyFill="0" applyBorder="0" applyAlignment="0" applyProtection="0"/>
    <xf numFmtId="0" fontId="10" fillId="8" borderId="0" applyNumberFormat="0" applyBorder="0" applyAlignment="0" applyProtection="0"/>
    <xf numFmtId="0" fontId="11" fillId="9" borderId="0" applyNumberFormat="0" applyBorder="0" applyAlignment="0" applyProtection="0"/>
    <xf numFmtId="0" fontId="12" fillId="10" borderId="0" applyNumberFormat="0" applyBorder="0" applyAlignment="0" applyProtection="0"/>
    <xf numFmtId="0" fontId="13" fillId="11" borderId="12" applyNumberFormat="0" applyAlignment="0" applyProtection="0"/>
    <xf numFmtId="0" fontId="14" fillId="12" borderId="13" applyNumberFormat="0" applyAlignment="0" applyProtection="0"/>
    <xf numFmtId="0" fontId="15" fillId="12" borderId="12" applyNumberFormat="0" applyAlignment="0" applyProtection="0"/>
    <xf numFmtId="0" fontId="16" fillId="0" borderId="14" applyNumberFormat="0" applyFill="0" applyAlignment="0" applyProtection="0"/>
    <xf numFmtId="0" fontId="17" fillId="13" borderId="15" applyNumberFormat="0" applyAlignment="0" applyProtection="0"/>
    <xf numFmtId="0" fontId="18" fillId="0" borderId="0" applyNumberFormat="0" applyFill="0" applyBorder="0" applyAlignment="0" applyProtection="0"/>
    <xf numFmtId="0" fontId="2" fillId="14" borderId="16" applyNumberFormat="0" applyFont="0" applyAlignment="0" applyProtection="0"/>
    <xf numFmtId="0" fontId="19" fillId="0" borderId="0" applyNumberFormat="0" applyFill="0" applyBorder="0" applyAlignment="0" applyProtection="0"/>
    <xf numFmtId="0" fontId="1" fillId="0" borderId="17" applyNumberFormat="0" applyFill="0" applyAlignment="0" applyProtection="0"/>
    <xf numFmtId="0" fontId="20"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0"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0"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0"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0"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0" fillId="35"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5" fillId="0" borderId="0" applyNumberFormat="0" applyFill="0" applyBorder="0" applyAlignment="0" applyProtection="0">
      <alignment vertical="top"/>
      <protection locked="0"/>
    </xf>
    <xf numFmtId="0" fontId="26" fillId="0" borderId="0" applyBorder="0"/>
    <xf numFmtId="164" fontId="2" fillId="0" borderId="0" applyFont="0" applyFill="0" applyBorder="0" applyAlignment="0" applyProtection="0"/>
    <xf numFmtId="0" fontId="28"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cellStyleXfs>
  <cellXfs count="830">
    <xf numFmtId="0" fontId="0" fillId="0" borderId="0" xfId="0"/>
    <xf numFmtId="0" fontId="24" fillId="0" borderId="0" xfId="0" applyFont="1"/>
    <xf numFmtId="0" fontId="23" fillId="0" borderId="0" xfId="0" applyFont="1"/>
    <xf numFmtId="171" fontId="29" fillId="43" borderId="0" xfId="0" applyNumberFormat="1" applyFont="1" applyFill="1" applyAlignment="1">
      <alignment horizontal="center" vertical="center"/>
    </xf>
    <xf numFmtId="0" fontId="30" fillId="2" borderId="0" xfId="0" applyFont="1" applyFill="1" applyAlignment="1">
      <alignment vertical="center" wrapText="1"/>
    </xf>
    <xf numFmtId="0" fontId="32" fillId="2" borderId="0" xfId="3" applyFont="1" applyFill="1" applyAlignment="1">
      <alignment vertical="center"/>
    </xf>
    <xf numFmtId="0" fontId="32" fillId="2" borderId="0" xfId="3" applyFont="1" applyFill="1" applyAlignment="1">
      <alignment vertical="center" wrapText="1"/>
    </xf>
    <xf numFmtId="0" fontId="38" fillId="42" borderId="0" xfId="0" applyFont="1" applyFill="1" applyAlignment="1">
      <alignment vertical="center"/>
    </xf>
    <xf numFmtId="0" fontId="39" fillId="42" borderId="0" xfId="0" applyFont="1" applyFill="1" applyAlignment="1">
      <alignment vertical="center"/>
    </xf>
    <xf numFmtId="0" fontId="30" fillId="44" borderId="0" xfId="0" applyFont="1" applyFill="1" applyAlignment="1">
      <alignment vertical="center" wrapText="1"/>
    </xf>
    <xf numFmtId="0" fontId="32" fillId="44" borderId="0" xfId="3" applyFont="1" applyFill="1" applyAlignment="1">
      <alignment vertical="center" wrapText="1"/>
    </xf>
    <xf numFmtId="0" fontId="37" fillId="42" borderId="0" xfId="0" applyFont="1" applyFill="1" applyAlignment="1">
      <alignment vertical="center"/>
    </xf>
    <xf numFmtId="0" fontId="37" fillId="2" borderId="0" xfId="0" applyFont="1" applyFill="1" applyAlignment="1">
      <alignment vertical="center"/>
    </xf>
    <xf numFmtId="0" fontId="31" fillId="2" borderId="0" xfId="0" applyFont="1" applyFill="1" applyAlignment="1">
      <alignment vertical="center"/>
    </xf>
    <xf numFmtId="0" fontId="33" fillId="2" borderId="0" xfId="0" applyFont="1" applyFill="1" applyAlignment="1">
      <alignment vertical="center"/>
    </xf>
    <xf numFmtId="0" fontId="22" fillId="2" borderId="0" xfId="0" applyFont="1" applyFill="1" applyAlignment="1">
      <alignment vertical="center"/>
    </xf>
    <xf numFmtId="0" fontId="22" fillId="0" borderId="0" xfId="0" applyFont="1" applyAlignment="1">
      <alignment vertical="center"/>
    </xf>
    <xf numFmtId="0" fontId="33" fillId="44" borderId="0" xfId="0" applyFont="1" applyFill="1" applyAlignment="1">
      <alignment vertical="center"/>
    </xf>
    <xf numFmtId="0" fontId="22" fillId="44" borderId="0" xfId="0" applyFont="1" applyFill="1" applyAlignment="1">
      <alignment vertical="center"/>
    </xf>
    <xf numFmtId="0" fontId="33" fillId="44" borderId="0" xfId="0" applyFont="1" applyFill="1" applyAlignment="1">
      <alignment horizontal="left" vertical="center"/>
    </xf>
    <xf numFmtId="0" fontId="36" fillId="44" borderId="0" xfId="0" applyFont="1" applyFill="1" applyAlignment="1">
      <alignment vertical="center"/>
    </xf>
    <xf numFmtId="0" fontId="22" fillId="42" borderId="0" xfId="0" applyFont="1" applyFill="1" applyAlignment="1">
      <alignment vertical="center"/>
    </xf>
    <xf numFmtId="0" fontId="33" fillId="44" borderId="0" xfId="0" quotePrefix="1" applyFont="1" applyFill="1" applyAlignment="1">
      <alignment horizontal="left" vertical="center"/>
    </xf>
    <xf numFmtId="0" fontId="33" fillId="42" borderId="0" xfId="0" applyFont="1" applyFill="1" applyAlignment="1">
      <alignment vertical="center"/>
    </xf>
    <xf numFmtId="0" fontId="34" fillId="2" borderId="0" xfId="0" applyFont="1" applyFill="1" applyAlignment="1">
      <alignment vertical="center"/>
    </xf>
    <xf numFmtId="180" fontId="35" fillId="44" borderId="0" xfId="0" applyNumberFormat="1" applyFont="1" applyFill="1" applyAlignment="1">
      <alignment vertical="center"/>
    </xf>
    <xf numFmtId="0" fontId="35" fillId="44" borderId="0" xfId="0" applyFont="1" applyFill="1" applyAlignment="1">
      <alignment vertical="center"/>
    </xf>
    <xf numFmtId="0" fontId="34" fillId="2" borderId="0" xfId="0" applyFont="1" applyFill="1" applyAlignment="1">
      <alignment horizontal="left" vertical="center" wrapText="1"/>
    </xf>
    <xf numFmtId="181" fontId="35" fillId="44" borderId="0" xfId="0" applyNumberFormat="1" applyFont="1" applyFill="1" applyAlignment="1">
      <alignment vertical="center"/>
    </xf>
    <xf numFmtId="0" fontId="34" fillId="2" borderId="0" xfId="0" applyFont="1" applyFill="1" applyAlignment="1">
      <alignment vertical="center" wrapText="1"/>
    </xf>
    <xf numFmtId="0" fontId="33" fillId="0" borderId="0" xfId="0" applyFont="1" applyAlignment="1">
      <alignment vertical="center"/>
    </xf>
    <xf numFmtId="0" fontId="33" fillId="44" borderId="0" xfId="0" quotePrefix="1" applyFont="1" applyFill="1" applyAlignment="1">
      <alignment horizontal="left" vertical="center" indent="2"/>
    </xf>
    <xf numFmtId="0" fontId="41" fillId="44" borderId="0" xfId="0" applyFont="1" applyFill="1" applyAlignment="1">
      <alignment vertical="center"/>
    </xf>
    <xf numFmtId="0" fontId="42" fillId="44" borderId="0" xfId="0" applyFont="1" applyFill="1" applyAlignment="1">
      <alignment vertical="center"/>
    </xf>
    <xf numFmtId="0" fontId="43" fillId="44" borderId="0" xfId="0" applyFont="1" applyFill="1" applyAlignment="1">
      <alignment horizontal="left" vertical="center"/>
    </xf>
    <xf numFmtId="180" fontId="40" fillId="44" borderId="0" xfId="0" applyNumberFormat="1" applyFont="1" applyFill="1" applyAlignment="1">
      <alignment horizontal="right" vertical="center"/>
    </xf>
    <xf numFmtId="0" fontId="33" fillId="2" borderId="0" xfId="0" quotePrefix="1" applyFont="1" applyFill="1" applyAlignment="1">
      <alignment horizontal="left" vertical="center"/>
    </xf>
    <xf numFmtId="0" fontId="33" fillId="44" borderId="0" xfId="0" quotePrefix="1" applyFont="1" applyFill="1" applyAlignment="1">
      <alignment vertical="center"/>
    </xf>
    <xf numFmtId="0" fontId="44" fillId="44" borderId="0" xfId="0" quotePrefix="1" applyFont="1" applyFill="1" applyAlignment="1">
      <alignment horizontal="left" vertical="center"/>
    </xf>
    <xf numFmtId="0" fontId="44" fillId="44" borderId="0" xfId="0" quotePrefix="1" applyFont="1" applyFill="1" applyAlignment="1">
      <alignment horizontal="left" vertical="center" indent="2"/>
    </xf>
    <xf numFmtId="0" fontId="45" fillId="44" borderId="0" xfId="0" quotePrefix="1" applyFont="1" applyFill="1" applyAlignment="1">
      <alignment horizontal="left" vertical="center"/>
    </xf>
    <xf numFmtId="165" fontId="24" fillId="0" borderId="0" xfId="1" applyNumberFormat="1" applyFont="1" applyAlignment="1">
      <alignment horizontal="center"/>
    </xf>
    <xf numFmtId="165" fontId="24" fillId="0" borderId="0" xfId="1" applyNumberFormat="1" applyFont="1"/>
    <xf numFmtId="165" fontId="47" fillId="0" borderId="0" xfId="1" applyNumberFormat="1" applyFont="1" applyAlignment="1">
      <alignment horizontal="left"/>
    </xf>
    <xf numFmtId="166" fontId="24" fillId="0" borderId="0" xfId="1" applyNumberFormat="1" applyFont="1"/>
    <xf numFmtId="0" fontId="24" fillId="0" borderId="1" xfId="0" applyFont="1" applyBorder="1"/>
    <xf numFmtId="165" fontId="24" fillId="0" borderId="1" xfId="1" applyNumberFormat="1" applyFont="1" applyBorder="1"/>
    <xf numFmtId="0" fontId="48" fillId="0" borderId="0" xfId="0" applyFont="1"/>
    <xf numFmtId="165" fontId="24" fillId="0" borderId="47" xfId="1" applyNumberFormat="1" applyFont="1" applyBorder="1"/>
    <xf numFmtId="0" fontId="46" fillId="0" borderId="0" xfId="0" applyFont="1"/>
    <xf numFmtId="165" fontId="46" fillId="0" borderId="0" xfId="1" applyNumberFormat="1" applyFont="1"/>
    <xf numFmtId="0" fontId="46" fillId="0" borderId="47" xfId="0" applyFont="1" applyBorder="1"/>
    <xf numFmtId="165" fontId="47" fillId="0" borderId="0" xfId="1" applyNumberFormat="1" applyFont="1" applyAlignment="1">
      <alignment horizontal="right"/>
    </xf>
    <xf numFmtId="168" fontId="47" fillId="0" borderId="0" xfId="47" applyNumberFormat="1" applyFont="1"/>
    <xf numFmtId="168" fontId="47" fillId="4" borderId="0" xfId="47" applyNumberFormat="1" applyFont="1" applyFill="1"/>
    <xf numFmtId="180" fontId="49" fillId="44" borderId="0" xfId="0" applyNumberFormat="1" applyFont="1" applyFill="1" applyAlignment="1">
      <alignment horizontal="left" vertical="center"/>
    </xf>
    <xf numFmtId="0" fontId="43" fillId="0" borderId="0" xfId="0" applyFont="1" applyAlignment="1">
      <alignment horizontal="left" vertical="center"/>
    </xf>
    <xf numFmtId="0" fontId="50" fillId="0" borderId="0" xfId="0" applyFont="1"/>
    <xf numFmtId="0" fontId="51" fillId="0" borderId="0" xfId="0" applyFont="1"/>
    <xf numFmtId="0" fontId="52" fillId="0" borderId="0" xfId="0" applyFont="1"/>
    <xf numFmtId="0" fontId="54" fillId="0" borderId="0" xfId="0" applyFont="1"/>
    <xf numFmtId="0" fontId="56" fillId="0" borderId="0" xfId="0" applyFont="1"/>
    <xf numFmtId="0" fontId="55" fillId="0" borderId="0" xfId="0" applyFont="1"/>
    <xf numFmtId="171" fontId="57" fillId="43" borderId="0" xfId="0" applyNumberFormat="1" applyFont="1" applyFill="1" applyAlignment="1">
      <alignment horizontal="center" vertical="center"/>
    </xf>
    <xf numFmtId="0" fontId="54" fillId="0" borderId="0" xfId="0" applyFont="1" applyAlignment="1">
      <alignment horizontal="center"/>
    </xf>
    <xf numFmtId="0" fontId="59" fillId="0" borderId="0" xfId="0" applyFont="1"/>
    <xf numFmtId="0" fontId="60" fillId="59" borderId="0" xfId="0" applyFont="1" applyFill="1"/>
    <xf numFmtId="0" fontId="61" fillId="0" borderId="0" xfId="0" applyFont="1"/>
    <xf numFmtId="0" fontId="62" fillId="42" borderId="0" xfId="0" applyFont="1" applyFill="1"/>
    <xf numFmtId="9" fontId="59" fillId="2" borderId="0" xfId="47" applyFont="1" applyFill="1"/>
    <xf numFmtId="9" fontId="59" fillId="0" borderId="0" xfId="47" applyFont="1" applyFill="1"/>
    <xf numFmtId="0" fontId="59" fillId="7" borderId="0" xfId="0" applyFont="1" applyFill="1"/>
    <xf numFmtId="44" fontId="59" fillId="2" borderId="0" xfId="0" applyNumberFormat="1" applyFont="1" applyFill="1"/>
    <xf numFmtId="171" fontId="63" fillId="48" borderId="0" xfId="0" applyNumberFormat="1" applyFont="1" applyFill="1" applyAlignment="1">
      <alignment horizontal="center" vertical="center"/>
    </xf>
    <xf numFmtId="9" fontId="59" fillId="0" borderId="0" xfId="47" applyFont="1"/>
    <xf numFmtId="165" fontId="59" fillId="2" borderId="0" xfId="1" applyNumberFormat="1" applyFont="1" applyFill="1"/>
    <xf numFmtId="165" fontId="59" fillId="2" borderId="19" xfId="1" applyNumberFormat="1" applyFont="1" applyFill="1" applyBorder="1"/>
    <xf numFmtId="165" fontId="59" fillId="2" borderId="20" xfId="1" applyNumberFormat="1" applyFont="1" applyFill="1" applyBorder="1"/>
    <xf numFmtId="165" fontId="59" fillId="2" borderId="21" xfId="1" applyNumberFormat="1" applyFont="1" applyFill="1" applyBorder="1"/>
    <xf numFmtId="0" fontId="64" fillId="0" borderId="0" xfId="0" applyFont="1"/>
    <xf numFmtId="0" fontId="65" fillId="0" borderId="0" xfId="0" applyFont="1"/>
    <xf numFmtId="0" fontId="59" fillId="0" borderId="0" xfId="0" applyFont="1" applyAlignment="1">
      <alignment horizontal="left" indent="5"/>
    </xf>
    <xf numFmtId="0" fontId="59" fillId="2" borderId="0" xfId="0" applyFont="1" applyFill="1" applyAlignment="1">
      <alignment horizontal="right"/>
    </xf>
    <xf numFmtId="0" fontId="66" fillId="0" borderId="0" xfId="0" applyFont="1"/>
    <xf numFmtId="165" fontId="59" fillId="2" borderId="0" xfId="1" applyNumberFormat="1" applyFont="1" applyFill="1" applyAlignment="1">
      <alignment horizontal="right"/>
    </xf>
    <xf numFmtId="0" fontId="59" fillId="0" borderId="0" xfId="0" applyFont="1" applyAlignment="1">
      <alignment horizontal="center"/>
    </xf>
    <xf numFmtId="165" fontId="59" fillId="2" borderId="0" xfId="1" applyNumberFormat="1" applyFont="1" applyFill="1" applyBorder="1"/>
    <xf numFmtId="165" fontId="59" fillId="44" borderId="0" xfId="1" applyNumberFormat="1" applyFont="1" applyFill="1"/>
    <xf numFmtId="165" fontId="54" fillId="0" borderId="0" xfId="0" applyNumberFormat="1" applyFont="1"/>
    <xf numFmtId="165" fontId="64" fillId="0" borderId="0" xfId="1" applyNumberFormat="1" applyFont="1" applyFill="1"/>
    <xf numFmtId="0" fontId="59" fillId="7" borderId="0" xfId="0" applyFont="1" applyFill="1" applyAlignment="1">
      <alignment horizontal="center"/>
    </xf>
    <xf numFmtId="165" fontId="59" fillId="0" borderId="0" xfId="1" applyNumberFormat="1" applyFont="1" applyFill="1"/>
    <xf numFmtId="0" fontId="59" fillId="0" borderId="22" xfId="0" applyFont="1" applyBorder="1"/>
    <xf numFmtId="165" fontId="54" fillId="44" borderId="0" xfId="0" applyNumberFormat="1" applyFont="1" applyFill="1"/>
    <xf numFmtId="165" fontId="54" fillId="2" borderId="0" xfId="0" applyNumberFormat="1" applyFont="1" applyFill="1"/>
    <xf numFmtId="165" fontId="54" fillId="2" borderId="18" xfId="0" applyNumberFormat="1" applyFont="1" applyFill="1" applyBorder="1"/>
    <xf numFmtId="9" fontId="59" fillId="0" borderId="0" xfId="47" applyFont="1" applyFill="1" applyAlignment="1">
      <alignment horizontal="right"/>
    </xf>
    <xf numFmtId="167" fontId="54" fillId="44" borderId="0" xfId="2" applyNumberFormat="1" applyFont="1" applyFill="1"/>
    <xf numFmtId="167" fontId="54" fillId="2" borderId="0" xfId="2" applyNumberFormat="1" applyFont="1" applyFill="1"/>
    <xf numFmtId="0" fontId="54" fillId="0" borderId="0" xfId="0" applyFont="1" applyAlignment="1">
      <alignment horizontal="left" indent="1"/>
    </xf>
    <xf numFmtId="44" fontId="54" fillId="2" borderId="0" xfId="2" applyFont="1" applyFill="1"/>
    <xf numFmtId="0" fontId="59" fillId="0" borderId="23" xfId="0" applyFont="1" applyBorder="1" applyAlignment="1">
      <alignment horizontal="center"/>
    </xf>
    <xf numFmtId="0" fontId="59" fillId="0" borderId="24" xfId="0" applyFont="1" applyBorder="1" applyAlignment="1">
      <alignment horizontal="center"/>
    </xf>
    <xf numFmtId="0" fontId="59" fillId="0" borderId="25" xfId="0" applyFont="1" applyBorder="1" applyAlignment="1">
      <alignment horizontal="center"/>
    </xf>
    <xf numFmtId="165" fontId="54" fillId="2" borderId="0" xfId="1" applyNumberFormat="1" applyFont="1" applyFill="1"/>
    <xf numFmtId="165" fontId="54" fillId="2" borderId="19" xfId="0" applyNumberFormat="1" applyFont="1" applyFill="1" applyBorder="1"/>
    <xf numFmtId="165" fontId="54" fillId="2" borderId="20" xfId="0" applyNumberFormat="1" applyFont="1" applyFill="1" applyBorder="1"/>
    <xf numFmtId="165" fontId="59" fillId="2" borderId="32" xfId="1" applyNumberFormat="1" applyFont="1" applyFill="1" applyBorder="1"/>
    <xf numFmtId="165" fontId="59" fillId="2" borderId="33" xfId="1" applyNumberFormat="1" applyFont="1" applyFill="1" applyBorder="1"/>
    <xf numFmtId="165" fontId="59" fillId="2" borderId="34" xfId="1" applyNumberFormat="1" applyFont="1" applyFill="1" applyBorder="1"/>
    <xf numFmtId="165" fontId="59" fillId="2" borderId="35" xfId="1" applyNumberFormat="1" applyFont="1" applyFill="1" applyBorder="1"/>
    <xf numFmtId="165" fontId="59" fillId="2" borderId="36" xfId="1" applyNumberFormat="1" applyFont="1" applyFill="1" applyBorder="1"/>
    <xf numFmtId="165" fontId="59" fillId="2" borderId="37" xfId="1" applyNumberFormat="1" applyFont="1" applyFill="1" applyBorder="1"/>
    <xf numFmtId="0" fontId="54" fillId="0" borderId="22" xfId="0" applyFont="1" applyBorder="1" applyAlignment="1">
      <alignment horizontal="left" indent="1"/>
    </xf>
    <xf numFmtId="175" fontId="54" fillId="2" borderId="0" xfId="0" applyNumberFormat="1" applyFont="1" applyFill="1"/>
    <xf numFmtId="43" fontId="54" fillId="2" borderId="0" xfId="0" applyNumberFormat="1" applyFont="1" applyFill="1"/>
    <xf numFmtId="165" fontId="59" fillId="0" borderId="0" xfId="0" applyNumberFormat="1" applyFont="1"/>
    <xf numFmtId="166" fontId="54" fillId="2" borderId="0" xfId="0" applyNumberFormat="1" applyFont="1" applyFill="1"/>
    <xf numFmtId="184" fontId="54" fillId="2" borderId="0" xfId="0" applyNumberFormat="1" applyFont="1" applyFill="1"/>
    <xf numFmtId="43" fontId="59" fillId="0" borderId="0" xfId="0" applyNumberFormat="1" applyFont="1"/>
    <xf numFmtId="9" fontId="54" fillId="2" borderId="0" xfId="47" applyFont="1" applyFill="1"/>
    <xf numFmtId="165" fontId="59" fillId="0" borderId="0" xfId="1" applyNumberFormat="1" applyFont="1"/>
    <xf numFmtId="44" fontId="54" fillId="2" borderId="0" xfId="2" applyFont="1" applyFill="1" applyBorder="1"/>
    <xf numFmtId="165" fontId="54" fillId="2" borderId="18" xfId="1" applyNumberFormat="1" applyFont="1" applyFill="1" applyBorder="1"/>
    <xf numFmtId="0" fontId="61" fillId="0" borderId="0" xfId="0" applyFont="1" applyAlignment="1">
      <alignment vertical="top" wrapText="1"/>
    </xf>
    <xf numFmtId="9" fontId="54" fillId="2" borderId="0" xfId="47" applyFont="1" applyFill="1" applyBorder="1"/>
    <xf numFmtId="165" fontId="66" fillId="0" borderId="0" xfId="1" applyNumberFormat="1" applyFont="1"/>
    <xf numFmtId="165" fontId="54" fillId="44" borderId="0" xfId="1" applyNumberFormat="1" applyFont="1" applyFill="1" applyBorder="1"/>
    <xf numFmtId="165" fontId="54" fillId="2" borderId="0" xfId="1" applyNumberFormat="1" applyFont="1" applyFill="1" applyBorder="1" applyAlignment="1">
      <alignment horizontal="right"/>
    </xf>
    <xf numFmtId="174" fontId="54" fillId="44" borderId="0" xfId="47" applyNumberFormat="1" applyFont="1" applyFill="1" applyBorder="1"/>
    <xf numFmtId="44" fontId="54" fillId="2" borderId="0" xfId="47" applyNumberFormat="1" applyFont="1" applyFill="1" applyBorder="1"/>
    <xf numFmtId="176" fontId="59" fillId="0" borderId="0" xfId="2" applyNumberFormat="1" applyFont="1"/>
    <xf numFmtId="165" fontId="54" fillId="2" borderId="0" xfId="1" applyNumberFormat="1" applyFont="1" applyFill="1" applyBorder="1"/>
    <xf numFmtId="0" fontId="68" fillId="42" borderId="0" xfId="0" applyFont="1" applyFill="1"/>
    <xf numFmtId="0" fontId="69" fillId="0" borderId="0" xfId="0" applyFont="1"/>
    <xf numFmtId="9" fontId="59" fillId="44" borderId="0" xfId="47" applyFont="1" applyFill="1"/>
    <xf numFmtId="0" fontId="59" fillId="44" borderId="0" xfId="0" applyFont="1" applyFill="1"/>
    <xf numFmtId="171" fontId="57" fillId="52" borderId="0" xfId="0" applyNumberFormat="1" applyFont="1" applyFill="1" applyAlignment="1">
      <alignment horizontal="center" vertical="center"/>
    </xf>
    <xf numFmtId="0" fontId="59" fillId="0" borderId="27" xfId="0" applyFont="1" applyBorder="1"/>
    <xf numFmtId="0" fontId="67" fillId="0" borderId="28" xfId="0" applyFont="1" applyBorder="1" applyAlignment="1">
      <alignment horizontal="right"/>
    </xf>
    <xf numFmtId="0" fontId="59" fillId="0" borderId="28" xfId="0" applyFont="1" applyBorder="1"/>
    <xf numFmtId="165" fontId="70" fillId="2" borderId="28" xfId="1" applyNumberFormat="1" applyFont="1" applyFill="1" applyBorder="1"/>
    <xf numFmtId="165" fontId="59" fillId="2" borderId="28" xfId="1" applyNumberFormat="1" applyFont="1" applyFill="1" applyBorder="1"/>
    <xf numFmtId="165" fontId="70" fillId="2" borderId="0" xfId="0" applyNumberFormat="1" applyFont="1" applyFill="1"/>
    <xf numFmtId="165" fontId="59" fillId="2" borderId="0" xfId="0" applyNumberFormat="1" applyFont="1" applyFill="1"/>
    <xf numFmtId="165" fontId="71" fillId="2" borderId="0" xfId="0" applyNumberFormat="1" applyFont="1" applyFill="1"/>
    <xf numFmtId="165" fontId="70" fillId="44" borderId="0" xfId="0" applyNumberFormat="1" applyFont="1" applyFill="1"/>
    <xf numFmtId="165" fontId="59" fillId="44" borderId="0" xfId="0" applyNumberFormat="1" applyFont="1" applyFill="1"/>
    <xf numFmtId="0" fontId="56" fillId="44" borderId="0" xfId="0" applyFont="1" applyFill="1" applyAlignment="1">
      <alignment horizontal="centerContinuous"/>
    </xf>
    <xf numFmtId="0" fontId="56" fillId="45" borderId="0" xfId="0" applyFont="1" applyFill="1" applyAlignment="1">
      <alignment horizontal="centerContinuous"/>
    </xf>
    <xf numFmtId="0" fontId="59" fillId="45" borderId="0" xfId="0" applyFont="1" applyFill="1" applyAlignment="1">
      <alignment horizontal="centerContinuous"/>
    </xf>
    <xf numFmtId="171" fontId="60" fillId="44" borderId="0" xfId="0" applyNumberFormat="1" applyFont="1" applyFill="1" applyAlignment="1">
      <alignment horizontal="center" vertical="center"/>
    </xf>
    <xf numFmtId="171" fontId="60" fillId="43" borderId="0" xfId="0" applyNumberFormat="1" applyFont="1" applyFill="1" applyAlignment="1">
      <alignment horizontal="center" vertical="center"/>
    </xf>
    <xf numFmtId="0" fontId="59" fillId="0" borderId="0" xfId="0" applyFont="1" applyAlignment="1">
      <alignment horizontal="left" indent="3"/>
    </xf>
    <xf numFmtId="3" fontId="59" fillId="44" borderId="0" xfId="0" applyNumberFormat="1" applyFont="1" applyFill="1" applyAlignment="1">
      <alignment horizontal="center"/>
    </xf>
    <xf numFmtId="183" fontId="59" fillId="44" borderId="0" xfId="0" applyNumberFormat="1" applyFont="1" applyFill="1" applyAlignment="1">
      <alignment horizontal="center"/>
    </xf>
    <xf numFmtId="0" fontId="67" fillId="44" borderId="0" xfId="0" applyFont="1" applyFill="1" applyAlignment="1">
      <alignment horizontal="left" indent="1"/>
    </xf>
    <xf numFmtId="183" fontId="67" fillId="44" borderId="0" xfId="0" applyNumberFormat="1" applyFont="1" applyFill="1" applyAlignment="1">
      <alignment horizontal="center"/>
    </xf>
    <xf numFmtId="3" fontId="67" fillId="44" borderId="0" xfId="0" applyNumberFormat="1" applyFont="1" applyFill="1" applyAlignment="1">
      <alignment horizontal="center"/>
    </xf>
    <xf numFmtId="0" fontId="65" fillId="44" borderId="0" xfId="0" applyFont="1" applyFill="1"/>
    <xf numFmtId="183" fontId="59" fillId="7" borderId="0" xfId="0" applyNumberFormat="1" applyFont="1" applyFill="1" applyAlignment="1">
      <alignment horizontal="center"/>
    </xf>
    <xf numFmtId="3" fontId="59" fillId="7" borderId="0" xfId="0" applyNumberFormat="1" applyFont="1" applyFill="1" applyAlignment="1">
      <alignment horizontal="center"/>
    </xf>
    <xf numFmtId="0" fontId="59" fillId="6" borderId="0" xfId="0" applyFont="1" applyFill="1"/>
    <xf numFmtId="183" fontId="59" fillId="6" borderId="0" xfId="0" applyNumberFormat="1" applyFont="1" applyFill="1" applyAlignment="1">
      <alignment horizontal="center"/>
    </xf>
    <xf numFmtId="3" fontId="59" fillId="6" borderId="0" xfId="0" applyNumberFormat="1" applyFont="1" applyFill="1" applyAlignment="1">
      <alignment horizontal="center"/>
    </xf>
    <xf numFmtId="0" fontId="59" fillId="44" borderId="45" xfId="0" applyFont="1" applyFill="1" applyBorder="1"/>
    <xf numFmtId="183" fontId="59" fillId="44" borderId="48" xfId="0" applyNumberFormat="1" applyFont="1" applyFill="1" applyBorder="1" applyAlignment="1">
      <alignment horizontal="center"/>
    </xf>
    <xf numFmtId="3" fontId="59" fillId="44" borderId="46" xfId="0" applyNumberFormat="1" applyFont="1" applyFill="1" applyBorder="1" applyAlignment="1">
      <alignment horizontal="center"/>
    </xf>
    <xf numFmtId="0" fontId="59" fillId="46" borderId="0" xfId="0" applyFont="1" applyFill="1" applyAlignment="1">
      <alignment horizontal="center"/>
    </xf>
    <xf numFmtId="0" fontId="66" fillId="0" borderId="5" xfId="0" applyFont="1" applyBorder="1"/>
    <xf numFmtId="0" fontId="66" fillId="0" borderId="0" xfId="0" applyFont="1" applyAlignment="1">
      <alignment horizontal="center"/>
    </xf>
    <xf numFmtId="165" fontId="66" fillId="0" borderId="0" xfId="1" applyNumberFormat="1" applyFont="1" applyBorder="1" applyAlignment="1">
      <alignment horizontal="center"/>
    </xf>
    <xf numFmtId="165" fontId="66" fillId="4" borderId="0" xfId="1" applyNumberFormat="1" applyFont="1" applyFill="1" applyBorder="1" applyAlignment="1">
      <alignment horizontal="center"/>
    </xf>
    <xf numFmtId="0" fontId="64" fillId="0" borderId="6" xfId="0" applyFont="1" applyBorder="1"/>
    <xf numFmtId="165" fontId="66" fillId="53" borderId="0" xfId="1" applyNumberFormat="1" applyFont="1" applyFill="1" applyBorder="1" applyAlignment="1">
      <alignment horizontal="center"/>
    </xf>
    <xf numFmtId="0" fontId="72" fillId="0" borderId="0" xfId="3" applyFont="1"/>
    <xf numFmtId="175" fontId="66" fillId="0" borderId="0" xfId="1" applyNumberFormat="1" applyFont="1" applyBorder="1" applyAlignment="1">
      <alignment horizontal="center"/>
    </xf>
    <xf numFmtId="175" fontId="66" fillId="4" borderId="0" xfId="1" applyNumberFormat="1" applyFont="1" applyFill="1" applyBorder="1" applyAlignment="1">
      <alignment horizontal="center"/>
    </xf>
    <xf numFmtId="175" fontId="66" fillId="53" borderId="0" xfId="1" applyNumberFormat="1" applyFont="1" applyFill="1" applyBorder="1" applyAlignment="1">
      <alignment horizontal="center"/>
    </xf>
    <xf numFmtId="0" fontId="66" fillId="0" borderId="7" xfId="0" applyFont="1" applyBorder="1"/>
    <xf numFmtId="0" fontId="66" fillId="0" borderId="1" xfId="0" applyFont="1" applyBorder="1"/>
    <xf numFmtId="0" fontId="66" fillId="0" borderId="1" xfId="0" applyFont="1" applyBorder="1" applyAlignment="1">
      <alignment horizontal="center"/>
    </xf>
    <xf numFmtId="175" fontId="66" fillId="0" borderId="1" xfId="1" applyNumberFormat="1" applyFont="1" applyBorder="1" applyAlignment="1">
      <alignment horizontal="center"/>
    </xf>
    <xf numFmtId="175" fontId="66" fillId="4" borderId="1" xfId="1" applyNumberFormat="1" applyFont="1" applyFill="1" applyBorder="1" applyAlignment="1">
      <alignment horizontal="center"/>
    </xf>
    <xf numFmtId="0" fontId="64" fillId="0" borderId="8" xfId="0" applyFont="1" applyBorder="1"/>
    <xf numFmtId="175" fontId="66" fillId="53" borderId="1" xfId="1" applyNumberFormat="1" applyFont="1" applyFill="1" applyBorder="1" applyAlignment="1">
      <alignment horizontal="center"/>
    </xf>
    <xf numFmtId="0" fontId="59" fillId="44" borderId="0" xfId="0" applyFont="1" applyFill="1" applyAlignment="1">
      <alignment horizontal="center"/>
    </xf>
    <xf numFmtId="43" fontId="59" fillId="44" borderId="0" xfId="1" applyFont="1" applyFill="1"/>
    <xf numFmtId="43" fontId="59" fillId="44" borderId="0" xfId="1" applyFont="1" applyFill="1" applyAlignment="1">
      <alignment horizontal="center"/>
    </xf>
    <xf numFmtId="0" fontId="60" fillId="47" borderId="3" xfId="0" applyFont="1" applyFill="1" applyBorder="1"/>
    <xf numFmtId="0" fontId="59" fillId="0" borderId="2" xfId="0" applyFont="1" applyBorder="1"/>
    <xf numFmtId="0" fontId="59" fillId="0" borderId="2" xfId="0" applyFont="1" applyBorder="1" applyAlignment="1">
      <alignment horizontal="center"/>
    </xf>
    <xf numFmtId="44" fontId="59" fillId="0" borderId="2" xfId="0" applyNumberFormat="1" applyFont="1" applyBorder="1" applyAlignment="1">
      <alignment horizontal="center"/>
    </xf>
    <xf numFmtId="0" fontId="59" fillId="0" borderId="4" xfId="0" applyFont="1" applyBorder="1"/>
    <xf numFmtId="44" fontId="59" fillId="0" borderId="0" xfId="0" applyNumberFormat="1" applyFont="1" applyAlignment="1">
      <alignment horizontal="center"/>
    </xf>
    <xf numFmtId="0" fontId="59" fillId="0" borderId="5" xfId="0" applyFont="1" applyBorder="1"/>
    <xf numFmtId="43" fontId="59" fillId="50" borderId="0" xfId="1" applyFont="1" applyFill="1" applyBorder="1" applyAlignment="1">
      <alignment horizontal="center"/>
    </xf>
    <xf numFmtId="43" fontId="59" fillId="4" borderId="0" xfId="1" applyFont="1" applyFill="1" applyBorder="1" applyAlignment="1">
      <alignment horizontal="center"/>
    </xf>
    <xf numFmtId="0" fontId="59" fillId="0" borderId="6" xfId="0" applyFont="1" applyBorder="1"/>
    <xf numFmtId="43" fontId="59" fillId="53" borderId="2" xfId="1" applyFont="1" applyFill="1" applyBorder="1" applyAlignment="1">
      <alignment horizontal="center"/>
    </xf>
    <xf numFmtId="43" fontId="59" fillId="53" borderId="0" xfId="1" applyFont="1" applyFill="1" applyBorder="1" applyAlignment="1">
      <alignment horizontal="center"/>
    </xf>
    <xf numFmtId="44" fontId="59" fillId="50" borderId="0" xfId="0" applyNumberFormat="1" applyFont="1" applyFill="1" applyAlignment="1">
      <alignment horizontal="center"/>
    </xf>
    <xf numFmtId="44" fontId="59" fillId="4" borderId="0" xfId="0" applyNumberFormat="1" applyFont="1" applyFill="1" applyAlignment="1">
      <alignment horizontal="center"/>
    </xf>
    <xf numFmtId="44" fontId="59" fillId="53" borderId="0" xfId="0" applyNumberFormat="1" applyFont="1" applyFill="1" applyAlignment="1">
      <alignment horizontal="center"/>
    </xf>
    <xf numFmtId="165" fontId="59" fillId="4" borderId="0" xfId="1" applyNumberFormat="1" applyFont="1" applyFill="1" applyBorder="1" applyAlignment="1">
      <alignment horizontal="center"/>
    </xf>
    <xf numFmtId="165" fontId="59" fillId="53" borderId="0" xfId="1" applyNumberFormat="1" applyFont="1" applyFill="1" applyBorder="1" applyAlignment="1">
      <alignment horizontal="center"/>
    </xf>
    <xf numFmtId="168" fontId="66" fillId="4" borderId="0" xfId="47" applyNumberFormat="1" applyFont="1" applyFill="1" applyBorder="1" applyAlignment="1">
      <alignment horizontal="right"/>
    </xf>
    <xf numFmtId="0" fontId="66" fillId="0" borderId="6" xfId="0" applyFont="1" applyBorder="1"/>
    <xf numFmtId="168" fontId="66" fillId="53" borderId="0" xfId="47" applyNumberFormat="1" applyFont="1" applyFill="1" applyBorder="1" applyAlignment="1">
      <alignment horizontal="right"/>
    </xf>
    <xf numFmtId="0" fontId="59" fillId="0" borderId="7" xfId="0" applyFont="1" applyBorder="1"/>
    <xf numFmtId="0" fontId="59" fillId="0" borderId="1" xfId="0" applyFont="1" applyBorder="1"/>
    <xf numFmtId="0" fontId="59" fillId="0" borderId="1" xfId="0" applyFont="1" applyBorder="1" applyAlignment="1">
      <alignment horizontal="center"/>
    </xf>
    <xf numFmtId="44" fontId="59" fillId="0" borderId="1" xfId="0" applyNumberFormat="1" applyFont="1" applyBorder="1" applyAlignment="1">
      <alignment horizontal="center"/>
    </xf>
    <xf numFmtId="168" fontId="66" fillId="4" borderId="1" xfId="47" applyNumberFormat="1" applyFont="1" applyFill="1" applyBorder="1" applyAlignment="1">
      <alignment horizontal="right"/>
    </xf>
    <xf numFmtId="0" fontId="66" fillId="0" borderId="8" xfId="0" applyFont="1" applyBorder="1"/>
    <xf numFmtId="168" fontId="66" fillId="53" borderId="1" xfId="47" applyNumberFormat="1" applyFont="1" applyFill="1" applyBorder="1" applyAlignment="1">
      <alignment horizontal="right"/>
    </xf>
    <xf numFmtId="43" fontId="59" fillId="0" borderId="0" xfId="1" applyFont="1" applyBorder="1"/>
    <xf numFmtId="0" fontId="59" fillId="44" borderId="5" xfId="0" applyFont="1" applyFill="1" applyBorder="1"/>
    <xf numFmtId="43" fontId="59" fillId="44" borderId="0" xfId="1" applyFont="1" applyFill="1" applyBorder="1"/>
    <xf numFmtId="43" fontId="59" fillId="44" borderId="0" xfId="1" applyFont="1" applyFill="1" applyBorder="1" applyAlignment="1">
      <alignment horizontal="center"/>
    </xf>
    <xf numFmtId="0" fontId="59" fillId="44" borderId="6" xfId="0" applyFont="1" applyFill="1" applyBorder="1"/>
    <xf numFmtId="44" fontId="59" fillId="4" borderId="1" xfId="0" applyNumberFormat="1" applyFont="1" applyFill="1" applyBorder="1" applyAlignment="1">
      <alignment horizontal="center"/>
    </xf>
    <xf numFmtId="44" fontId="59" fillId="53" borderId="1" xfId="0" applyNumberFormat="1" applyFont="1" applyFill="1" applyBorder="1" applyAlignment="1">
      <alignment horizontal="center"/>
    </xf>
    <xf numFmtId="9" fontId="59" fillId="50" borderId="0" xfId="47" applyFont="1" applyFill="1" applyBorder="1"/>
    <xf numFmtId="9" fontId="59" fillId="4" borderId="0" xfId="0" applyNumberFormat="1" applyFont="1" applyFill="1"/>
    <xf numFmtId="9" fontId="59" fillId="53" borderId="0" xfId="0" applyNumberFormat="1" applyFont="1" applyFill="1"/>
    <xf numFmtId="43" fontId="59" fillId="0" borderId="0" xfId="1" applyFont="1" applyBorder="1" applyAlignment="1">
      <alignment horizontal="center"/>
    </xf>
    <xf numFmtId="43" fontId="59" fillId="4" borderId="1" xfId="1" applyFont="1" applyFill="1" applyBorder="1" applyAlignment="1">
      <alignment horizontal="center"/>
    </xf>
    <xf numFmtId="0" fontId="59" fillId="0" borderId="8" xfId="0" applyFont="1" applyBorder="1"/>
    <xf numFmtId="43" fontId="59" fillId="53" borderId="1" xfId="1" applyFont="1" applyFill="1" applyBorder="1" applyAlignment="1">
      <alignment horizontal="center"/>
    </xf>
    <xf numFmtId="44" fontId="59" fillId="0" borderId="1" xfId="2" applyFont="1" applyBorder="1"/>
    <xf numFmtId="44" fontId="59" fillId="4" borderId="1" xfId="2" applyFont="1" applyFill="1" applyBorder="1"/>
    <xf numFmtId="44" fontId="59" fillId="53" borderId="1" xfId="2" applyFont="1" applyFill="1" applyBorder="1"/>
    <xf numFmtId="44" fontId="59" fillId="4" borderId="0" xfId="2" applyFont="1" applyFill="1" applyBorder="1"/>
    <xf numFmtId="168" fontId="59" fillId="53" borderId="0" xfId="0" applyNumberFormat="1" applyFont="1" applyFill="1"/>
    <xf numFmtId="44" fontId="59" fillId="50" borderId="0" xfId="2" applyFont="1" applyFill="1" applyBorder="1"/>
    <xf numFmtId="43" fontId="59" fillId="50" borderId="0" xfId="0" applyNumberFormat="1" applyFont="1" applyFill="1"/>
    <xf numFmtId="9" fontId="59" fillId="50" borderId="1" xfId="0" applyNumberFormat="1" applyFont="1" applyFill="1" applyBorder="1"/>
    <xf numFmtId="9" fontId="59" fillId="4" borderId="1" xfId="0" applyNumberFormat="1" applyFont="1" applyFill="1" applyBorder="1"/>
    <xf numFmtId="0" fontId="59" fillId="60" borderId="0" xfId="0" applyFont="1" applyFill="1"/>
    <xf numFmtId="167" fontId="59" fillId="61" borderId="0" xfId="0" applyNumberFormat="1" applyFont="1" applyFill="1"/>
    <xf numFmtId="9" fontId="66" fillId="2" borderId="0" xfId="47" applyFont="1" applyFill="1" applyBorder="1"/>
    <xf numFmtId="9" fontId="66" fillId="62" borderId="0" xfId="47" applyFont="1" applyFill="1" applyBorder="1"/>
    <xf numFmtId="167" fontId="66" fillId="62" borderId="0" xfId="2" applyNumberFormat="1" applyFont="1" applyFill="1" applyBorder="1"/>
    <xf numFmtId="9" fontId="59" fillId="4" borderId="0" xfId="47" applyFont="1" applyFill="1" applyBorder="1"/>
    <xf numFmtId="167" fontId="59" fillId="2" borderId="0" xfId="2" applyNumberFormat="1" applyFont="1" applyFill="1"/>
    <xf numFmtId="166" fontId="66" fillId="2" borderId="45" xfId="1" applyNumberFormat="1" applyFont="1" applyFill="1" applyBorder="1"/>
    <xf numFmtId="166" fontId="66" fillId="2" borderId="48" xfId="1" applyNumberFormat="1" applyFont="1" applyFill="1" applyBorder="1"/>
    <xf numFmtId="166" fontId="66" fillId="2" borderId="46" xfId="1" applyNumberFormat="1" applyFont="1" applyFill="1" applyBorder="1"/>
    <xf numFmtId="166" fontId="66" fillId="2" borderId="35" xfId="1" applyNumberFormat="1" applyFont="1" applyFill="1" applyBorder="1"/>
    <xf numFmtId="167" fontId="59" fillId="0" borderId="0" xfId="2" applyNumberFormat="1" applyFont="1" applyFill="1"/>
    <xf numFmtId="167" fontId="67" fillId="0" borderId="0" xfId="2" applyNumberFormat="1" applyFont="1" applyFill="1"/>
    <xf numFmtId="0" fontId="67" fillId="0" borderId="0" xfId="0" applyFont="1"/>
    <xf numFmtId="0" fontId="51" fillId="0" borderId="0" xfId="0" applyFont="1" applyAlignment="1">
      <alignment horizontal="left" vertical="center" indent="2"/>
    </xf>
    <xf numFmtId="0" fontId="65" fillId="0" borderId="0" xfId="0" applyFont="1" applyAlignment="1">
      <alignment horizontal="right"/>
    </xf>
    <xf numFmtId="0" fontId="59" fillId="4" borderId="0" xfId="0" applyFont="1" applyFill="1"/>
    <xf numFmtId="165" fontId="59" fillId="6" borderId="0" xfId="1" applyNumberFormat="1" applyFont="1" applyFill="1" applyAlignment="1">
      <alignment horizontal="right"/>
    </xf>
    <xf numFmtId="0" fontId="75" fillId="0" borderId="0" xfId="0" applyFont="1"/>
    <xf numFmtId="0" fontId="76" fillId="0" borderId="0" xfId="0" applyFont="1"/>
    <xf numFmtId="175" fontId="59" fillId="4" borderId="0" xfId="1" applyNumberFormat="1" applyFont="1" applyFill="1" applyAlignment="1">
      <alignment horizontal="center"/>
    </xf>
    <xf numFmtId="175" fontId="59" fillId="0" borderId="0" xfId="1" applyNumberFormat="1" applyFont="1" applyFill="1" applyAlignment="1">
      <alignment horizontal="center"/>
    </xf>
    <xf numFmtId="0" fontId="77" fillId="0" borderId="0" xfId="0" applyFont="1"/>
    <xf numFmtId="165" fontId="59" fillId="4" borderId="0" xfId="1" applyNumberFormat="1" applyFont="1" applyFill="1"/>
    <xf numFmtId="165" fontId="59" fillId="4" borderId="0" xfId="1" applyNumberFormat="1" applyFont="1" applyFill="1" applyAlignment="1">
      <alignment horizontal="right"/>
    </xf>
    <xf numFmtId="9" fontId="59" fillId="4" borderId="0" xfId="47" applyFont="1" applyFill="1"/>
    <xf numFmtId="165" fontId="59" fillId="4" borderId="0" xfId="1" applyNumberFormat="1" applyFont="1" applyFill="1" applyAlignment="1">
      <alignment horizontal="center"/>
    </xf>
    <xf numFmtId="0" fontId="65" fillId="0" borderId="0" xfId="0" quotePrefix="1" applyFont="1"/>
    <xf numFmtId="165" fontId="66" fillId="6" borderId="0" xfId="1" applyNumberFormat="1" applyFont="1" applyFill="1" applyBorder="1"/>
    <xf numFmtId="165" fontId="66" fillId="0" borderId="0" xfId="1" applyNumberFormat="1" applyFont="1" applyFill="1" applyBorder="1"/>
    <xf numFmtId="166" fontId="59" fillId="2" borderId="0" xfId="1" applyNumberFormat="1" applyFont="1" applyFill="1"/>
    <xf numFmtId="166" fontId="59" fillId="0" borderId="0" xfId="1" applyNumberFormat="1" applyFont="1" applyFill="1"/>
    <xf numFmtId="165" fontId="59" fillId="6" borderId="0" xfId="1" applyNumberFormat="1" applyFont="1" applyFill="1"/>
    <xf numFmtId="165" fontId="67" fillId="6" borderId="0" xfId="1" applyNumberFormat="1" applyFont="1" applyFill="1"/>
    <xf numFmtId="0" fontId="59" fillId="6" borderId="0" xfId="0" applyFont="1" applyFill="1" applyAlignment="1">
      <alignment horizontal="center"/>
    </xf>
    <xf numFmtId="9" fontId="59" fillId="6" borderId="0" xfId="0" applyNumberFormat="1" applyFont="1" applyFill="1"/>
    <xf numFmtId="167" fontId="59" fillId="6" borderId="0" xfId="2" applyNumberFormat="1" applyFont="1" applyFill="1"/>
    <xf numFmtId="0" fontId="73" fillId="0" borderId="0" xfId="0" applyFont="1" applyAlignment="1">
      <alignment horizontal="center"/>
    </xf>
    <xf numFmtId="0" fontId="80" fillId="0" borderId="0" xfId="0" applyFont="1" applyAlignment="1">
      <alignment horizontal="left"/>
    </xf>
    <xf numFmtId="0" fontId="59" fillId="39" borderId="0" xfId="0" applyFont="1" applyFill="1"/>
    <xf numFmtId="0" fontId="56" fillId="39" borderId="0" xfId="0" applyFont="1" applyFill="1"/>
    <xf numFmtId="0" fontId="81" fillId="7" borderId="0" xfId="0" applyFont="1" applyFill="1" applyAlignment="1">
      <alignment horizontal="center"/>
    </xf>
    <xf numFmtId="0" fontId="51" fillId="7" borderId="0" xfId="0" applyFont="1" applyFill="1" applyAlignment="1">
      <alignment horizontal="center"/>
    </xf>
    <xf numFmtId="0" fontId="82" fillId="0" borderId="0" xfId="0" applyFont="1"/>
    <xf numFmtId="0" fontId="54" fillId="0" borderId="29" xfId="0" applyFont="1" applyBorder="1" applyAlignment="1">
      <alignment horizontal="center"/>
    </xf>
    <xf numFmtId="0" fontId="80" fillId="0" borderId="0" xfId="0" quotePrefix="1" applyFont="1" applyAlignment="1">
      <alignment horizontal="left"/>
    </xf>
    <xf numFmtId="9" fontId="59" fillId="2" borderId="31" xfId="47" applyFont="1" applyFill="1" applyBorder="1"/>
    <xf numFmtId="9" fontId="59" fillId="2" borderId="30" xfId="47" applyFont="1" applyFill="1" applyBorder="1"/>
    <xf numFmtId="171" fontId="76" fillId="0" borderId="0" xfId="0" applyNumberFormat="1" applyFont="1" applyAlignment="1">
      <alignment horizontal="left" vertical="center"/>
    </xf>
    <xf numFmtId="171" fontId="57" fillId="0" borderId="0" xfId="0" applyNumberFormat="1" applyFont="1" applyAlignment="1">
      <alignment horizontal="center" vertical="center"/>
    </xf>
    <xf numFmtId="9" fontId="66" fillId="6" borderId="0" xfId="47" applyFont="1" applyFill="1"/>
    <xf numFmtId="165" fontId="66" fillId="2" borderId="0" xfId="1" applyNumberFormat="1" applyFont="1" applyFill="1"/>
    <xf numFmtId="165" fontId="66" fillId="6" borderId="0" xfId="1" applyNumberFormat="1" applyFont="1" applyFill="1"/>
    <xf numFmtId="0" fontId="54" fillId="0" borderId="0" xfId="0" quotePrefix="1" applyFont="1"/>
    <xf numFmtId="0" fontId="64" fillId="7" borderId="0" xfId="0" applyFont="1" applyFill="1" applyAlignment="1">
      <alignment horizontal="right"/>
    </xf>
    <xf numFmtId="0" fontId="59" fillId="0" borderId="0" xfId="0" applyFont="1" applyAlignment="1">
      <alignment horizontal="left" indent="1"/>
    </xf>
    <xf numFmtId="0" fontId="67" fillId="0" borderId="0" xfId="0" applyFont="1" applyAlignment="1">
      <alignment horizontal="left" indent="1"/>
    </xf>
    <xf numFmtId="165" fontId="66" fillId="4" borderId="0" xfId="1" applyNumberFormat="1" applyFont="1" applyFill="1"/>
    <xf numFmtId="165" fontId="66" fillId="0" borderId="0" xfId="1" applyNumberFormat="1" applyFont="1" applyFill="1"/>
    <xf numFmtId="0" fontId="84" fillId="43" borderId="0" xfId="0" applyFont="1" applyFill="1" applyAlignment="1">
      <alignment vertical="center" wrapText="1"/>
    </xf>
    <xf numFmtId="0" fontId="85" fillId="43" borderId="0" xfId="0" applyFont="1" applyFill="1" applyAlignment="1">
      <alignment horizontal="left" vertical="center"/>
    </xf>
    <xf numFmtId="0" fontId="51" fillId="41" borderId="5" xfId="0" applyFont="1" applyFill="1" applyBorder="1"/>
    <xf numFmtId="0" fontId="51" fillId="41" borderId="0" xfId="0" applyFont="1" applyFill="1"/>
    <xf numFmtId="0" fontId="84" fillId="0" borderId="0" xfId="0" applyFont="1" applyAlignment="1">
      <alignment vertical="center" wrapText="1"/>
    </xf>
    <xf numFmtId="0" fontId="51" fillId="0" borderId="5" xfId="0" applyFont="1" applyBorder="1"/>
    <xf numFmtId="0" fontId="58" fillId="0" borderId="0" xfId="0" applyFont="1"/>
    <xf numFmtId="0" fontId="52" fillId="40" borderId="0" xfId="0" applyFont="1" applyFill="1" applyAlignment="1">
      <alignment horizontal="centerContinuous"/>
    </xf>
    <xf numFmtId="0" fontId="52" fillId="45" borderId="0" xfId="0" applyFont="1" applyFill="1" applyAlignment="1">
      <alignment horizontal="centerContinuous"/>
    </xf>
    <xf numFmtId="0" fontId="51" fillId="45" borderId="0" xfId="0" applyFont="1" applyFill="1" applyAlignment="1">
      <alignment horizontal="centerContinuous"/>
    </xf>
    <xf numFmtId="0" fontId="86" fillId="0" borderId="0" xfId="0" applyFont="1"/>
    <xf numFmtId="171" fontId="87" fillId="43" borderId="0" xfId="0" applyNumberFormat="1" applyFont="1" applyFill="1" applyAlignment="1">
      <alignment horizontal="center" vertical="center"/>
    </xf>
    <xf numFmtId="171" fontId="87" fillId="43" borderId="0" xfId="0" applyNumberFormat="1" applyFont="1" applyFill="1" applyAlignment="1">
      <alignment horizontal="center" vertical="center" wrapText="1"/>
    </xf>
    <xf numFmtId="171" fontId="51" fillId="0" borderId="0" xfId="0" applyNumberFormat="1" applyFont="1"/>
    <xf numFmtId="173" fontId="51" fillId="41" borderId="18" xfId="0" applyNumberFormat="1" applyFont="1" applyFill="1" applyBorder="1"/>
    <xf numFmtId="0" fontId="88" fillId="0" borderId="0" xfId="0" applyFont="1" applyAlignment="1">
      <alignment horizontal="left"/>
    </xf>
    <xf numFmtId="0" fontId="51" fillId="42" borderId="0" xfId="0" applyFont="1" applyFill="1"/>
    <xf numFmtId="0" fontId="51" fillId="0" borderId="0" xfId="0" applyFont="1" applyAlignment="1">
      <alignment horizontal="left" indent="3"/>
    </xf>
    <xf numFmtId="179" fontId="51" fillId="5" borderId="0" xfId="1" applyNumberFormat="1" applyFont="1" applyFill="1" applyBorder="1"/>
    <xf numFmtId="179" fontId="51" fillId="39" borderId="0" xfId="1" applyNumberFormat="1" applyFont="1" applyFill="1" applyBorder="1"/>
    <xf numFmtId="179" fontId="51" fillId="7" borderId="0" xfId="1" applyNumberFormat="1" applyFont="1" applyFill="1" applyBorder="1"/>
    <xf numFmtId="170" fontId="51" fillId="0" borderId="0" xfId="47" applyNumberFormat="1" applyFont="1" applyBorder="1" applyAlignment="1">
      <alignment horizontal="center"/>
    </xf>
    <xf numFmtId="9" fontId="51" fillId="4" borderId="40" xfId="0" applyNumberFormat="1" applyFont="1" applyFill="1" applyBorder="1" applyAlignment="1">
      <alignment horizontal="center"/>
    </xf>
    <xf numFmtId="9" fontId="51" fillId="4" borderId="41" xfId="0" applyNumberFormat="1" applyFont="1" applyFill="1" applyBorder="1" applyAlignment="1">
      <alignment horizontal="center"/>
    </xf>
    <xf numFmtId="179" fontId="51" fillId="50" borderId="0" xfId="1" applyNumberFormat="1" applyFont="1" applyFill="1" applyBorder="1"/>
    <xf numFmtId="179" fontId="51" fillId="51" borderId="0" xfId="1" applyNumberFormat="1" applyFont="1" applyFill="1" applyBorder="1"/>
    <xf numFmtId="0" fontId="81" fillId="0" borderId="0" xfId="0" applyFont="1" applyAlignment="1">
      <alignment horizontal="left" indent="2"/>
    </xf>
    <xf numFmtId="179" fontId="52" fillId="5" borderId="0" xfId="0" applyNumberFormat="1" applyFont="1" applyFill="1"/>
    <xf numFmtId="179" fontId="52" fillId="0" borderId="0" xfId="0" applyNumberFormat="1" applyFont="1"/>
    <xf numFmtId="179" fontId="52" fillId="7" borderId="0" xfId="0" applyNumberFormat="1" applyFont="1" applyFill="1"/>
    <xf numFmtId="170" fontId="52" fillId="0" borderId="0" xfId="47" applyNumberFormat="1" applyFont="1" applyBorder="1" applyAlignment="1">
      <alignment horizontal="center"/>
    </xf>
    <xf numFmtId="0" fontId="51" fillId="0" borderId="41" xfId="0" applyFont="1" applyBorder="1"/>
    <xf numFmtId="0" fontId="52" fillId="0" borderId="0" xfId="0" applyFont="1" applyAlignment="1">
      <alignment horizontal="left" indent="2"/>
    </xf>
    <xf numFmtId="177" fontId="52" fillId="0" borderId="0" xfId="0" applyNumberFormat="1" applyFont="1"/>
    <xf numFmtId="170" fontId="52" fillId="0" borderId="0" xfId="47" applyNumberFormat="1" applyFont="1" applyFill="1" applyBorder="1" applyAlignment="1">
      <alignment horizontal="center"/>
    </xf>
    <xf numFmtId="169" fontId="52" fillId="0" borderId="0" xfId="0" applyNumberFormat="1" applyFont="1"/>
    <xf numFmtId="179" fontId="52" fillId="50" borderId="0" xfId="0" applyNumberFormat="1" applyFont="1" applyFill="1"/>
    <xf numFmtId="177" fontId="52" fillId="7" borderId="0" xfId="0" applyNumberFormat="1" applyFont="1" applyFill="1"/>
    <xf numFmtId="179" fontId="52" fillId="51" borderId="0" xfId="0" applyNumberFormat="1" applyFont="1" applyFill="1"/>
    <xf numFmtId="177" fontId="51" fillId="7" borderId="0" xfId="1" applyNumberFormat="1" applyFont="1" applyFill="1" applyBorder="1"/>
    <xf numFmtId="179" fontId="51" fillId="7" borderId="0" xfId="0" applyNumberFormat="1" applyFont="1" applyFill="1"/>
    <xf numFmtId="0" fontId="51" fillId="0" borderId="0" xfId="0" applyFont="1" applyAlignment="1">
      <alignment horizontal="left" indent="4"/>
    </xf>
    <xf numFmtId="0" fontId="89" fillId="0" borderId="0" xfId="0" applyFont="1" applyAlignment="1">
      <alignment horizontal="left" indent="3"/>
    </xf>
    <xf numFmtId="0" fontId="51" fillId="0" borderId="0" xfId="0" applyFont="1" applyAlignment="1">
      <alignment horizontal="left" indent="2"/>
    </xf>
    <xf numFmtId="177" fontId="51" fillId="0" borderId="0" xfId="0" applyNumberFormat="1" applyFont="1"/>
    <xf numFmtId="177" fontId="51" fillId="0" borderId="0" xfId="1" applyNumberFormat="1" applyFont="1" applyFill="1" applyBorder="1"/>
    <xf numFmtId="170" fontId="51" fillId="0" borderId="0" xfId="47" applyNumberFormat="1" applyFont="1" applyFill="1" applyBorder="1" applyAlignment="1">
      <alignment horizontal="center"/>
    </xf>
    <xf numFmtId="169" fontId="51" fillId="0" borderId="0" xfId="1" applyNumberFormat="1" applyFont="1" applyFill="1" applyBorder="1"/>
    <xf numFmtId="169" fontId="51" fillId="0" borderId="0" xfId="0" applyNumberFormat="1" applyFont="1"/>
    <xf numFmtId="170" fontId="51" fillId="0" borderId="0" xfId="0" applyNumberFormat="1" applyFont="1" applyAlignment="1">
      <alignment horizontal="center"/>
    </xf>
    <xf numFmtId="179" fontId="52" fillId="0" borderId="0" xfId="1" applyNumberFormat="1" applyFont="1" applyFill="1" applyBorder="1"/>
    <xf numFmtId="0" fontId="52" fillId="0" borderId="42" xfId="0" applyFont="1" applyBorder="1"/>
    <xf numFmtId="0" fontId="52" fillId="41" borderId="5" xfId="0" applyFont="1" applyFill="1" applyBorder="1"/>
    <xf numFmtId="0" fontId="52" fillId="41" borderId="0" xfId="0" applyFont="1" applyFill="1"/>
    <xf numFmtId="169" fontId="52" fillId="0" borderId="0" xfId="1" applyNumberFormat="1" applyFont="1" applyFill="1" applyBorder="1"/>
    <xf numFmtId="0" fontId="52" fillId="0" borderId="5" xfId="0" applyFont="1" applyBorder="1"/>
    <xf numFmtId="179" fontId="51" fillId="54" borderId="0" xfId="1" applyNumberFormat="1" applyFont="1" applyFill="1" applyBorder="1"/>
    <xf numFmtId="169" fontId="51" fillId="45" borderId="0" xfId="1" applyNumberFormat="1" applyFont="1" applyFill="1" applyBorder="1"/>
    <xf numFmtId="0" fontId="52" fillId="45" borderId="0" xfId="0" applyFont="1" applyFill="1"/>
    <xf numFmtId="169" fontId="52" fillId="45" borderId="0" xfId="0" applyNumberFormat="1" applyFont="1" applyFill="1"/>
    <xf numFmtId="179" fontId="51" fillId="49" borderId="0" xfId="1" applyNumberFormat="1" applyFont="1" applyFill="1" applyBorder="1"/>
    <xf numFmtId="179" fontId="52" fillId="0" borderId="0" xfId="1" applyNumberFormat="1" applyFont="1" applyBorder="1"/>
    <xf numFmtId="169" fontId="52" fillId="45" borderId="0" xfId="1" applyNumberFormat="1" applyFont="1" applyFill="1" applyBorder="1"/>
    <xf numFmtId="179" fontId="52" fillId="44" borderId="0" xfId="1" applyNumberFormat="1" applyFont="1" applyFill="1" applyBorder="1"/>
    <xf numFmtId="179" fontId="52" fillId="44" borderId="0" xfId="0" applyNumberFormat="1" applyFont="1" applyFill="1"/>
    <xf numFmtId="0" fontId="88" fillId="0" borderId="19" xfId="0" applyFont="1" applyBorder="1" applyAlignment="1">
      <alignment horizontal="left" indent="2"/>
    </xf>
    <xf numFmtId="179" fontId="52" fillId="5" borderId="20" xfId="0" applyNumberFormat="1" applyFont="1" applyFill="1" applyBorder="1"/>
    <xf numFmtId="179" fontId="52" fillId="0" borderId="20" xfId="1" applyNumberFormat="1" applyFont="1" applyFill="1" applyBorder="1"/>
    <xf numFmtId="179" fontId="52" fillId="7" borderId="20" xfId="0" applyNumberFormat="1" applyFont="1" applyFill="1" applyBorder="1"/>
    <xf numFmtId="170" fontId="52" fillId="0" borderId="21" xfId="47" applyNumberFormat="1" applyFont="1" applyBorder="1" applyAlignment="1">
      <alignment horizontal="center"/>
    </xf>
    <xf numFmtId="179" fontId="52" fillId="0" borderId="19" xfId="1" applyNumberFormat="1" applyFont="1" applyFill="1" applyBorder="1"/>
    <xf numFmtId="172" fontId="52" fillId="0" borderId="0" xfId="47" applyNumberFormat="1" applyFont="1" applyFill="1" applyBorder="1" applyAlignment="1">
      <alignment horizontal="center"/>
    </xf>
    <xf numFmtId="172" fontId="51" fillId="0" borderId="0" xfId="47" applyNumberFormat="1" applyFont="1" applyFill="1" applyBorder="1" applyAlignment="1">
      <alignment horizontal="center"/>
    </xf>
    <xf numFmtId="179" fontId="51" fillId="39" borderId="0" xfId="0" applyNumberFormat="1" applyFont="1" applyFill="1"/>
    <xf numFmtId="179" fontId="51" fillId="50" borderId="0" xfId="0" applyNumberFormat="1" applyFont="1" applyFill="1"/>
    <xf numFmtId="179" fontId="51" fillId="51" borderId="0" xfId="0" applyNumberFormat="1" applyFont="1" applyFill="1"/>
    <xf numFmtId="0" fontId="52" fillId="0" borderId="0" xfId="0" applyFont="1" applyAlignment="1">
      <alignment horizontal="left" indent="3"/>
    </xf>
    <xf numFmtId="179" fontId="52" fillId="5" borderId="0" xfId="1" applyNumberFormat="1" applyFont="1" applyFill="1" applyBorder="1"/>
    <xf numFmtId="170" fontId="52" fillId="0" borderId="0" xfId="0" applyNumberFormat="1" applyFont="1"/>
    <xf numFmtId="170" fontId="51" fillId="0" borderId="0" xfId="0" applyNumberFormat="1" applyFont="1"/>
    <xf numFmtId="179" fontId="51" fillId="44" borderId="0" xfId="0" applyNumberFormat="1" applyFont="1" applyFill="1"/>
    <xf numFmtId="179" fontId="51" fillId="49" borderId="0" xfId="0" applyNumberFormat="1" applyFont="1" applyFill="1"/>
    <xf numFmtId="0" fontId="89" fillId="0" borderId="0" xfId="0" applyFont="1"/>
    <xf numFmtId="165" fontId="51" fillId="0" borderId="0" xfId="1" applyNumberFormat="1" applyFont="1" applyFill="1"/>
    <xf numFmtId="165" fontId="90" fillId="0" borderId="0" xfId="1" applyNumberFormat="1" applyFont="1" applyFill="1"/>
    <xf numFmtId="168" fontId="53" fillId="0" borderId="0" xfId="47" applyNumberFormat="1" applyFont="1" applyFill="1"/>
    <xf numFmtId="177" fontId="51" fillId="46" borderId="0" xfId="0" applyNumberFormat="1" applyFont="1" applyFill="1"/>
    <xf numFmtId="177" fontId="52" fillId="46" borderId="0" xfId="0" applyNumberFormat="1" applyFont="1" applyFill="1"/>
    <xf numFmtId="168" fontId="51" fillId="0" borderId="0" xfId="47" applyNumberFormat="1" applyFont="1"/>
    <xf numFmtId="9" fontId="51" fillId="0" borderId="0" xfId="0" applyNumberFormat="1" applyFont="1"/>
    <xf numFmtId="0" fontId="53" fillId="0" borderId="0" xfId="0" applyFont="1"/>
    <xf numFmtId="166" fontId="89" fillId="0" borderId="0" xfId="1" applyNumberFormat="1" applyFont="1" applyFill="1"/>
    <xf numFmtId="0" fontId="91" fillId="43" borderId="0" xfId="0" applyFont="1" applyFill="1" applyAlignment="1">
      <alignment vertical="center" wrapText="1"/>
    </xf>
    <xf numFmtId="0" fontId="92" fillId="0" borderId="0" xfId="0" applyFont="1"/>
    <xf numFmtId="171" fontId="91" fillId="43" borderId="0" xfId="0" applyNumberFormat="1" applyFont="1" applyFill="1" applyAlignment="1">
      <alignment horizontal="centerContinuous"/>
    </xf>
    <xf numFmtId="0" fontId="92" fillId="43" borderId="0" xfId="0" applyFont="1" applyFill="1" applyAlignment="1">
      <alignment horizontal="centerContinuous"/>
    </xf>
    <xf numFmtId="0" fontId="93" fillId="3" borderId="0" xfId="0" applyFont="1" applyFill="1"/>
    <xf numFmtId="9" fontId="94" fillId="39" borderId="0" xfId="47" applyFont="1" applyFill="1" applyAlignment="1">
      <alignment horizontal="center" vertical="center"/>
    </xf>
    <xf numFmtId="0" fontId="92" fillId="3" borderId="0" xfId="0" applyFont="1" applyFill="1"/>
    <xf numFmtId="0" fontId="88" fillId="0" borderId="0" xfId="0" applyFont="1"/>
    <xf numFmtId="178" fontId="88" fillId="0" borderId="0" xfId="1" applyNumberFormat="1" applyFont="1" applyBorder="1"/>
    <xf numFmtId="167" fontId="92" fillId="0" borderId="0" xfId="2" applyNumberFormat="1" applyFont="1"/>
    <xf numFmtId="9" fontId="92" fillId="0" borderId="0" xfId="0" applyNumberFormat="1" applyFont="1"/>
    <xf numFmtId="1" fontId="94" fillId="39" borderId="0" xfId="47" applyNumberFormat="1" applyFont="1" applyFill="1" applyAlignment="1">
      <alignment horizontal="center" vertical="center"/>
    </xf>
    <xf numFmtId="0" fontId="95" fillId="0" borderId="0" xfId="0" applyFont="1"/>
    <xf numFmtId="178" fontId="95" fillId="0" borderId="0" xfId="1" applyNumberFormat="1" applyFont="1" applyBorder="1"/>
    <xf numFmtId="0" fontId="92" fillId="3" borderId="1" xfId="0" applyFont="1" applyFill="1" applyBorder="1"/>
    <xf numFmtId="168" fontId="94" fillId="39" borderId="0" xfId="47" applyNumberFormat="1" applyFont="1" applyFill="1" applyAlignment="1">
      <alignment horizontal="center" vertical="center"/>
    </xf>
    <xf numFmtId="9" fontId="92" fillId="0" borderId="0" xfId="47" applyFont="1"/>
    <xf numFmtId="178" fontId="88" fillId="0" borderId="0" xfId="0" applyNumberFormat="1" applyFont="1"/>
    <xf numFmtId="165" fontId="92" fillId="0" borderId="0" xfId="1" applyNumberFormat="1" applyFont="1"/>
    <xf numFmtId="8" fontId="92" fillId="0" borderId="0" xfId="0" applyNumberFormat="1" applyFont="1"/>
    <xf numFmtId="172" fontId="92" fillId="3" borderId="0" xfId="47" applyNumberFormat="1" applyFont="1" applyFill="1" applyAlignment="1">
      <alignment horizontal="right"/>
    </xf>
    <xf numFmtId="171" fontId="91" fillId="43" borderId="0" xfId="0" applyNumberFormat="1" applyFont="1" applyFill="1" applyAlignment="1">
      <alignment horizontal="center"/>
    </xf>
    <xf numFmtId="0" fontId="96" fillId="0" borderId="0" xfId="0" applyFont="1"/>
    <xf numFmtId="0" fontId="95" fillId="4" borderId="0" xfId="0" applyFont="1" applyFill="1"/>
    <xf numFmtId="0" fontId="88" fillId="4" borderId="38" xfId="0" applyFont="1" applyFill="1" applyBorder="1"/>
    <xf numFmtId="0" fontId="97" fillId="0" borderId="0" xfId="0" applyFont="1"/>
    <xf numFmtId="0" fontId="95" fillId="3" borderId="0" xfId="0" applyFont="1" applyFill="1"/>
    <xf numFmtId="0" fontId="88" fillId="3" borderId="53" xfId="0" applyFont="1" applyFill="1" applyBorder="1"/>
    <xf numFmtId="0" fontId="98" fillId="0" borderId="0" xfId="0" applyFont="1"/>
    <xf numFmtId="0" fontId="95" fillId="0" borderId="3" xfId="0" applyFont="1" applyBorder="1"/>
    <xf numFmtId="0" fontId="95" fillId="0" borderId="7" xfId="0" applyFont="1" applyBorder="1"/>
    <xf numFmtId="9" fontId="92" fillId="0" borderId="1" xfId="47" applyFont="1" applyBorder="1"/>
    <xf numFmtId="9" fontId="92" fillId="0" borderId="67" xfId="47" applyFont="1" applyBorder="1"/>
    <xf numFmtId="178" fontId="92" fillId="0" borderId="0" xfId="0" applyNumberFormat="1" applyFont="1"/>
    <xf numFmtId="0" fontId="88" fillId="3" borderId="0" xfId="0" applyFont="1" applyFill="1"/>
    <xf numFmtId="0" fontId="95" fillId="3" borderId="1" xfId="0" applyFont="1" applyFill="1" applyBorder="1"/>
    <xf numFmtId="168" fontId="66" fillId="50" borderId="0" xfId="47" applyNumberFormat="1" applyFont="1" applyFill="1" applyBorder="1" applyAlignment="1">
      <alignment horizontal="right"/>
    </xf>
    <xf numFmtId="9" fontId="66" fillId="4" borderId="0" xfId="47" applyFont="1" applyFill="1"/>
    <xf numFmtId="44" fontId="59" fillId="49" borderId="0" xfId="0" applyNumberFormat="1" applyFont="1" applyFill="1" applyAlignment="1">
      <alignment horizontal="center"/>
    </xf>
    <xf numFmtId="43" fontId="59" fillId="49" borderId="1" xfId="1" applyFont="1" applyFill="1" applyBorder="1" applyAlignment="1">
      <alignment horizontal="center"/>
    </xf>
    <xf numFmtId="43" fontId="59" fillId="49" borderId="0" xfId="1" applyFont="1" applyFill="1" applyBorder="1" applyAlignment="1">
      <alignment horizontal="center"/>
    </xf>
    <xf numFmtId="9" fontId="59" fillId="49" borderId="0" xfId="47" applyFont="1" applyFill="1" applyBorder="1"/>
    <xf numFmtId="165" fontId="59" fillId="0" borderId="0" xfId="1" applyNumberFormat="1" applyFont="1" applyBorder="1"/>
    <xf numFmtId="165" fontId="54" fillId="0" borderId="0" xfId="1" applyNumberFormat="1" applyFont="1" applyFill="1" applyBorder="1"/>
    <xf numFmtId="165" fontId="51" fillId="0" borderId="0" xfId="1" applyNumberFormat="1" applyFont="1" applyAlignment="1">
      <alignment horizontal="center"/>
    </xf>
    <xf numFmtId="165" fontId="99" fillId="0" borderId="0" xfId="1" applyNumberFormat="1" applyFont="1" applyAlignment="1">
      <alignment horizontal="left"/>
    </xf>
    <xf numFmtId="0" fontId="100" fillId="0" borderId="0" xfId="0" applyFont="1"/>
    <xf numFmtId="168" fontId="51" fillId="44" borderId="0" xfId="47" applyNumberFormat="1" applyFont="1" applyFill="1"/>
    <xf numFmtId="0" fontId="100" fillId="43" borderId="0" xfId="0" applyFont="1" applyFill="1" applyAlignment="1">
      <alignment horizontal="center"/>
    </xf>
    <xf numFmtId="0" fontId="100" fillId="43" borderId="26" xfId="0" applyFont="1" applyFill="1" applyBorder="1" applyAlignment="1">
      <alignment horizontal="center"/>
    </xf>
    <xf numFmtId="0" fontId="101" fillId="44" borderId="0" xfId="0" applyFont="1" applyFill="1" applyAlignment="1">
      <alignment vertical="center"/>
    </xf>
    <xf numFmtId="165" fontId="53" fillId="44" borderId="0" xfId="1" applyNumberFormat="1" applyFont="1" applyFill="1"/>
    <xf numFmtId="165" fontId="53" fillId="44" borderId="26" xfId="1" applyNumberFormat="1" applyFont="1" applyFill="1" applyBorder="1"/>
    <xf numFmtId="0" fontId="51" fillId="44" borderId="0" xfId="0" applyFont="1" applyFill="1" applyAlignment="1">
      <alignment vertical="center"/>
    </xf>
    <xf numFmtId="0" fontId="51" fillId="44" borderId="0" xfId="0" applyFont="1" applyFill="1" applyAlignment="1">
      <alignment horizontal="left" vertical="center" indent="1"/>
    </xf>
    <xf numFmtId="165" fontId="100" fillId="44" borderId="0" xfId="1" applyNumberFormat="1" applyFont="1" applyFill="1"/>
    <xf numFmtId="165" fontId="100" fillId="44" borderId="26" xfId="1" applyNumberFormat="1" applyFont="1" applyFill="1" applyBorder="1"/>
    <xf numFmtId="0" fontId="51" fillId="0" borderId="0" xfId="0" applyFont="1" applyAlignment="1">
      <alignment horizontal="left" vertical="center" indent="1"/>
    </xf>
    <xf numFmtId="165" fontId="53" fillId="0" borderId="0" xfId="1" applyNumberFormat="1" applyFont="1"/>
    <xf numFmtId="165" fontId="53" fillId="0" borderId="26" xfId="1" applyNumberFormat="1" applyFont="1" applyBorder="1"/>
    <xf numFmtId="0" fontId="51" fillId="0" borderId="0" xfId="0" applyFont="1" applyAlignment="1">
      <alignment vertical="center"/>
    </xf>
    <xf numFmtId="165" fontId="100" fillId="0" borderId="0" xfId="1" applyNumberFormat="1" applyFont="1"/>
    <xf numFmtId="165" fontId="100" fillId="0" borderId="26" xfId="1" applyNumberFormat="1" applyFont="1" applyBorder="1"/>
    <xf numFmtId="0" fontId="51" fillId="58" borderId="0" xfId="0" applyFont="1" applyFill="1" applyAlignment="1">
      <alignment vertical="center"/>
    </xf>
    <xf numFmtId="165" fontId="53" fillId="58" borderId="0" xfId="1" applyNumberFormat="1" applyFont="1" applyFill="1"/>
    <xf numFmtId="165" fontId="53" fillId="58" borderId="26" xfId="1" applyNumberFormat="1" applyFont="1" applyFill="1" applyBorder="1"/>
    <xf numFmtId="165" fontId="53" fillId="58" borderId="55" xfId="1" applyNumberFormat="1" applyFont="1" applyFill="1" applyBorder="1"/>
    <xf numFmtId="0" fontId="51" fillId="44" borderId="0" xfId="0" applyFont="1" applyFill="1" applyAlignment="1">
      <alignment horizontal="left" vertical="center" indent="6"/>
    </xf>
    <xf numFmtId="165" fontId="102" fillId="44" borderId="0" xfId="1" applyNumberFormat="1" applyFont="1" applyFill="1"/>
    <xf numFmtId="165" fontId="102" fillId="44" borderId="26" xfId="1" applyNumberFormat="1" applyFont="1" applyFill="1" applyBorder="1"/>
    <xf numFmtId="165" fontId="102" fillId="0" borderId="0" xfId="1" applyNumberFormat="1" applyFont="1"/>
    <xf numFmtId="165" fontId="102" fillId="0" borderId="26" xfId="1" applyNumberFormat="1" applyFont="1" applyBorder="1"/>
    <xf numFmtId="0" fontId="51" fillId="44" borderId="0" xfId="0" applyFont="1" applyFill="1"/>
    <xf numFmtId="167" fontId="100" fillId="44" borderId="0" xfId="2" applyNumberFormat="1" applyFont="1" applyFill="1"/>
    <xf numFmtId="9" fontId="53" fillId="44" borderId="55" xfId="47" applyFont="1" applyFill="1" applyBorder="1"/>
    <xf numFmtId="0" fontId="53" fillId="44" borderId="0" xfId="0" applyFont="1" applyFill="1"/>
    <xf numFmtId="166" fontId="53" fillId="44" borderId="55" xfId="0" applyNumberFormat="1" applyFont="1" applyFill="1" applyBorder="1"/>
    <xf numFmtId="0" fontId="99" fillId="0" borderId="0" xfId="0" applyFont="1"/>
    <xf numFmtId="0" fontId="51" fillId="0" borderId="1" xfId="0" applyFont="1" applyBorder="1"/>
    <xf numFmtId="167" fontId="51" fillId="0" borderId="0" xfId="2" applyNumberFormat="1" applyFont="1"/>
    <xf numFmtId="167" fontId="100" fillId="0" borderId="0" xfId="0" applyNumberFormat="1" applyFont="1"/>
    <xf numFmtId="0" fontId="101" fillId="0" borderId="0" xfId="0" applyFont="1"/>
    <xf numFmtId="167" fontId="51" fillId="0" borderId="26" xfId="2" applyNumberFormat="1" applyFont="1" applyBorder="1"/>
    <xf numFmtId="166" fontId="51" fillId="0" borderId="0" xfId="1" applyNumberFormat="1" applyFont="1"/>
    <xf numFmtId="0" fontId="51" fillId="2" borderId="0" xfId="0" applyFont="1" applyFill="1" applyAlignment="1">
      <alignment horizontal="center"/>
    </xf>
    <xf numFmtId="0" fontId="51" fillId="44" borderId="57" xfId="0" applyFont="1" applyFill="1" applyBorder="1" applyAlignment="1">
      <alignment horizontal="center"/>
    </xf>
    <xf numFmtId="0" fontId="51" fillId="0" borderId="57" xfId="0" applyFont="1" applyBorder="1" applyAlignment="1">
      <alignment horizontal="center"/>
    </xf>
    <xf numFmtId="0" fontId="52" fillId="2" borderId="0" xfId="0" applyFont="1" applyFill="1" applyAlignment="1">
      <alignment horizontal="center"/>
    </xf>
    <xf numFmtId="0" fontId="51" fillId="44" borderId="58" xfId="0" applyFont="1" applyFill="1" applyBorder="1" applyAlignment="1">
      <alignment horizontal="center"/>
    </xf>
    <xf numFmtId="0" fontId="51" fillId="0" borderId="58" xfId="0" applyFont="1" applyBorder="1" applyAlignment="1">
      <alignment horizontal="center"/>
    </xf>
    <xf numFmtId="0" fontId="52" fillId="0" borderId="0" xfId="0" applyFont="1" applyAlignment="1">
      <alignment horizontal="left"/>
    </xf>
    <xf numFmtId="0" fontId="51" fillId="0" borderId="0" xfId="0" applyFont="1" applyAlignment="1">
      <alignment horizontal="right" indent="2"/>
    </xf>
    <xf numFmtId="165" fontId="51" fillId="2" borderId="58" xfId="1" applyNumberFormat="1" applyFont="1" applyFill="1" applyBorder="1"/>
    <xf numFmtId="165" fontId="51" fillId="2" borderId="0" xfId="1" applyNumberFormat="1" applyFont="1" applyFill="1"/>
    <xf numFmtId="165" fontId="51" fillId="44" borderId="58" xfId="1" applyNumberFormat="1" applyFont="1" applyFill="1" applyBorder="1"/>
    <xf numFmtId="165" fontId="51" fillId="0" borderId="58" xfId="1" applyNumberFormat="1" applyFont="1" applyFill="1" applyBorder="1"/>
    <xf numFmtId="0" fontId="81" fillId="0" borderId="45" xfId="0" applyFont="1" applyBorder="1" applyAlignment="1">
      <alignment horizontal="left" indent="2"/>
    </xf>
    <xf numFmtId="165" fontId="52" fillId="44" borderId="59" xfId="1" applyNumberFormat="1" applyFont="1" applyFill="1" applyBorder="1"/>
    <xf numFmtId="0" fontId="52" fillId="0" borderId="48" xfId="0" applyFont="1" applyBorder="1"/>
    <xf numFmtId="9" fontId="52" fillId="0" borderId="48" xfId="47" applyFont="1" applyBorder="1" applyAlignment="1">
      <alignment horizontal="left"/>
    </xf>
    <xf numFmtId="165" fontId="52" fillId="44" borderId="58" xfId="1" applyNumberFormat="1" applyFont="1" applyFill="1" applyBorder="1"/>
    <xf numFmtId="9" fontId="52" fillId="0" borderId="0" xfId="47" applyFont="1" applyBorder="1" applyAlignment="1">
      <alignment horizontal="left"/>
    </xf>
    <xf numFmtId="9" fontId="51" fillId="0" borderId="0" xfId="47" applyFont="1" applyAlignment="1">
      <alignment horizontal="left"/>
    </xf>
    <xf numFmtId="165" fontId="52" fillId="0" borderId="58" xfId="1" applyNumberFormat="1" applyFont="1" applyFill="1" applyBorder="1"/>
    <xf numFmtId="9" fontId="51" fillId="0" borderId="0" xfId="47" applyFont="1" applyFill="1" applyAlignment="1">
      <alignment horizontal="left"/>
    </xf>
    <xf numFmtId="0" fontId="53" fillId="0" borderId="0" xfId="0" applyFont="1" applyAlignment="1">
      <alignment horizontal="left" indent="2"/>
    </xf>
    <xf numFmtId="0" fontId="81" fillId="0" borderId="60" xfId="0" applyFont="1" applyBorder="1" applyAlignment="1">
      <alignment horizontal="left"/>
    </xf>
    <xf numFmtId="165" fontId="52" fillId="44" borderId="61" xfId="1" applyNumberFormat="1" applyFont="1" applyFill="1" applyBorder="1"/>
    <xf numFmtId="0" fontId="52" fillId="0" borderId="62" xfId="0" applyFont="1" applyBorder="1"/>
    <xf numFmtId="9" fontId="52" fillId="0" borderId="62" xfId="47" applyFont="1" applyBorder="1" applyAlignment="1">
      <alignment horizontal="left"/>
    </xf>
    <xf numFmtId="0" fontId="103" fillId="0" borderId="0" xfId="0" applyFont="1" applyAlignment="1">
      <alignment horizontal="left"/>
    </xf>
    <xf numFmtId="165" fontId="104" fillId="0" borderId="0" xfId="1" applyNumberFormat="1" applyFont="1" applyAlignment="1">
      <alignment horizontal="left" indent="2"/>
    </xf>
    <xf numFmtId="165" fontId="51" fillId="0" borderId="0" xfId="1" applyNumberFormat="1" applyFont="1" applyAlignment="1">
      <alignment horizontal="left" indent="2"/>
    </xf>
    <xf numFmtId="9" fontId="103" fillId="0" borderId="0" xfId="47" applyFont="1" applyAlignment="1">
      <alignment horizontal="left" indent="2"/>
    </xf>
    <xf numFmtId="43" fontId="52" fillId="0" borderId="0" xfId="0" applyNumberFormat="1" applyFont="1" applyAlignment="1">
      <alignment horizontal="left" indent="2"/>
    </xf>
    <xf numFmtId="0" fontId="51" fillId="7" borderId="0" xfId="0" applyFont="1" applyFill="1"/>
    <xf numFmtId="165" fontId="51" fillId="7" borderId="0" xfId="1" applyNumberFormat="1" applyFont="1" applyFill="1" applyAlignment="1">
      <alignment horizontal="center"/>
    </xf>
    <xf numFmtId="165" fontId="51" fillId="53" borderId="0" xfId="1" applyNumberFormat="1" applyFont="1" applyFill="1" applyAlignment="1">
      <alignment horizontal="center"/>
    </xf>
    <xf numFmtId="165" fontId="51" fillId="0" borderId="0" xfId="1" applyNumberFormat="1" applyFont="1"/>
    <xf numFmtId="165" fontId="51" fillId="53" borderId="2" xfId="1" applyNumberFormat="1" applyFont="1" applyFill="1" applyBorder="1" applyAlignment="1">
      <alignment horizontal="center"/>
    </xf>
    <xf numFmtId="165" fontId="51" fillId="0" borderId="0" xfId="1" applyNumberFormat="1" applyFont="1" applyBorder="1" applyAlignment="1">
      <alignment horizontal="center"/>
    </xf>
    <xf numFmtId="167" fontId="51" fillId="0" borderId="0" xfId="2" applyNumberFormat="1" applyFont="1" applyAlignment="1">
      <alignment horizontal="center"/>
    </xf>
    <xf numFmtId="167" fontId="51" fillId="7" borderId="0" xfId="2" applyNumberFormat="1" applyFont="1" applyFill="1" applyAlignment="1">
      <alignment horizontal="center"/>
    </xf>
    <xf numFmtId="165" fontId="51" fillId="7" borderId="0" xfId="1" applyNumberFormat="1" applyFont="1" applyFill="1" applyBorder="1" applyAlignment="1">
      <alignment horizontal="center"/>
    </xf>
    <xf numFmtId="167" fontId="51" fillId="0" borderId="0" xfId="2" applyNumberFormat="1" applyFont="1" applyBorder="1" applyAlignment="1">
      <alignment horizontal="center"/>
    </xf>
    <xf numFmtId="0" fontId="51" fillId="7" borderId="43" xfId="0" applyFont="1" applyFill="1" applyBorder="1"/>
    <xf numFmtId="165" fontId="51" fillId="7" borderId="44" xfId="1" applyNumberFormat="1" applyFont="1" applyFill="1" applyBorder="1" applyAlignment="1">
      <alignment horizontal="center"/>
    </xf>
    <xf numFmtId="165" fontId="51" fillId="0" borderId="56" xfId="1" applyNumberFormat="1" applyFont="1" applyBorder="1" applyAlignment="1">
      <alignment horizontal="center"/>
    </xf>
    <xf numFmtId="44" fontId="51" fillId="0" borderId="0" xfId="0" applyNumberFormat="1" applyFont="1"/>
    <xf numFmtId="166" fontId="51" fillId="0" borderId="0" xfId="0" applyNumberFormat="1" applyFont="1"/>
    <xf numFmtId="0" fontId="51" fillId="0" borderId="0" xfId="0" applyFont="1" applyAlignment="1">
      <alignment horizontal="center"/>
    </xf>
    <xf numFmtId="0" fontId="105" fillId="0" borderId="0" xfId="0" applyFont="1"/>
    <xf numFmtId="165" fontId="99" fillId="0" borderId="0" xfId="1" applyNumberFormat="1" applyFont="1" applyAlignment="1">
      <alignment horizontal="right"/>
    </xf>
    <xf numFmtId="168" fontId="99" fillId="4" borderId="0" xfId="47" applyNumberFormat="1" applyFont="1" applyFill="1"/>
    <xf numFmtId="168" fontId="99" fillId="0" borderId="0" xfId="47" applyNumberFormat="1" applyFont="1" applyFill="1"/>
    <xf numFmtId="168" fontId="99" fillId="0" borderId="0" xfId="47" applyNumberFormat="1" applyFont="1"/>
    <xf numFmtId="171" fontId="87" fillId="55" borderId="49" xfId="0" applyNumberFormat="1" applyFont="1" applyFill="1" applyBorder="1" applyAlignment="1">
      <alignment horizontal="center" vertical="center"/>
    </xf>
    <xf numFmtId="165" fontId="51" fillId="0" borderId="49" xfId="1" applyNumberFormat="1" applyFont="1" applyBorder="1"/>
    <xf numFmtId="165" fontId="51" fillId="0" borderId="1" xfId="1" applyNumberFormat="1" applyFont="1" applyBorder="1"/>
    <xf numFmtId="165" fontId="51" fillId="0" borderId="52" xfId="1" applyNumberFormat="1" applyFont="1" applyBorder="1"/>
    <xf numFmtId="165" fontId="52" fillId="0" borderId="50" xfId="1" applyNumberFormat="1" applyFont="1" applyBorder="1"/>
    <xf numFmtId="0" fontId="106" fillId="0" borderId="0" xfId="0" applyFont="1"/>
    <xf numFmtId="165" fontId="51" fillId="0" borderId="50" xfId="1" applyNumberFormat="1" applyFont="1" applyBorder="1"/>
    <xf numFmtId="0" fontId="52" fillId="0" borderId="1" xfId="0" applyFont="1" applyBorder="1"/>
    <xf numFmtId="165" fontId="52" fillId="0" borderId="0" xfId="1" applyNumberFormat="1" applyFont="1"/>
    <xf numFmtId="0" fontId="107" fillId="0" borderId="0" xfId="0" applyFont="1"/>
    <xf numFmtId="0" fontId="52" fillId="0" borderId="47" xfId="0" applyFont="1" applyBorder="1"/>
    <xf numFmtId="165" fontId="52" fillId="0" borderId="47" xfId="1" applyNumberFormat="1" applyFont="1" applyBorder="1"/>
    <xf numFmtId="165" fontId="52" fillId="3" borderId="51" xfId="1" applyNumberFormat="1" applyFont="1" applyFill="1" applyBorder="1"/>
    <xf numFmtId="0" fontId="51" fillId="0" borderId="47" xfId="0" applyFont="1" applyBorder="1"/>
    <xf numFmtId="165" fontId="51" fillId="0" borderId="47" xfId="1" applyNumberFormat="1" applyFont="1" applyBorder="1"/>
    <xf numFmtId="165" fontId="52" fillId="56" borderId="51" xfId="1" applyNumberFormat="1" applyFont="1" applyFill="1" applyBorder="1"/>
    <xf numFmtId="165" fontId="52" fillId="57" borderId="18" xfId="1" applyNumberFormat="1" applyFont="1" applyFill="1" applyBorder="1"/>
    <xf numFmtId="43" fontId="66" fillId="50" borderId="0" xfId="1" applyFont="1" applyFill="1" applyBorder="1"/>
    <xf numFmtId="43" fontId="66" fillId="4" borderId="0" xfId="1" applyFont="1" applyFill="1" applyBorder="1"/>
    <xf numFmtId="3" fontId="108" fillId="0" borderId="0" xfId="1" applyNumberFormat="1" applyFont="1" applyAlignment="1">
      <alignment horizontal="center"/>
    </xf>
    <xf numFmtId="3" fontId="51" fillId="0" borderId="0" xfId="1" applyNumberFormat="1" applyFont="1" applyAlignment="1">
      <alignment horizontal="center"/>
    </xf>
    <xf numFmtId="0" fontId="52" fillId="7" borderId="0" xfId="0" applyFont="1" applyFill="1"/>
    <xf numFmtId="0" fontId="51" fillId="53" borderId="0" xfId="0" applyFont="1" applyFill="1" applyAlignment="1">
      <alignment horizontal="center"/>
    </xf>
    <xf numFmtId="4" fontId="51" fillId="0" borderId="0" xfId="1" applyNumberFormat="1" applyFont="1" applyAlignment="1">
      <alignment horizontal="center"/>
    </xf>
    <xf numFmtId="185" fontId="51" fillId="0" borderId="0" xfId="1" applyNumberFormat="1" applyFont="1" applyAlignment="1">
      <alignment horizontal="center"/>
    </xf>
    <xf numFmtId="183" fontId="51" fillId="0" borderId="0" xfId="2" applyNumberFormat="1" applyFont="1" applyAlignment="1">
      <alignment horizontal="center"/>
    </xf>
    <xf numFmtId="185" fontId="53" fillId="0" borderId="0" xfId="1" applyNumberFormat="1" applyFont="1" applyAlignment="1">
      <alignment horizontal="center"/>
    </xf>
    <xf numFmtId="183" fontId="51" fillId="0" borderId="0" xfId="0" applyNumberFormat="1" applyFont="1"/>
    <xf numFmtId="0" fontId="51" fillId="4" borderId="0" xfId="0" applyFont="1" applyFill="1"/>
    <xf numFmtId="0" fontId="51" fillId="0" borderId="0" xfId="0" applyFont="1" applyAlignment="1">
      <alignment horizontal="right"/>
    </xf>
    <xf numFmtId="0" fontId="110" fillId="53" borderId="0" xfId="0" applyFont="1" applyFill="1" applyAlignment="1">
      <alignment horizontal="center"/>
    </xf>
    <xf numFmtId="0" fontId="110" fillId="53" borderId="0" xfId="0" applyFont="1" applyFill="1"/>
    <xf numFmtId="3" fontId="110" fillId="53" borderId="0" xfId="1" applyNumberFormat="1" applyFont="1" applyFill="1" applyAlignment="1">
      <alignment horizontal="center"/>
    </xf>
    <xf numFmtId="0" fontId="51" fillId="0" borderId="0" xfId="0" quotePrefix="1" applyFont="1"/>
    <xf numFmtId="0" fontId="52" fillId="7" borderId="45" xfId="0" applyFont="1" applyFill="1" applyBorder="1"/>
    <xf numFmtId="0" fontId="52" fillId="7" borderId="48" xfId="0" applyFont="1" applyFill="1" applyBorder="1"/>
    <xf numFmtId="3" fontId="52" fillId="7" borderId="48" xfId="1" applyNumberFormat="1" applyFont="1" applyFill="1" applyBorder="1" applyAlignment="1">
      <alignment horizontal="center"/>
    </xf>
    <xf numFmtId="4" fontId="52" fillId="7" borderId="48" xfId="1" applyNumberFormat="1" applyFont="1" applyFill="1" applyBorder="1" applyAlignment="1">
      <alignment horizontal="center"/>
    </xf>
    <xf numFmtId="185" fontId="52" fillId="53" borderId="48" xfId="1" applyNumberFormat="1" applyFont="1" applyFill="1" applyBorder="1" applyAlignment="1">
      <alignment horizontal="center"/>
    </xf>
    <xf numFmtId="183" fontId="52" fillId="53" borderId="48" xfId="2" applyNumberFormat="1" applyFont="1" applyFill="1" applyBorder="1" applyAlignment="1">
      <alignment horizontal="center"/>
    </xf>
    <xf numFmtId="3" fontId="52" fillId="53" borderId="46" xfId="1" applyNumberFormat="1" applyFont="1" applyFill="1" applyBorder="1" applyAlignment="1">
      <alignment horizontal="center"/>
    </xf>
    <xf numFmtId="165" fontId="66" fillId="4" borderId="0" xfId="1" applyNumberFormat="1" applyFont="1" applyFill="1" applyAlignment="1">
      <alignment horizontal="center"/>
    </xf>
    <xf numFmtId="9" fontId="105" fillId="0" borderId="48" xfId="47" applyFont="1" applyBorder="1" applyAlignment="1">
      <alignment horizontal="left"/>
    </xf>
    <xf numFmtId="9" fontId="105" fillId="0" borderId="0" xfId="47" applyFont="1" applyBorder="1" applyAlignment="1">
      <alignment horizontal="left"/>
    </xf>
    <xf numFmtId="9" fontId="99" fillId="0" borderId="0" xfId="47" applyFont="1" applyAlignment="1">
      <alignment horizontal="left"/>
    </xf>
    <xf numFmtId="9" fontId="99" fillId="0" borderId="0" xfId="47" applyFont="1" applyFill="1" applyAlignment="1">
      <alignment horizontal="left"/>
    </xf>
    <xf numFmtId="9" fontId="105" fillId="0" borderId="62" xfId="47" applyFont="1" applyBorder="1" applyAlignment="1">
      <alignment horizontal="left"/>
    </xf>
    <xf numFmtId="9" fontId="105" fillId="0" borderId="46" xfId="47" applyFont="1" applyBorder="1" applyAlignment="1">
      <alignment horizontal="left"/>
    </xf>
    <xf numFmtId="9" fontId="105" fillId="0" borderId="63" xfId="47" applyFont="1" applyBorder="1" applyAlignment="1">
      <alignment horizontal="left"/>
    </xf>
    <xf numFmtId="171" fontId="100" fillId="43" borderId="0" xfId="0" applyNumberFormat="1" applyFont="1" applyFill="1" applyAlignment="1">
      <alignment horizontal="center"/>
    </xf>
    <xf numFmtId="0" fontId="51" fillId="0" borderId="0" xfId="0" applyFont="1" applyAlignment="1">
      <alignment horizontal="left" vertical="center"/>
    </xf>
    <xf numFmtId="0" fontId="51" fillId="0" borderId="0" xfId="0" applyFont="1" applyAlignment="1">
      <alignment horizontal="center" vertical="center"/>
    </xf>
    <xf numFmtId="0" fontId="51" fillId="0" borderId="0" xfId="0" applyFont="1" applyAlignment="1">
      <alignment horizontal="left"/>
    </xf>
    <xf numFmtId="9" fontId="111" fillId="0" borderId="0" xfId="0" applyNumberFormat="1" applyFont="1" applyAlignment="1">
      <alignment horizontal="center" vertical="center"/>
    </xf>
    <xf numFmtId="0" fontId="59" fillId="0" borderId="0" xfId="0" applyFont="1" applyAlignment="1">
      <alignment horizontal="center" vertical="center" wrapText="1"/>
    </xf>
    <xf numFmtId="182" fontId="111" fillId="0" borderId="0" xfId="1" applyNumberFormat="1" applyFont="1" applyBorder="1" applyAlignment="1">
      <alignment horizontal="center" vertical="center"/>
    </xf>
    <xf numFmtId="9" fontId="111" fillId="3" borderId="0" xfId="0" applyNumberFormat="1" applyFont="1" applyFill="1" applyAlignment="1">
      <alignment horizontal="center" vertical="center"/>
    </xf>
    <xf numFmtId="182" fontId="111" fillId="3" borderId="0" xfId="1" applyNumberFormat="1" applyFont="1" applyFill="1" applyBorder="1" applyAlignment="1">
      <alignment horizontal="center" vertical="center"/>
    </xf>
    <xf numFmtId="0" fontId="112" fillId="0" borderId="0" xfId="0" applyFont="1" applyAlignment="1">
      <alignment horizontal="left" vertical="center"/>
    </xf>
    <xf numFmtId="0" fontId="53" fillId="0" borderId="0" xfId="0" applyFont="1" applyAlignment="1">
      <alignment horizontal="left" vertical="center"/>
    </xf>
    <xf numFmtId="0" fontId="112" fillId="0" borderId="0" xfId="0" applyFont="1" applyAlignment="1">
      <alignment horizontal="left" vertical="top"/>
    </xf>
    <xf numFmtId="0" fontId="51" fillId="0" borderId="0" xfId="0" applyFont="1" applyAlignment="1">
      <alignment horizontal="center" vertical="top"/>
    </xf>
    <xf numFmtId="0" fontId="51" fillId="0" borderId="0" xfId="0" applyFont="1" applyAlignment="1">
      <alignment vertical="top"/>
    </xf>
    <xf numFmtId="0" fontId="116" fillId="0" borderId="0" xfId="0" applyFont="1"/>
    <xf numFmtId="0" fontId="53" fillId="0" borderId="0" xfId="0" applyFont="1" applyAlignment="1">
      <alignment horizontal="left" vertical="center" readingOrder="1"/>
    </xf>
    <xf numFmtId="0" fontId="51" fillId="0" borderId="18" xfId="0" applyFont="1" applyBorder="1"/>
    <xf numFmtId="0" fontId="87" fillId="47" borderId="49" xfId="0" applyFont="1" applyFill="1" applyBorder="1" applyAlignment="1">
      <alignment horizontal="center" vertical="center"/>
    </xf>
    <xf numFmtId="0" fontId="87" fillId="47" borderId="3" xfId="0" applyFont="1" applyFill="1" applyBorder="1" applyAlignment="1">
      <alignment horizontal="center" vertical="center"/>
    </xf>
    <xf numFmtId="3" fontId="51" fillId="0" borderId="0" xfId="1" applyNumberFormat="1" applyFont="1" applyBorder="1" applyAlignment="1">
      <alignment horizontal="center" vertical="center"/>
    </xf>
    <xf numFmtId="3" fontId="51" fillId="0" borderId="0" xfId="1" applyNumberFormat="1" applyFont="1" applyFill="1" applyBorder="1" applyAlignment="1">
      <alignment horizontal="center" vertical="center"/>
    </xf>
    <xf numFmtId="3" fontId="51" fillId="0" borderId="0" xfId="0" applyNumberFormat="1" applyFont="1" applyAlignment="1">
      <alignment horizontal="center" vertical="center"/>
    </xf>
    <xf numFmtId="0" fontId="52" fillId="0" borderId="0" xfId="0" applyFont="1" applyAlignment="1">
      <alignment horizontal="center" vertical="center"/>
    </xf>
    <xf numFmtId="3" fontId="52" fillId="0" borderId="0" xfId="0" applyNumberFormat="1" applyFont="1" applyAlignment="1">
      <alignment horizontal="center" vertical="center"/>
    </xf>
    <xf numFmtId="187" fontId="51" fillId="0" borderId="0" xfId="0" applyNumberFormat="1" applyFont="1" applyAlignment="1">
      <alignment horizontal="center" vertical="center"/>
    </xf>
    <xf numFmtId="168" fontId="51" fillId="0" borderId="0" xfId="47" applyNumberFormat="1" applyFont="1" applyAlignment="1">
      <alignment horizontal="center" vertical="center"/>
    </xf>
    <xf numFmtId="4" fontId="51" fillId="0" borderId="0" xfId="0" applyNumberFormat="1" applyFont="1" applyAlignment="1">
      <alignment horizontal="center" vertical="center"/>
    </xf>
    <xf numFmtId="3" fontId="51" fillId="0" borderId="0" xfId="1" applyNumberFormat="1" applyFont="1" applyAlignment="1">
      <alignment horizontal="center" vertical="center"/>
    </xf>
    <xf numFmtId="0" fontId="51" fillId="0" borderId="82" xfId="0" applyFont="1" applyBorder="1" applyAlignment="1">
      <alignment horizontal="center" vertical="center"/>
    </xf>
    <xf numFmtId="9" fontId="51" fillId="0" borderId="0" xfId="0" applyNumberFormat="1" applyFont="1" applyAlignment="1">
      <alignment horizontal="center" vertical="center"/>
    </xf>
    <xf numFmtId="9" fontId="51" fillId="0" borderId="0" xfId="47" applyFont="1" applyAlignment="1">
      <alignment horizontal="center" vertical="center"/>
    </xf>
    <xf numFmtId="188" fontId="51" fillId="0" borderId="0" xfId="1" applyNumberFormat="1" applyFont="1" applyAlignment="1">
      <alignment horizontal="center" vertical="center"/>
    </xf>
    <xf numFmtId="0" fontId="54" fillId="3" borderId="0" xfId="0" applyFont="1" applyFill="1" applyAlignment="1">
      <alignment horizontal="center" vertical="center" wrapText="1"/>
    </xf>
    <xf numFmtId="0" fontId="115" fillId="63" borderId="80" xfId="0" applyFont="1" applyFill="1" applyBorder="1" applyAlignment="1">
      <alignment horizontal="center" vertical="center"/>
    </xf>
    <xf numFmtId="0" fontId="115" fillId="63" borderId="0" xfId="0" applyFont="1" applyFill="1" applyAlignment="1">
      <alignment horizontal="center" vertical="center"/>
    </xf>
    <xf numFmtId="0" fontId="54" fillId="63" borderId="0" xfId="0" applyFont="1" applyFill="1" applyAlignment="1">
      <alignment horizontal="center" vertical="center" wrapText="1"/>
    </xf>
    <xf numFmtId="0" fontId="51" fillId="42" borderId="0" xfId="0" applyFont="1" applyFill="1" applyAlignment="1">
      <alignment horizontal="center" vertical="center"/>
    </xf>
    <xf numFmtId="165" fontId="51" fillId="44" borderId="58" xfId="1" applyNumberFormat="1" applyFont="1" applyFill="1" applyBorder="1" applyAlignment="1">
      <alignment horizontal="center"/>
    </xf>
    <xf numFmtId="165" fontId="51" fillId="0" borderId="58" xfId="1" applyNumberFormat="1" applyFont="1" applyFill="1" applyBorder="1" applyAlignment="1">
      <alignment horizontal="center" vertical="center"/>
    </xf>
    <xf numFmtId="165" fontId="51" fillId="44" borderId="58" xfId="1" applyNumberFormat="1" applyFont="1" applyFill="1" applyBorder="1" applyAlignment="1">
      <alignment horizontal="center" vertical="center"/>
    </xf>
    <xf numFmtId="165" fontId="52" fillId="0" borderId="58" xfId="1" applyNumberFormat="1" applyFont="1" applyFill="1" applyBorder="1" applyAlignment="1">
      <alignment horizontal="center" vertical="center"/>
    </xf>
    <xf numFmtId="0" fontId="54" fillId="63" borderId="80" xfId="0" applyFont="1" applyFill="1" applyBorder="1" applyAlignment="1">
      <alignment horizontal="center" vertical="center" wrapText="1"/>
    </xf>
    <xf numFmtId="0" fontId="118" fillId="0" borderId="0" xfId="0" applyFont="1" applyAlignment="1">
      <alignment horizontal="left" vertical="center" readingOrder="1"/>
    </xf>
    <xf numFmtId="0" fontId="120" fillId="42" borderId="0" xfId="0" applyFont="1" applyFill="1"/>
    <xf numFmtId="0" fontId="53" fillId="0" borderId="84" xfId="0" applyFont="1" applyBorder="1" applyAlignment="1">
      <alignment horizontal="left" indent="3"/>
    </xf>
    <xf numFmtId="0" fontId="53" fillId="0" borderId="83" xfId="0" applyFont="1" applyBorder="1" applyAlignment="1">
      <alignment horizontal="left" indent="3"/>
    </xf>
    <xf numFmtId="0" fontId="121" fillId="0" borderId="0" xfId="0" applyFont="1"/>
    <xf numFmtId="9" fontId="121" fillId="0" borderId="0" xfId="47" applyFont="1" applyAlignment="1">
      <alignment horizontal="center"/>
    </xf>
    <xf numFmtId="9" fontId="121" fillId="0" borderId="0" xfId="47" applyFont="1" applyAlignment="1">
      <alignment horizontal="left"/>
    </xf>
    <xf numFmtId="9" fontId="121" fillId="0" borderId="0" xfId="47" applyFont="1" applyFill="1" applyAlignment="1">
      <alignment horizontal="center"/>
    </xf>
    <xf numFmtId="0" fontId="122" fillId="0" borderId="0" xfId="0" applyFont="1" applyAlignment="1">
      <alignment horizontal="left" indent="2"/>
    </xf>
    <xf numFmtId="165" fontId="122" fillId="0" borderId="0" xfId="1" applyNumberFormat="1" applyFont="1" applyAlignment="1">
      <alignment horizontal="left" indent="2"/>
    </xf>
    <xf numFmtId="9" fontId="122" fillId="0" borderId="0" xfId="47" applyFont="1" applyAlignment="1">
      <alignment horizontal="left" indent="2"/>
    </xf>
    <xf numFmtId="0" fontId="123" fillId="0" borderId="0" xfId="0" applyFont="1" applyAlignment="1">
      <alignment horizontal="left" indent="2"/>
    </xf>
    <xf numFmtId="175" fontId="66" fillId="4" borderId="0" xfId="1" applyNumberFormat="1" applyFont="1" applyFill="1" applyAlignment="1">
      <alignment horizontal="center"/>
    </xf>
    <xf numFmtId="179" fontId="51" fillId="64" borderId="0" xfId="1" applyNumberFormat="1" applyFont="1" applyFill="1" applyBorder="1"/>
    <xf numFmtId="10" fontId="51" fillId="0" borderId="0" xfId="0" applyNumberFormat="1" applyFont="1"/>
    <xf numFmtId="10" fontId="51" fillId="0" borderId="0" xfId="47" applyNumberFormat="1" applyFont="1"/>
    <xf numFmtId="190" fontId="51" fillId="0" borderId="0" xfId="2" applyNumberFormat="1" applyFont="1"/>
    <xf numFmtId="9" fontId="67" fillId="0" borderId="0" xfId="47" applyFont="1"/>
    <xf numFmtId="191" fontId="51" fillId="0" borderId="0" xfId="0" applyNumberFormat="1" applyFont="1"/>
    <xf numFmtId="0" fontId="52" fillId="0" borderId="0" xfId="0" applyFont="1" applyAlignment="1">
      <alignment horizontal="right"/>
    </xf>
    <xf numFmtId="9" fontId="51" fillId="0" borderId="86" xfId="0" applyNumberFormat="1" applyFont="1" applyBorder="1"/>
    <xf numFmtId="9" fontId="51" fillId="0" borderId="87" xfId="0" applyNumberFormat="1" applyFont="1" applyBorder="1"/>
    <xf numFmtId="0" fontId="52" fillId="0" borderId="85" xfId="0" applyFont="1" applyBorder="1" applyAlignment="1">
      <alignment horizontal="right"/>
    </xf>
    <xf numFmtId="43" fontId="59" fillId="6" borderId="0" xfId="1" applyFont="1" applyFill="1" applyBorder="1" applyAlignment="1">
      <alignment horizontal="center"/>
    </xf>
    <xf numFmtId="183" fontId="52" fillId="0" borderId="0" xfId="0" applyNumberFormat="1" applyFont="1"/>
    <xf numFmtId="0" fontId="124" fillId="0" borderId="0" xfId="0" applyFont="1" applyAlignment="1">
      <alignment horizontal="left" vertical="center" wrapText="1" indent="1"/>
    </xf>
    <xf numFmtId="0" fontId="125" fillId="0" borderId="0" xfId="0" applyFont="1" applyAlignment="1">
      <alignment horizontal="left" wrapText="1" indent="1" readingOrder="1"/>
    </xf>
    <xf numFmtId="0" fontId="126" fillId="0" borderId="0" xfId="0" applyFont="1" applyAlignment="1">
      <alignment horizontal="left" wrapText="1" indent="1" readingOrder="1"/>
    </xf>
    <xf numFmtId="0" fontId="127" fillId="0" borderId="0" xfId="0" applyFont="1" applyAlignment="1">
      <alignment horizontal="left" wrapText="1" indent="1" readingOrder="1"/>
    </xf>
    <xf numFmtId="0" fontId="128" fillId="0" borderId="0" xfId="0" applyFont="1" applyAlignment="1">
      <alignment horizontal="left" wrapText="1" indent="1" readingOrder="1"/>
    </xf>
    <xf numFmtId="0" fontId="129" fillId="0" borderId="0" xfId="0" applyFont="1" applyAlignment="1">
      <alignment horizontal="left" wrapText="1" indent="1" readingOrder="1"/>
    </xf>
    <xf numFmtId="0" fontId="130" fillId="0" borderId="0" xfId="0" applyFont="1" applyAlignment="1">
      <alignment horizontal="left" wrapText="1" indent="1" readingOrder="1"/>
    </xf>
    <xf numFmtId="0" fontId="131" fillId="0" borderId="0" xfId="0" applyFont="1" applyAlignment="1">
      <alignment horizontal="left" wrapText="1" indent="1" readingOrder="1"/>
    </xf>
    <xf numFmtId="0" fontId="132" fillId="0" borderId="0" xfId="0" applyFont="1" applyAlignment="1">
      <alignment horizontal="left" wrapText="1" indent="1" readingOrder="1"/>
    </xf>
    <xf numFmtId="0" fontId="134" fillId="0" borderId="0" xfId="0" applyFont="1"/>
    <xf numFmtId="0" fontId="136" fillId="0" borderId="0" xfId="0" applyFont="1"/>
    <xf numFmtId="0" fontId="137" fillId="0" borderId="88" xfId="0" applyFont="1" applyBorder="1" applyAlignment="1">
      <alignment horizontal="center" vertical="center" wrapText="1"/>
    </xf>
    <xf numFmtId="0" fontId="138" fillId="65" borderId="89" xfId="0" applyFont="1" applyFill="1" applyBorder="1" applyAlignment="1">
      <alignment horizontal="center" wrapText="1" readingOrder="1"/>
    </xf>
    <xf numFmtId="0" fontId="138" fillId="65" borderId="90" xfId="0" applyFont="1" applyFill="1" applyBorder="1" applyAlignment="1">
      <alignment horizontal="center" wrapText="1" readingOrder="1"/>
    </xf>
    <xf numFmtId="0" fontId="139" fillId="0" borderId="88" xfId="0" applyFont="1" applyBorder="1" applyAlignment="1">
      <alignment horizontal="center" wrapText="1" readingOrder="1"/>
    </xf>
    <xf numFmtId="0" fontId="136" fillId="0" borderId="0" xfId="0" applyFont="1" applyAlignment="1">
      <alignment horizontal="right"/>
    </xf>
    <xf numFmtId="0" fontId="139" fillId="0" borderId="91" xfId="0" applyFont="1" applyBorder="1" applyAlignment="1">
      <alignment horizontal="center" wrapText="1" readingOrder="1"/>
    </xf>
    <xf numFmtId="0" fontId="138" fillId="65" borderId="94" xfId="0" applyFont="1" applyFill="1" applyBorder="1" applyAlignment="1">
      <alignment horizontal="center" wrapText="1" readingOrder="1"/>
    </xf>
    <xf numFmtId="0" fontId="135" fillId="0" borderId="0" xfId="0" applyFont="1" applyAlignment="1">
      <alignment horizontal="right"/>
    </xf>
    <xf numFmtId="9" fontId="136" fillId="0" borderId="0" xfId="47" applyFont="1"/>
    <xf numFmtId="0" fontId="135" fillId="0" borderId="0" xfId="0" applyFont="1"/>
    <xf numFmtId="192" fontId="135" fillId="0" borderId="0" xfId="0" applyNumberFormat="1" applyFont="1"/>
    <xf numFmtId="193" fontId="136" fillId="0" borderId="0" xfId="0" applyNumberFormat="1" applyFont="1"/>
    <xf numFmtId="10" fontId="136" fillId="0" borderId="0" xfId="0" applyNumberFormat="1" applyFont="1"/>
    <xf numFmtId="44" fontId="136" fillId="0" borderId="0" xfId="2" applyFont="1"/>
    <xf numFmtId="44" fontId="136" fillId="0" borderId="0" xfId="0" applyNumberFormat="1" applyFont="1"/>
    <xf numFmtId="0" fontId="141" fillId="43" borderId="0" xfId="4" applyFont="1" applyFill="1" applyAlignment="1">
      <alignment horizontal="left" vertical="center" wrapText="1"/>
    </xf>
    <xf numFmtId="0" fontId="142" fillId="0" borderId="0" xfId="4" applyFont="1"/>
    <xf numFmtId="171" fontId="143" fillId="43" borderId="100" xfId="4" applyNumberFormat="1" applyFont="1" applyFill="1" applyBorder="1" applyAlignment="1">
      <alignment horizontal="center" vertical="center"/>
    </xf>
    <xf numFmtId="171" fontId="143" fillId="43" borderId="0" xfId="4" applyNumberFormat="1" applyFont="1" applyFill="1" applyAlignment="1">
      <alignment horizontal="center" vertical="center"/>
    </xf>
    <xf numFmtId="0" fontId="144" fillId="43" borderId="0" xfId="4" applyFont="1" applyFill="1" applyAlignment="1">
      <alignment horizontal="left" vertical="center" wrapText="1"/>
    </xf>
    <xf numFmtId="0" fontId="145" fillId="0" borderId="0" xfId="4" applyFont="1"/>
    <xf numFmtId="0" fontId="146" fillId="60" borderId="101" xfId="4" applyFont="1" applyFill="1" applyBorder="1" applyAlignment="1">
      <alignment horizontal="left" vertical="center" wrapText="1"/>
    </xf>
    <xf numFmtId="167" fontId="145" fillId="66" borderId="100" xfId="52" applyNumberFormat="1" applyFont="1" applyFill="1" applyBorder="1"/>
    <xf numFmtId="167" fontId="147" fillId="44" borderId="0" xfId="52" applyNumberFormat="1" applyFont="1" applyFill="1" applyBorder="1"/>
    <xf numFmtId="0" fontId="148" fillId="44" borderId="0" xfId="4" applyFont="1" applyFill="1" applyAlignment="1">
      <alignment horizontal="left" vertical="center" wrapText="1"/>
    </xf>
    <xf numFmtId="167" fontId="142" fillId="44" borderId="0" xfId="52" applyNumberFormat="1" applyFont="1" applyFill="1" applyBorder="1"/>
    <xf numFmtId="0" fontId="149" fillId="0" borderId="0" xfId="4" applyFont="1" applyAlignment="1">
      <alignment horizontal="right"/>
    </xf>
    <xf numFmtId="167" fontId="150" fillId="44" borderId="0" xfId="4" applyNumberFormat="1" applyFont="1" applyFill="1"/>
    <xf numFmtId="167" fontId="150" fillId="0" borderId="0" xfId="4" applyNumberFormat="1" applyFont="1"/>
    <xf numFmtId="167" fontId="150" fillId="0" borderId="6" xfId="4" applyNumberFormat="1" applyFont="1" applyBorder="1"/>
    <xf numFmtId="0" fontId="142" fillId="0" borderId="0" xfId="4" applyFont="1" applyAlignment="1">
      <alignment horizontal="right"/>
    </xf>
    <xf numFmtId="0" fontId="142" fillId="0" borderId="6" xfId="4" applyFont="1" applyBorder="1"/>
    <xf numFmtId="0" fontId="151" fillId="0" borderId="0" xfId="4" applyFont="1" applyAlignment="1">
      <alignment horizontal="right"/>
    </xf>
    <xf numFmtId="0" fontId="152" fillId="0" borderId="0" xfId="4" applyFont="1"/>
    <xf numFmtId="167" fontId="153" fillId="0" borderId="0" xfId="4" applyNumberFormat="1" applyFont="1"/>
    <xf numFmtId="167" fontId="151" fillId="0" borderId="0" xfId="4" applyNumberFormat="1" applyFont="1"/>
    <xf numFmtId="0" fontId="154" fillId="0" borderId="0" xfId="4" applyFont="1"/>
    <xf numFmtId="0" fontId="142" fillId="0" borderId="0" xfId="4" applyFont="1" applyAlignment="1">
      <alignment horizontal="right" vertical="center"/>
    </xf>
    <xf numFmtId="9" fontId="155" fillId="67" borderId="0" xfId="53" applyFont="1" applyFill="1"/>
    <xf numFmtId="9" fontId="142" fillId="0" borderId="0" xfId="53" applyFont="1"/>
    <xf numFmtId="0" fontId="150" fillId="0" borderId="0" xfId="4" applyFont="1"/>
    <xf numFmtId="0" fontId="150" fillId="0" borderId="0" xfId="4" applyFont="1" applyAlignment="1">
      <alignment horizontal="right" indent="1"/>
    </xf>
    <xf numFmtId="9" fontId="150" fillId="0" borderId="0" xfId="53" applyFont="1" applyBorder="1" applyAlignment="1">
      <alignment horizontal="center"/>
    </xf>
    <xf numFmtId="0" fontId="142" fillId="0" borderId="102" xfId="4" applyFont="1" applyBorder="1"/>
    <xf numFmtId="43" fontId="59" fillId="6" borderId="0" xfId="1" applyFont="1" applyFill="1" applyAlignment="1">
      <alignment horizontal="left" indent="1"/>
    </xf>
    <xf numFmtId="165" fontId="66" fillId="39" borderId="99" xfId="1" applyNumberFormat="1" applyFont="1" applyFill="1" applyBorder="1"/>
    <xf numFmtId="165" fontId="66" fillId="39" borderId="55" xfId="1" applyNumberFormat="1" applyFont="1" applyFill="1" applyBorder="1"/>
    <xf numFmtId="0" fontId="156" fillId="0" borderId="0" xfId="0" applyFont="1"/>
    <xf numFmtId="0" fontId="157" fillId="0" borderId="0" xfId="0" applyFont="1"/>
    <xf numFmtId="0" fontId="158" fillId="0" borderId="0" xfId="0" quotePrefix="1" applyFont="1"/>
    <xf numFmtId="0" fontId="66" fillId="7" borderId="0" xfId="0" applyFont="1" applyFill="1" applyAlignment="1">
      <alignment horizontal="right"/>
    </xf>
    <xf numFmtId="0" fontId="56" fillId="7" borderId="0" xfId="0" applyFont="1" applyFill="1"/>
    <xf numFmtId="0" fontId="133" fillId="7" borderId="0" xfId="0" applyFont="1" applyFill="1"/>
    <xf numFmtId="0" fontId="158" fillId="0" borderId="0" xfId="0" applyFont="1" applyAlignment="1">
      <alignment horizontal="center"/>
    </xf>
    <xf numFmtId="0" fontId="159" fillId="0" borderId="0" xfId="0" applyFont="1"/>
    <xf numFmtId="169" fontId="92" fillId="4" borderId="0" xfId="0" applyNumberFormat="1" applyFont="1" applyFill="1"/>
    <xf numFmtId="169" fontId="92" fillId="4" borderId="34" xfId="0" applyNumberFormat="1" applyFont="1" applyFill="1" applyBorder="1"/>
    <xf numFmtId="169" fontId="88" fillId="4" borderId="39" xfId="0" applyNumberFormat="1" applyFont="1" applyFill="1" applyBorder="1"/>
    <xf numFmtId="169" fontId="88" fillId="4" borderId="64" xfId="0" applyNumberFormat="1" applyFont="1" applyFill="1" applyBorder="1"/>
    <xf numFmtId="169" fontId="92" fillId="3" borderId="0" xfId="0" applyNumberFormat="1" applyFont="1" applyFill="1"/>
    <xf numFmtId="169" fontId="92" fillId="3" borderId="34" xfId="0" applyNumberFormat="1" applyFont="1" applyFill="1" applyBorder="1"/>
    <xf numFmtId="169" fontId="88" fillId="3" borderId="54" xfId="0" applyNumberFormat="1" applyFont="1" applyFill="1" applyBorder="1"/>
    <xf numFmtId="169" fontId="88" fillId="3" borderId="65" xfId="0" applyNumberFormat="1" applyFont="1" applyFill="1" applyBorder="1"/>
    <xf numFmtId="169" fontId="92" fillId="0" borderId="0" xfId="0" applyNumberFormat="1" applyFont="1"/>
    <xf numFmtId="169" fontId="88" fillId="0" borderId="2" xfId="0" applyNumberFormat="1" applyFont="1" applyBorder="1"/>
    <xf numFmtId="169" fontId="88" fillId="0" borderId="66" xfId="0" applyNumberFormat="1" applyFont="1" applyBorder="1"/>
    <xf numFmtId="169" fontId="93" fillId="3" borderId="0" xfId="0" applyNumberFormat="1" applyFont="1" applyFill="1"/>
    <xf numFmtId="169" fontId="88" fillId="3" borderId="1" xfId="0" applyNumberFormat="1" applyFont="1" applyFill="1" applyBorder="1"/>
    <xf numFmtId="169" fontId="88" fillId="3" borderId="0" xfId="0" applyNumberFormat="1" applyFont="1" applyFill="1"/>
    <xf numFmtId="169" fontId="95" fillId="3" borderId="1" xfId="0" applyNumberFormat="1" applyFont="1" applyFill="1" applyBorder="1"/>
    <xf numFmtId="0" fontId="119" fillId="0" borderId="0" xfId="0" applyFont="1"/>
    <xf numFmtId="0" fontId="119" fillId="0" borderId="0" xfId="0" applyFont="1" applyAlignment="1">
      <alignment horizontal="left" indent="4"/>
    </xf>
    <xf numFmtId="167" fontId="142" fillId="0" borderId="0" xfId="52" applyNumberFormat="1" applyFont="1" applyFill="1" applyBorder="1"/>
    <xf numFmtId="0" fontId="162" fillId="0" borderId="0" xfId="4" applyFont="1"/>
    <xf numFmtId="169" fontId="140" fillId="0" borderId="89" xfId="0" applyNumberFormat="1" applyFont="1" applyBorder="1" applyAlignment="1">
      <alignment horizontal="center" wrapText="1" readingOrder="1"/>
    </xf>
    <xf numFmtId="169" fontId="140" fillId="0" borderId="90" xfId="0" applyNumberFormat="1" applyFont="1" applyBorder="1" applyAlignment="1">
      <alignment horizontal="center" wrapText="1" readingOrder="1"/>
    </xf>
    <xf numFmtId="169" fontId="140" fillId="0" borderId="92" xfId="0" applyNumberFormat="1" applyFont="1" applyBorder="1" applyAlignment="1">
      <alignment horizontal="center" wrapText="1" readingOrder="1"/>
    </xf>
    <xf numFmtId="169" fontId="140" fillId="0" borderId="93" xfId="0" applyNumberFormat="1" applyFont="1" applyBorder="1" applyAlignment="1">
      <alignment horizontal="center" wrapText="1" readingOrder="1"/>
    </xf>
    <xf numFmtId="169" fontId="138" fillId="65" borderId="95" xfId="0" applyNumberFormat="1" applyFont="1" applyFill="1" applyBorder="1" applyAlignment="1">
      <alignment horizontal="center" wrapText="1" readingOrder="1"/>
    </xf>
    <xf numFmtId="169" fontId="138" fillId="65" borderId="96" xfId="0" applyNumberFormat="1" applyFont="1" applyFill="1" applyBorder="1" applyAlignment="1">
      <alignment horizontal="center" wrapText="1" readingOrder="1"/>
    </xf>
    <xf numFmtId="169" fontId="136" fillId="0" borderId="0" xfId="0" applyNumberFormat="1" applyFont="1"/>
    <xf numFmtId="169" fontId="135" fillId="0" borderId="0" xfId="0" applyNumberFormat="1" applyFont="1"/>
    <xf numFmtId="169" fontId="136" fillId="6" borderId="97" xfId="0" applyNumberFormat="1" applyFont="1" applyFill="1" applyBorder="1"/>
    <xf numFmtId="169" fontId="136" fillId="6" borderId="98" xfId="0" applyNumberFormat="1" applyFont="1" applyFill="1" applyBorder="1"/>
    <xf numFmtId="169" fontId="136" fillId="6" borderId="99" xfId="0" applyNumberFormat="1" applyFont="1" applyFill="1" applyBorder="1"/>
    <xf numFmtId="169" fontId="135" fillId="2" borderId="55" xfId="0" applyNumberFormat="1" applyFont="1" applyFill="1" applyBorder="1"/>
    <xf numFmtId="0" fontId="163" fillId="0" borderId="0" xfId="0" applyFont="1"/>
    <xf numFmtId="0" fontId="164" fillId="0" borderId="0" xfId="4" applyFont="1"/>
    <xf numFmtId="169" fontId="150" fillId="0" borderId="0" xfId="4" applyNumberFormat="1" applyFont="1"/>
    <xf numFmtId="169" fontId="142" fillId="0" borderId="0" xfId="4" applyNumberFormat="1" applyFont="1"/>
    <xf numFmtId="0" fontId="165" fillId="0" borderId="0" xfId="4" applyFont="1" applyAlignment="1">
      <alignment horizontal="right" indent="1"/>
    </xf>
    <xf numFmtId="0" fontId="166" fillId="0" borderId="0" xfId="4" applyFont="1" applyAlignment="1">
      <alignment horizontal="right" indent="1"/>
    </xf>
    <xf numFmtId="0" fontId="167" fillId="0" borderId="0" xfId="4" applyFont="1" applyAlignment="1">
      <alignment horizontal="right" indent="1"/>
    </xf>
    <xf numFmtId="0" fontId="168" fillId="0" borderId="0" xfId="4" applyFont="1" applyAlignment="1">
      <alignment horizontal="right" indent="1"/>
    </xf>
    <xf numFmtId="0" fontId="169" fillId="0" borderId="0" xfId="4" applyFont="1" applyAlignment="1">
      <alignment horizontal="right" indent="1"/>
    </xf>
    <xf numFmtId="0" fontId="170" fillId="0" borderId="0" xfId="4" applyFont="1" applyAlignment="1">
      <alignment horizontal="right" indent="1"/>
    </xf>
    <xf numFmtId="0" fontId="171" fillId="0" borderId="0" xfId="4" applyFont="1" applyAlignment="1">
      <alignment horizontal="right" indent="1"/>
    </xf>
    <xf numFmtId="0" fontId="172" fillId="0" borderId="0" xfId="4" applyFont="1" applyAlignment="1">
      <alignment horizontal="right" indent="1"/>
    </xf>
    <xf numFmtId="169" fontId="172" fillId="0" borderId="0" xfId="4" applyNumberFormat="1" applyFont="1"/>
    <xf numFmtId="169" fontId="51" fillId="0" borderId="0" xfId="1" applyNumberFormat="1" applyFont="1"/>
    <xf numFmtId="194" fontId="51" fillId="0" borderId="0" xfId="0" applyNumberFormat="1" applyFont="1"/>
    <xf numFmtId="169" fontId="51" fillId="0" borderId="0" xfId="0" applyNumberFormat="1" applyFont="1" applyAlignment="1">
      <alignment horizontal="center"/>
    </xf>
    <xf numFmtId="169" fontId="126" fillId="0" borderId="0" xfId="0" applyNumberFormat="1" applyFont="1" applyAlignment="1">
      <alignment horizontal="left" vertical="center" wrapText="1" indent="1" readingOrder="1"/>
    </xf>
    <xf numFmtId="169" fontId="127" fillId="0" borderId="0" xfId="0" applyNumberFormat="1" applyFont="1" applyAlignment="1">
      <alignment horizontal="left" vertical="center" wrapText="1" indent="1" readingOrder="1"/>
    </xf>
    <xf numFmtId="169" fontId="128" fillId="0" borderId="0" xfId="0" applyNumberFormat="1" applyFont="1" applyAlignment="1">
      <alignment horizontal="left" vertical="center" wrapText="1" indent="1" readingOrder="1"/>
    </xf>
    <xf numFmtId="169" fontId="129" fillId="0" borderId="0" xfId="0" applyNumberFormat="1" applyFont="1" applyAlignment="1">
      <alignment horizontal="left" vertical="center" wrapText="1" indent="2" readingOrder="1"/>
    </xf>
    <xf numFmtId="169" fontId="130" fillId="0" borderId="0" xfId="0" applyNumberFormat="1" applyFont="1" applyAlignment="1">
      <alignment horizontal="left" vertical="center" wrapText="1" indent="2" readingOrder="1"/>
    </xf>
    <xf numFmtId="169" fontId="131" fillId="0" borderId="0" xfId="0" applyNumberFormat="1" applyFont="1" applyAlignment="1">
      <alignment horizontal="left" vertical="center" wrapText="1" indent="2" readingOrder="1"/>
    </xf>
    <xf numFmtId="169" fontId="132" fillId="0" borderId="0" xfId="0" applyNumberFormat="1" applyFont="1" applyAlignment="1">
      <alignment horizontal="left" vertical="center" wrapText="1" indent="2" readingOrder="1"/>
    </xf>
    <xf numFmtId="43" fontId="59" fillId="6" borderId="0" xfId="0" applyNumberFormat="1" applyFont="1" applyFill="1"/>
    <xf numFmtId="171" fontId="173" fillId="0" borderId="0" xfId="0" applyNumberFormat="1" applyFont="1" applyAlignment="1">
      <alignment horizontal="left" vertical="center"/>
    </xf>
    <xf numFmtId="0" fontId="104" fillId="0" borderId="0" xfId="0" applyFont="1"/>
    <xf numFmtId="0" fontId="158" fillId="0" borderId="0" xfId="0" applyFont="1" applyAlignment="1">
      <alignment horizontal="right"/>
    </xf>
    <xf numFmtId="0" fontId="179" fillId="43" borderId="0" xfId="0" applyFont="1" applyFill="1" applyAlignment="1">
      <alignment horizontal="centerContinuous"/>
    </xf>
    <xf numFmtId="0" fontId="178" fillId="0" borderId="97" xfId="0" applyFont="1" applyBorder="1"/>
    <xf numFmtId="177" fontId="52" fillId="7" borderId="98" xfId="0" applyNumberFormat="1" applyFont="1" applyFill="1" applyBorder="1"/>
    <xf numFmtId="177" fontId="51" fillId="0" borderId="98" xfId="0" applyNumberFormat="1" applyFont="1" applyBorder="1"/>
    <xf numFmtId="177" fontId="178" fillId="0" borderId="98" xfId="0" applyNumberFormat="1" applyFont="1" applyBorder="1"/>
    <xf numFmtId="177" fontId="178" fillId="0" borderId="99" xfId="0" applyNumberFormat="1" applyFont="1" applyBorder="1"/>
    <xf numFmtId="0" fontId="177" fillId="0" borderId="97" xfId="4" applyFont="1" applyBorder="1"/>
    <xf numFmtId="169" fontId="142" fillId="0" borderId="98" xfId="54" applyNumberFormat="1" applyFont="1" applyBorder="1"/>
    <xf numFmtId="169" fontId="142" fillId="0" borderId="98" xfId="4" applyNumberFormat="1" applyFont="1" applyBorder="1"/>
    <xf numFmtId="169" fontId="150" fillId="0" borderId="98" xfId="4" applyNumberFormat="1" applyFont="1" applyBorder="1"/>
    <xf numFmtId="169" fontId="177" fillId="0" borderId="99" xfId="4" applyNumberFormat="1" applyFont="1" applyBorder="1"/>
    <xf numFmtId="167" fontId="145" fillId="66" borderId="0" xfId="52" applyNumberFormat="1" applyFont="1" applyFill="1" applyBorder="1"/>
    <xf numFmtId="167" fontId="150" fillId="44" borderId="99" xfId="4" applyNumberFormat="1" applyFont="1" applyFill="1" applyBorder="1"/>
    <xf numFmtId="167" fontId="150" fillId="0" borderId="98" xfId="4" applyNumberFormat="1" applyFont="1" applyBorder="1"/>
    <xf numFmtId="167" fontId="151" fillId="0" borderId="98" xfId="4" applyNumberFormat="1" applyFont="1" applyBorder="1"/>
    <xf numFmtId="9" fontId="155" fillId="67" borderId="99" xfId="53" applyFont="1" applyFill="1" applyBorder="1"/>
    <xf numFmtId="0" fontId="180" fillId="0" borderId="0" xfId="0" applyFont="1"/>
    <xf numFmtId="171" fontId="91" fillId="0" borderId="0" xfId="0" applyNumberFormat="1" applyFont="1"/>
    <xf numFmtId="0" fontId="91" fillId="0" borderId="0" xfId="0" applyFont="1" applyAlignment="1">
      <alignment vertical="center" wrapText="1"/>
    </xf>
    <xf numFmtId="0" fontId="92" fillId="0" borderId="0" xfId="0" applyFont="1" applyAlignment="1">
      <alignment horizontal="centerContinuous"/>
    </xf>
    <xf numFmtId="9" fontId="92" fillId="0" borderId="0" xfId="47" applyFont="1" applyFill="1"/>
    <xf numFmtId="0" fontId="33" fillId="44" borderId="0" xfId="0" applyFont="1" applyFill="1" applyAlignment="1">
      <alignment horizontal="left" vertical="top" wrapText="1"/>
    </xf>
    <xf numFmtId="0" fontId="83" fillId="0" borderId="0" xfId="0" applyFont="1" applyAlignment="1">
      <alignment horizontal="left" vertical="top" wrapText="1"/>
    </xf>
    <xf numFmtId="171" fontId="91" fillId="43" borderId="0" xfId="0" applyNumberFormat="1" applyFont="1" applyFill="1" applyAlignment="1">
      <alignment horizontal="center"/>
    </xf>
    <xf numFmtId="0" fontId="92" fillId="0" borderId="0" xfId="0" applyFont="1" applyAlignment="1">
      <alignment horizontal="center"/>
    </xf>
    <xf numFmtId="9" fontId="88" fillId="3" borderId="0" xfId="0" applyNumberFormat="1" applyFont="1" applyFill="1" applyAlignment="1">
      <alignment horizontal="center" vertical="center"/>
    </xf>
    <xf numFmtId="0" fontId="88" fillId="3" borderId="0" xfId="0" applyFont="1" applyFill="1" applyAlignment="1">
      <alignment horizontal="center" vertical="center"/>
    </xf>
    <xf numFmtId="186" fontId="88" fillId="3" borderId="0" xfId="0" applyNumberFormat="1" applyFont="1" applyFill="1" applyAlignment="1">
      <alignment horizontal="center" vertical="center"/>
    </xf>
    <xf numFmtId="171" fontId="91" fillId="0" borderId="0" xfId="0" applyNumberFormat="1" applyFont="1" applyAlignment="1">
      <alignment horizontal="center"/>
    </xf>
    <xf numFmtId="0" fontId="51" fillId="2" borderId="0" xfId="0" applyFont="1" applyFill="1" applyAlignment="1">
      <alignment horizontal="center"/>
    </xf>
    <xf numFmtId="0" fontId="100" fillId="43" borderId="0" xfId="0" applyFont="1" applyFill="1" applyAlignment="1">
      <alignment horizontal="center"/>
    </xf>
    <xf numFmtId="0" fontId="51" fillId="0" borderId="0" xfId="0" applyFont="1" applyAlignment="1">
      <alignment horizontal="center" wrapText="1"/>
    </xf>
    <xf numFmtId="0" fontId="99" fillId="0" borderId="0" xfId="0" applyFont="1" applyAlignment="1">
      <alignment horizontal="left" vertical="center"/>
    </xf>
    <xf numFmtId="0" fontId="163" fillId="0" borderId="0" xfId="0" applyFont="1" applyAlignment="1">
      <alignment horizontal="right"/>
    </xf>
    <xf numFmtId="0" fontId="51" fillId="4" borderId="0" xfId="0" applyFont="1" applyFill="1" applyAlignment="1">
      <alignment horizontal="center" wrapText="1"/>
    </xf>
    <xf numFmtId="0" fontId="67" fillId="53" borderId="0" xfId="0" applyFont="1" applyFill="1" applyAlignment="1">
      <alignment horizontal="left" vertical="top" wrapText="1"/>
    </xf>
    <xf numFmtId="0" fontId="51" fillId="0" borderId="19" xfId="0" applyFont="1" applyBorder="1" applyAlignment="1">
      <alignment horizontal="center" vertical="center"/>
    </xf>
    <xf numFmtId="0" fontId="51" fillId="0" borderId="18" xfId="0" applyFont="1" applyBorder="1" applyAlignment="1">
      <alignment horizontal="center" vertical="center"/>
    </xf>
    <xf numFmtId="0" fontId="54" fillId="0" borderId="75" xfId="0" applyFont="1" applyBorder="1" applyAlignment="1">
      <alignment horizontal="center" vertical="center" wrapText="1"/>
    </xf>
    <xf numFmtId="0" fontId="54" fillId="0" borderId="76" xfId="0" applyFont="1" applyBorder="1" applyAlignment="1">
      <alignment horizontal="center" vertical="center" wrapText="1"/>
    </xf>
    <xf numFmtId="0" fontId="54" fillId="0" borderId="71" xfId="0" applyFont="1" applyBorder="1" applyAlignment="1">
      <alignment horizontal="center" vertical="center" wrapText="1"/>
    </xf>
    <xf numFmtId="0" fontId="54" fillId="0" borderId="72" xfId="0" applyFont="1" applyBorder="1" applyAlignment="1">
      <alignment horizontal="center" vertical="center" wrapText="1"/>
    </xf>
    <xf numFmtId="9" fontId="111" fillId="0" borderId="69" xfId="0" applyNumberFormat="1" applyFont="1" applyBorder="1" applyAlignment="1">
      <alignment horizontal="center" vertical="center"/>
    </xf>
    <xf numFmtId="9" fontId="111" fillId="0" borderId="70" xfId="0" applyNumberFormat="1" applyFont="1" applyBorder="1" applyAlignment="1">
      <alignment horizontal="center" vertical="center"/>
    </xf>
    <xf numFmtId="182" fontId="111" fillId="0" borderId="73" xfId="1" applyNumberFormat="1" applyFont="1" applyBorder="1" applyAlignment="1">
      <alignment horizontal="center" vertical="center"/>
    </xf>
    <xf numFmtId="182" fontId="111" fillId="0" borderId="74" xfId="1" applyNumberFormat="1" applyFont="1" applyBorder="1" applyAlignment="1">
      <alignment horizontal="center" vertical="center"/>
    </xf>
    <xf numFmtId="182" fontId="111" fillId="0" borderId="77" xfId="1" applyNumberFormat="1" applyFont="1" applyBorder="1" applyAlignment="1">
      <alignment horizontal="center" vertical="center"/>
    </xf>
    <xf numFmtId="182" fontId="111" fillId="0" borderId="78" xfId="1" applyNumberFormat="1" applyFont="1" applyBorder="1" applyAlignment="1">
      <alignment horizontal="center" vertical="center"/>
    </xf>
    <xf numFmtId="182" fontId="111" fillId="53" borderId="0" xfId="1" applyNumberFormat="1" applyFont="1" applyFill="1" applyBorder="1" applyAlignment="1">
      <alignment horizontal="center" vertical="center"/>
    </xf>
    <xf numFmtId="182" fontId="111" fillId="53" borderId="79" xfId="1" applyNumberFormat="1" applyFont="1" applyFill="1" applyBorder="1" applyAlignment="1">
      <alignment horizontal="center" vertical="center"/>
    </xf>
    <xf numFmtId="0" fontId="54" fillId="53" borderId="0" xfId="0" applyFont="1" applyFill="1" applyAlignment="1">
      <alignment horizontal="center" vertical="center" wrapText="1"/>
    </xf>
    <xf numFmtId="9" fontId="111" fillId="53" borderId="0" xfId="0" applyNumberFormat="1" applyFont="1" applyFill="1" applyAlignment="1">
      <alignment horizontal="center" vertical="center"/>
    </xf>
    <xf numFmtId="0" fontId="54" fillId="53" borderId="68" xfId="0" applyFont="1" applyFill="1" applyBorder="1" applyAlignment="1">
      <alignment horizontal="center" vertical="center" wrapText="1"/>
    </xf>
    <xf numFmtId="0" fontId="54" fillId="63" borderId="81" xfId="0" applyFont="1" applyFill="1" applyBorder="1" applyAlignment="1">
      <alignment horizontal="center" vertical="center"/>
    </xf>
    <xf numFmtId="0" fontId="54" fillId="63" borderId="0" xfId="0" applyFont="1" applyFill="1" applyAlignment="1">
      <alignment horizontal="center" vertical="center"/>
    </xf>
    <xf numFmtId="0" fontId="54" fillId="63" borderId="80" xfId="0" applyFont="1" applyFill="1" applyBorder="1" applyAlignment="1">
      <alignment horizontal="center" vertical="center"/>
    </xf>
    <xf numFmtId="182" fontId="111" fillId="63" borderId="80" xfId="1" applyNumberFormat="1" applyFont="1" applyFill="1" applyBorder="1" applyAlignment="1">
      <alignment horizontal="center" vertical="center"/>
    </xf>
    <xf numFmtId="0" fontId="115" fillId="63" borderId="81" xfId="0" applyFont="1" applyFill="1" applyBorder="1" applyAlignment="1">
      <alignment horizontal="center" vertical="center"/>
    </xf>
    <xf numFmtId="0" fontId="115" fillId="63" borderId="0" xfId="0" applyFont="1" applyFill="1" applyAlignment="1">
      <alignment horizontal="center" vertical="center"/>
    </xf>
    <xf numFmtId="0" fontId="115" fillId="63" borderId="80" xfId="0" applyFont="1" applyFill="1" applyBorder="1" applyAlignment="1">
      <alignment horizontal="center" vertical="center"/>
    </xf>
    <xf numFmtId="9" fontId="111" fillId="63" borderId="81" xfId="0" applyNumberFormat="1" applyFont="1" applyFill="1" applyBorder="1" applyAlignment="1">
      <alignment horizontal="center" vertical="center"/>
    </xf>
    <xf numFmtId="9" fontId="111" fillId="63" borderId="0" xfId="0" applyNumberFormat="1" applyFont="1" applyFill="1" applyAlignment="1">
      <alignment horizontal="center" vertical="center"/>
    </xf>
    <xf numFmtId="9" fontId="111" fillId="63" borderId="80" xfId="0" applyNumberFormat="1" applyFont="1" applyFill="1" applyBorder="1" applyAlignment="1">
      <alignment horizontal="center" vertical="center"/>
    </xf>
    <xf numFmtId="189" fontId="111" fillId="63" borderId="0" xfId="1" applyNumberFormat="1" applyFont="1" applyFill="1" applyAlignment="1">
      <alignment horizontal="center" vertical="center"/>
    </xf>
  </cellXfs>
  <cellStyles count="55">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2" builtinId="27" customBuiltin="1"/>
    <cellStyle name="Calculation" xfId="16" builtinId="22" customBuiltin="1"/>
    <cellStyle name="Check Cell" xfId="18" builtinId="23" customBuiltin="1"/>
    <cellStyle name="Comma" xfId="1" builtinId="3"/>
    <cellStyle name="Comma 2" xfId="50" xr:uid="{D39D132C-BB2A-4D0C-A471-C358C4BDF05E}"/>
    <cellStyle name="Comma 3" xfId="54" xr:uid="{D79D0912-C50A-45BB-8AD9-32692446FAD8}"/>
    <cellStyle name="Currency" xfId="2" builtinId="4"/>
    <cellStyle name="Currency 2" xfId="52" xr:uid="{44F9073E-E475-49AB-B970-BE5BB44FEB7C}"/>
    <cellStyle name="Explanatory Text" xfId="21" builtinId="53" customBuiltin="1"/>
    <cellStyle name="Good" xfId="11" builtinId="26" customBuiltin="1"/>
    <cellStyle name="Heading 1" xfId="7" builtinId="16" customBuiltin="1"/>
    <cellStyle name="Heading 2" xfId="8" builtinId="17" customBuiltin="1"/>
    <cellStyle name="Heading 3" xfId="9" builtinId="18" customBuiltin="1"/>
    <cellStyle name="Heading 4" xfId="10" builtinId="19" customBuiltin="1"/>
    <cellStyle name="Hyperlink" xfId="3" builtinId="8"/>
    <cellStyle name="Hyperlink 2" xfId="5" xr:uid="{CE6B1A38-C40B-4375-82EE-C44915B3B2F6}"/>
    <cellStyle name="Hyperlink 3" xfId="48" xr:uid="{C2874E88-6720-482E-BCD6-5208FB3F9A28}"/>
    <cellStyle name="Input" xfId="14" builtinId="20" customBuiltin="1"/>
    <cellStyle name="Linked Cell" xfId="17" builtinId="24" customBuiltin="1"/>
    <cellStyle name="Neutral" xfId="13" builtinId="28" customBuiltin="1"/>
    <cellStyle name="Normal" xfId="0" builtinId="0"/>
    <cellStyle name="Normal 2" xfId="4" xr:uid="{AFADEBFD-56FA-4D31-A377-E21D7F555976}"/>
    <cellStyle name="Normal 3" xfId="49" xr:uid="{3FA2BDC2-E864-4B80-B78A-B4311CCEE185}"/>
    <cellStyle name="Note" xfId="20" builtinId="10" customBuiltin="1"/>
    <cellStyle name="Output" xfId="15" builtinId="21" customBuiltin="1"/>
    <cellStyle name="Percent" xfId="47" builtinId="5"/>
    <cellStyle name="Percent 2" xfId="53" xr:uid="{0DF3BF98-DBCE-4EE5-82C7-FB27E5B20B71}"/>
    <cellStyle name="Standard 2" xfId="51" xr:uid="{C737A14E-4104-42B3-8F55-6B4C08F5DD8F}"/>
    <cellStyle name="Title" xfId="6" builtinId="15" customBuiltin="1"/>
    <cellStyle name="Total" xfId="22" builtinId="25" customBuiltin="1"/>
    <cellStyle name="Warning Text" xfId="19" builtinId="11" customBuiltin="1"/>
  </cellStyles>
  <dxfs count="71">
    <dxf>
      <font>
        <color theme="9"/>
      </font>
    </dxf>
    <dxf>
      <font>
        <color rgb="FF9C0006"/>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C00000"/>
      </font>
    </dxf>
    <dxf>
      <font>
        <color theme="9" tint="-0.24994659260841701"/>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5" tint="0.79998168889431442"/>
        </patternFill>
      </fill>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s>
  <tableStyles count="0" defaultTableStyle="TableStyleMedium2" defaultPivotStyle="PivotStyleLight16"/>
  <colors>
    <mruColors>
      <color rgb="FF0078D4"/>
      <color rgb="FFFFFF66"/>
      <color rgb="FF419CDA"/>
      <color rgb="FFCCCCFF"/>
      <color rgb="FF66FF66"/>
      <color rgb="FFFFCCFF"/>
      <color rgb="FF50E6FF"/>
      <color rgb="FFFFCC00"/>
      <color rgb="FFFFCC66"/>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686864633118971E-2"/>
          <c:y val="7.7436035274993922E-3"/>
          <c:w val="0.91931315554143944"/>
          <c:h val="0.9121677973442861"/>
        </c:manualLayout>
      </c:layout>
      <c:barChart>
        <c:barDir val="col"/>
        <c:grouping val="stacked"/>
        <c:varyColors val="0"/>
        <c:ser>
          <c:idx val="1"/>
          <c:order val="1"/>
          <c:tx>
            <c:strRef>
              <c:f>'Summary Financial Case'!$B$21</c:f>
              <c:strCache>
                <c:ptCount val="1"/>
                <c:pt idx="0">
                  <c:v>CAPEX</c:v>
                </c:pt>
              </c:strCache>
            </c:strRef>
          </c:tx>
          <c:spPr>
            <a:solidFill>
              <a:schemeClr val="accent1">
                <a:lumMod val="50000"/>
              </a:schemeClr>
            </a:solidFill>
            <a:ln w="25400">
              <a:noFill/>
            </a:ln>
            <a:effectLst/>
          </c:spPr>
          <c:invertIfNegative val="0"/>
          <c:cat>
            <c:strLit>
              <c:ptCount val="11"/>
              <c:pt idx="0">
                <c:v>Y0</c:v>
              </c:pt>
              <c:pt idx="1">
                <c:v>Y1 </c:v>
              </c:pt>
              <c:pt idx="2">
                <c:v>Y2</c:v>
              </c:pt>
              <c:pt idx="3">
                <c:v>Y3</c:v>
              </c:pt>
              <c:pt idx="4">
                <c:v>Y4</c:v>
              </c:pt>
              <c:pt idx="5">
                <c:v>Y5</c:v>
              </c:pt>
              <c:pt idx="6">
                <c:v>Y6</c:v>
              </c:pt>
              <c:pt idx="7">
                <c:v>Y7</c:v>
              </c:pt>
              <c:pt idx="8">
                <c:v>Y8</c:v>
              </c:pt>
              <c:pt idx="9">
                <c:v>Y9</c:v>
              </c:pt>
              <c:pt idx="10">
                <c:v>Y10</c:v>
              </c:pt>
            </c:strLit>
          </c:cat>
          <c:val>
            <c:numRef>
              <c:f>'Summary Financial Case'!$C$21:$M$21</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A224-48AC-BB4C-29A1ABDCA530}"/>
            </c:ext>
          </c:extLst>
        </c:ser>
        <c:ser>
          <c:idx val="2"/>
          <c:order val="2"/>
          <c:tx>
            <c:strRef>
              <c:f>'Summary Financial Case'!$B$22</c:f>
              <c:strCache>
                <c:ptCount val="1"/>
                <c:pt idx="0">
                  <c:v>OPEX</c:v>
                </c:pt>
              </c:strCache>
            </c:strRef>
          </c:tx>
          <c:spPr>
            <a:solidFill>
              <a:schemeClr val="accent1">
                <a:lumMod val="20000"/>
                <a:lumOff val="80000"/>
              </a:schemeClr>
            </a:solidFill>
            <a:ln>
              <a:noFill/>
            </a:ln>
            <a:effectLst/>
          </c:spPr>
          <c:invertIfNegative val="0"/>
          <c:cat>
            <c:strLit>
              <c:ptCount val="11"/>
              <c:pt idx="0">
                <c:v>Y0</c:v>
              </c:pt>
              <c:pt idx="1">
                <c:v>Y1 </c:v>
              </c:pt>
              <c:pt idx="2">
                <c:v>Y2</c:v>
              </c:pt>
              <c:pt idx="3">
                <c:v>Y3</c:v>
              </c:pt>
              <c:pt idx="4">
                <c:v>Y4</c:v>
              </c:pt>
              <c:pt idx="5">
                <c:v>Y5</c:v>
              </c:pt>
              <c:pt idx="6">
                <c:v>Y6</c:v>
              </c:pt>
              <c:pt idx="7">
                <c:v>Y7</c:v>
              </c:pt>
              <c:pt idx="8">
                <c:v>Y8</c:v>
              </c:pt>
              <c:pt idx="9">
                <c:v>Y9</c:v>
              </c:pt>
              <c:pt idx="10">
                <c:v>Y10</c:v>
              </c:pt>
            </c:strLit>
          </c:cat>
          <c:val>
            <c:numRef>
              <c:f>'Summary Financial Case'!$C$22:$M$22</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7-A224-48AC-BB4C-29A1ABDCA530}"/>
            </c:ext>
          </c:extLst>
        </c:ser>
        <c:ser>
          <c:idx val="6"/>
          <c:order val="3"/>
          <c:tx>
            <c:strRef>
              <c:f>'Summary Financial Case'!$B$23</c:f>
              <c:strCache>
                <c:ptCount val="1"/>
                <c:pt idx="0">
                  <c:v>Azure Costs</c:v>
                </c:pt>
              </c:strCache>
            </c:strRef>
          </c:tx>
          <c:spPr>
            <a:solidFill>
              <a:srgbClr val="0078D4"/>
            </a:solidFill>
            <a:ln>
              <a:noFill/>
              <a:prstDash val="dash"/>
            </a:ln>
            <a:effectLst/>
          </c:spPr>
          <c:invertIfNegative val="0"/>
          <c:val>
            <c:numRef>
              <c:f>'Summary Financial Case'!$C$23:$M$23</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3-A224-48AC-BB4C-29A1ABDCA530}"/>
            </c:ext>
          </c:extLst>
        </c:ser>
        <c:ser>
          <c:idx val="0"/>
          <c:order val="4"/>
          <c:tx>
            <c:strRef>
              <c:f>'Summary Financial Case'!$B$24</c:f>
              <c:strCache>
                <c:ptCount val="1"/>
                <c:pt idx="0">
                  <c:v>Migration Costs</c:v>
                </c:pt>
              </c:strCache>
            </c:strRef>
          </c:tx>
          <c:spPr>
            <a:solidFill>
              <a:srgbClr val="7030A0"/>
            </a:solidFill>
            <a:ln>
              <a:noFill/>
              <a:prstDash val="dash"/>
            </a:ln>
            <a:effectLst/>
          </c:spPr>
          <c:invertIfNegative val="0"/>
          <c:cat>
            <c:strLit>
              <c:ptCount val="11"/>
              <c:pt idx="0">
                <c:v>Y0</c:v>
              </c:pt>
              <c:pt idx="1">
                <c:v>Y1 </c:v>
              </c:pt>
              <c:pt idx="2">
                <c:v>Y2</c:v>
              </c:pt>
              <c:pt idx="3">
                <c:v>Y3</c:v>
              </c:pt>
              <c:pt idx="4">
                <c:v>Y4</c:v>
              </c:pt>
              <c:pt idx="5">
                <c:v>Y5</c:v>
              </c:pt>
              <c:pt idx="6">
                <c:v>Y6</c:v>
              </c:pt>
              <c:pt idx="7">
                <c:v>Y7</c:v>
              </c:pt>
              <c:pt idx="8">
                <c:v>Y8</c:v>
              </c:pt>
              <c:pt idx="9">
                <c:v>Y9</c:v>
              </c:pt>
              <c:pt idx="10">
                <c:v>Y10</c:v>
              </c:pt>
            </c:strLit>
          </c:cat>
          <c:val>
            <c:numRef>
              <c:f>'Summary Financial Case'!$C$24:$M$24</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F-A224-48AC-BB4C-29A1ABDCA530}"/>
            </c:ext>
          </c:extLst>
        </c:ser>
        <c:ser>
          <c:idx val="5"/>
          <c:order val="6"/>
          <c:tx>
            <c:strRef>
              <c:f>'Summary Financial Case'!$B$25</c:f>
              <c:strCache>
                <c:ptCount val="1"/>
                <c:pt idx="0">
                  <c:v>Microsoft Investments</c:v>
                </c:pt>
              </c:strCache>
            </c:strRef>
          </c:tx>
          <c:spPr>
            <a:pattFill prst="dkDnDiag">
              <a:fgClr>
                <a:schemeClr val="accent1">
                  <a:lumMod val="60000"/>
                  <a:lumOff val="40000"/>
                </a:schemeClr>
              </a:fgClr>
              <a:bgClr>
                <a:schemeClr val="bg1"/>
              </a:bgClr>
            </a:pattFill>
            <a:ln w="25400">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0-A224-48AC-BB4C-29A1ABDCA530}"/>
                </c:ext>
              </c:extLst>
            </c:dLbl>
            <c:dLbl>
              <c:idx val="1"/>
              <c:layout>
                <c:manualLayout>
                  <c:x val="0.1964583055047604"/>
                  <c:y val="-1.497847735770463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1-A224-48AC-BB4C-29A1ABDCA530}"/>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A224-48AC-BB4C-29A1ABDCA530}"/>
                </c:ext>
              </c:extLst>
            </c:dLbl>
            <c:dLbl>
              <c:idx val="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A224-48AC-BB4C-29A1ABDCA530}"/>
                </c:ext>
              </c:extLst>
            </c:dLbl>
            <c:dLbl>
              <c:idx val="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A224-48AC-BB4C-29A1ABDCA530}"/>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A224-48AC-BB4C-29A1ABDCA530}"/>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4A00-44EA-92E7-29B3F6C6CF9C}"/>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4A00-44EA-92E7-29B3F6C6CF9C}"/>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4A00-44EA-92E7-29B3F6C6CF9C}"/>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4A00-44EA-92E7-29B3F6C6CF9C}"/>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4A00-44EA-92E7-29B3F6C6CF9C}"/>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ptos" panose="020B0004020202020204" pitchFamily="34" charset="0"/>
                    <a:ea typeface="+mn-ea"/>
                    <a:cs typeface="Segoe UI Light" panose="020B0502040204020203" pitchFamily="34" charset="0"/>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'Summary Financial Case'!$C$25:$M$25</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'Summary Financial Case'!$AO$22:$AY$22</c15:f>
              </c15:datalabelsRange>
            </c:ext>
            <c:ext xmlns:c16="http://schemas.microsoft.com/office/drawing/2014/chart" uri="{C3380CC4-5D6E-409C-BE32-E72D297353CC}">
              <c16:uniqueId val="{0000003B-A224-48AC-BB4C-29A1ABDCA530}"/>
            </c:ext>
          </c:extLst>
        </c:ser>
        <c:ser>
          <c:idx val="7"/>
          <c:order val="7"/>
          <c:tx>
            <c:strRef>
              <c:f>'Summary Financial Case'!$B$27</c:f>
              <c:strCache>
                <c:ptCount val="1"/>
                <c:pt idx="0">
                  <c:v>Savings</c:v>
                </c:pt>
              </c:strCache>
            </c:strRef>
          </c:tx>
          <c:spPr>
            <a:pattFill prst="ltUpDiag">
              <a:fgClr>
                <a:srgbClr val="00B050"/>
              </a:fgClr>
              <a:bgClr>
                <a:schemeClr val="bg1"/>
              </a:bgClr>
            </a:pattFill>
          </c:spPr>
          <c:invertIfNegative val="0"/>
          <c:val>
            <c:numRef>
              <c:f>'Summary Financial Case'!$C$27:$M$27</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79E7-41B9-A134-996200F4624B}"/>
            </c:ext>
          </c:extLst>
        </c:ser>
        <c:dLbls>
          <c:showLegendKey val="0"/>
          <c:showVal val="0"/>
          <c:showCatName val="0"/>
          <c:showSerName val="0"/>
          <c:showPercent val="0"/>
          <c:showBubbleSize val="0"/>
        </c:dLbls>
        <c:gapWidth val="150"/>
        <c:overlap val="100"/>
        <c:axId val="1595883920"/>
        <c:axId val="1244584095"/>
      </c:barChart>
      <c:lineChart>
        <c:grouping val="standard"/>
        <c:varyColors val="0"/>
        <c:ser>
          <c:idx val="3"/>
          <c:order val="0"/>
          <c:tx>
            <c:strRef>
              <c:f>'Summary Financial Case'!$B$19</c:f>
              <c:strCache>
                <c:ptCount val="1"/>
                <c:pt idx="0">
                  <c:v>Status Quo Cash Flows</c:v>
                </c:pt>
              </c:strCache>
            </c:strRef>
          </c:tx>
          <c:spPr>
            <a:ln w="19050" cap="rnd">
              <a:solidFill>
                <a:schemeClr val="accent2"/>
              </a:solidFill>
              <a:prstDash val="dash"/>
              <a:round/>
            </a:ln>
            <a:effectLst/>
          </c:spPr>
          <c:marker>
            <c:symbol val="none"/>
          </c:marker>
          <c:dPt>
            <c:idx val="5"/>
            <c:bubble3D val="0"/>
            <c:extLst>
              <c:ext xmlns:c16="http://schemas.microsoft.com/office/drawing/2014/chart" uri="{C3380CC4-5D6E-409C-BE32-E72D297353CC}">
                <c16:uniqueId val="{0000003C-A224-48AC-BB4C-29A1ABDCA530}"/>
              </c:ext>
            </c:extLst>
          </c:dPt>
          <c:dLbls>
            <c:dLbl>
              <c:idx val="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3D-A224-48AC-BB4C-29A1ABDCA530}"/>
                </c:ext>
              </c:extLst>
            </c:dLbl>
            <c:dLbl>
              <c:idx val="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A224-48AC-BB4C-29A1ABDCA530}"/>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A224-48AC-BB4C-29A1ABDCA530}"/>
                </c:ext>
              </c:extLst>
            </c:dLbl>
            <c:dLbl>
              <c:idx val="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A224-48AC-BB4C-29A1ABDCA530}"/>
                </c:ext>
              </c:extLst>
            </c:dLbl>
            <c:dLbl>
              <c:idx val="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A224-48AC-BB4C-29A1ABDCA530}"/>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A224-48AC-BB4C-29A1ABDCA530}"/>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4A00-44EA-92E7-29B3F6C6CF9C}"/>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4A00-44EA-92E7-29B3F6C6CF9C}"/>
                </c:ext>
              </c:extLst>
            </c:dLbl>
            <c:dLbl>
              <c:idx val="8"/>
              <c:delete val="1"/>
              <c:extLst xmlns:c15="http://schemas.microsoft.com/office/drawing/2012/chart">
                <c:ext xmlns:c15="http://schemas.microsoft.com/office/drawing/2012/chart" uri="{CE6537A1-D6FC-4f65-9D91-7224C49458BB}">
                  <c15:layout>
                    <c:manualLayout>
                      <c:w val="0.21159687613341752"/>
                      <c:h val="0.10001980532904817"/>
                    </c:manualLayout>
                  </c15:layout>
                </c:ext>
                <c:ext xmlns:c16="http://schemas.microsoft.com/office/drawing/2014/chart" uri="{C3380CC4-5D6E-409C-BE32-E72D297353CC}">
                  <c16:uniqueId val="{00000001-4A00-44EA-92E7-29B3F6C6CF9C}"/>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4A00-44EA-92E7-29B3F6C6CF9C}"/>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4A00-44EA-92E7-29B3F6C6CF9C}"/>
                </c:ext>
              </c:extLst>
            </c:dLbl>
            <c:spPr>
              <a:noFill/>
              <a:ln>
                <a:noFill/>
              </a:ln>
              <a:effectLst/>
            </c:spPr>
            <c:txPr>
              <a:bodyPr rot="0" spcFirstLastPara="1" vertOverflow="ellipsis" vert="horz" wrap="none" anchor="ctr" anchorCtr="1"/>
              <a:lstStyle/>
              <a:p>
                <a:pPr>
                  <a:defRPr sz="1200" b="1" i="0" u="none" strike="noStrike" kern="1200" baseline="0">
                    <a:solidFill>
                      <a:srgbClr val="00B0F0"/>
                    </a:solidFill>
                    <a:latin typeface="Segoe UI Light" panose="020B0502040204020203" pitchFamily="34" charset="0"/>
                    <a:ea typeface="+mn-ea"/>
                    <a:cs typeface="Segoe UI Light" panose="020B0502040204020203" pitchFamily="34" charset="0"/>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cat>
            <c:numRef>
              <c:f>'Summary Financial Case'!$C$14:$M$14</c:f>
              <c:numCache>
                <c:formatCode>"Y"0</c:formatCode>
                <c:ptCount val="11"/>
                <c:pt idx="0">
                  <c:v>0</c:v>
                </c:pt>
                <c:pt idx="1">
                  <c:v>1</c:v>
                </c:pt>
                <c:pt idx="2">
                  <c:v>2</c:v>
                </c:pt>
                <c:pt idx="3">
                  <c:v>3</c:v>
                </c:pt>
                <c:pt idx="4">
                  <c:v>4</c:v>
                </c:pt>
                <c:pt idx="5">
                  <c:v>5</c:v>
                </c:pt>
                <c:pt idx="6">
                  <c:v>6</c:v>
                </c:pt>
                <c:pt idx="7">
                  <c:v>7</c:v>
                </c:pt>
                <c:pt idx="8">
                  <c:v>8</c:v>
                </c:pt>
                <c:pt idx="9">
                  <c:v>9</c:v>
                </c:pt>
                <c:pt idx="10">
                  <c:v>10</c:v>
                </c:pt>
              </c:numCache>
            </c:numRef>
          </c:cat>
          <c:val>
            <c:numRef>
              <c:f>'Summary Financial Case'!$C$19:$M$19</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smooth val="1"/>
          <c:extLst>
            <c:ext xmlns:c15="http://schemas.microsoft.com/office/drawing/2012/chart" uri="{02D57815-91ED-43cb-92C2-25804820EDAC}">
              <c15:datalabelsRange>
                <c15:f>'Summary Financial Case'!$AO$15:$AY$15</c15:f>
              </c15:datalabelsRange>
            </c:ext>
            <c:ext xmlns:c16="http://schemas.microsoft.com/office/drawing/2014/chart" uri="{C3380CC4-5D6E-409C-BE32-E72D297353CC}">
              <c16:uniqueId val="{00000047-A224-48AC-BB4C-29A1ABDCA530}"/>
            </c:ext>
          </c:extLst>
        </c:ser>
        <c:ser>
          <c:idx val="4"/>
          <c:order val="5"/>
          <c:tx>
            <c:strRef>
              <c:f>'Summary Financial Case'!$B$26</c:f>
              <c:strCache>
                <c:ptCount val="1"/>
                <c:pt idx="0">
                  <c:v>Azure Case Cash Flows</c:v>
                </c:pt>
              </c:strCache>
            </c:strRef>
          </c:tx>
          <c:spPr>
            <a:ln w="25400" cap="rnd">
              <a:solidFill>
                <a:srgbClr val="00B0F0"/>
              </a:solidFill>
              <a:prstDash val="dash"/>
              <a:round/>
            </a:ln>
            <a:effectLst/>
          </c:spPr>
          <c:marker>
            <c:symbol val="none"/>
          </c:marker>
          <c:dLbls>
            <c:dLbl>
              <c:idx val="0"/>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48-A224-48AC-BB4C-29A1ABDCA530}"/>
                </c:ext>
              </c:extLst>
            </c:dLbl>
            <c:dLbl>
              <c:idx val="1"/>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49-A224-48AC-BB4C-29A1ABDCA530}"/>
                </c:ext>
              </c:extLst>
            </c:dLbl>
            <c:dLbl>
              <c:idx val="2"/>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4A-A224-48AC-BB4C-29A1ABDCA530}"/>
                </c:ext>
              </c:extLst>
            </c:dLbl>
            <c:dLbl>
              <c:idx val="3"/>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4B-A224-48AC-BB4C-29A1ABDCA530}"/>
                </c:ext>
              </c:extLst>
            </c:dLbl>
            <c:dLbl>
              <c:idx val="4"/>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4C-A224-48AC-BB4C-29A1ABDCA530}"/>
                </c:ext>
              </c:extLst>
            </c:dLbl>
            <c:dLbl>
              <c:idx val="5"/>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4D-A224-48AC-BB4C-29A1ABDCA530}"/>
                </c:ext>
              </c:extLst>
            </c:dLbl>
            <c:dLbl>
              <c:idx val="6"/>
              <c:tx>
                <c:rich>
                  <a:bodyPr/>
                  <a:lstStyle/>
                  <a:p>
                    <a:endParaRPr lang="en-US"/>
                  </a:p>
                </c:rich>
              </c:tx>
              <c:dLblPos val="b"/>
              <c:showLegendKey val="0"/>
              <c:showVal val="0"/>
              <c:showCatName val="0"/>
              <c:showSerName val="0"/>
              <c:showPercent val="0"/>
              <c:showBubbleSize val="0"/>
              <c:extLst xmlns:c15="http://schemas.microsoft.com/office/drawing/2012/char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02-4A00-44EA-92E7-29B3F6C6CF9C}"/>
                </c:ext>
              </c:extLst>
            </c:dLbl>
            <c:dLbl>
              <c:idx val="7"/>
              <c:tx>
                <c:rich>
                  <a:bodyPr/>
                  <a:lstStyle/>
                  <a:p>
                    <a:endParaRPr lang="en-US"/>
                  </a:p>
                </c:rich>
              </c:tx>
              <c:dLblPos val="b"/>
              <c:showLegendKey val="0"/>
              <c:showVal val="0"/>
              <c:showCatName val="0"/>
              <c:showSerName val="0"/>
              <c:showPercent val="0"/>
              <c:showBubbleSize val="0"/>
              <c:extLst xmlns:c15="http://schemas.microsoft.com/office/drawing/2012/char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03-4A00-44EA-92E7-29B3F6C6CF9C}"/>
                </c:ext>
              </c:extLst>
            </c:dLbl>
            <c:dLbl>
              <c:idx val="8"/>
              <c:delete val="1"/>
              <c:extLst xmlns:c15="http://schemas.microsoft.com/office/drawing/2012/chart">
                <c:ext xmlns:c15="http://schemas.microsoft.com/office/drawing/2012/chart" uri="{CE6537A1-D6FC-4f65-9D91-7224C49458BB}">
                  <c15:layout>
                    <c:manualLayout>
                      <c:w val="0.19347786785415239"/>
                      <c:h val="8.8352344520129078E-2"/>
                    </c:manualLayout>
                  </c15:layout>
                </c:ext>
                <c:ext xmlns:c16="http://schemas.microsoft.com/office/drawing/2014/chart" uri="{C3380CC4-5D6E-409C-BE32-E72D297353CC}">
                  <c16:uniqueId val="{00000004-4A00-44EA-92E7-29B3F6C6CF9C}"/>
                </c:ext>
              </c:extLst>
            </c:dLbl>
            <c:dLbl>
              <c:idx val="9"/>
              <c:tx>
                <c:rich>
                  <a:bodyPr/>
                  <a:lstStyle/>
                  <a:p>
                    <a:endParaRPr lang="en-US"/>
                  </a:p>
                </c:rich>
              </c:tx>
              <c:dLblPos val="b"/>
              <c:showLegendKey val="0"/>
              <c:showVal val="0"/>
              <c:showCatName val="0"/>
              <c:showSerName val="0"/>
              <c:showPercent val="0"/>
              <c:showBubbleSize val="0"/>
              <c:extLst xmlns:c15="http://schemas.microsoft.com/office/drawing/2012/char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05-4A00-44EA-92E7-29B3F6C6CF9C}"/>
                </c:ext>
              </c:extLst>
            </c:dLbl>
            <c:dLbl>
              <c:idx val="10"/>
              <c:tx>
                <c:rich>
                  <a:bodyPr/>
                  <a:lstStyle/>
                  <a:p>
                    <a:endParaRPr lang="en-US"/>
                  </a:p>
                </c:rich>
              </c:tx>
              <c:dLblPos val="b"/>
              <c:showLegendKey val="0"/>
              <c:showVal val="0"/>
              <c:showCatName val="0"/>
              <c:showSerName val="0"/>
              <c:showPercent val="0"/>
              <c:showBubbleSize val="0"/>
              <c:extLst xmlns:c15="http://schemas.microsoft.com/office/drawing/2012/char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06-4A00-44EA-92E7-29B3F6C6CF9C}"/>
                </c:ext>
              </c:extLst>
            </c:dLbl>
            <c:spPr>
              <a:noFill/>
              <a:ln>
                <a:noFill/>
              </a:ln>
              <a:effectLst/>
            </c:spPr>
            <c:txPr>
              <a:bodyPr rot="0" spcFirstLastPara="1" vertOverflow="overflow" horzOverflow="overflow" vert="horz" wrap="none" anchor="ctr" anchorCtr="1">
                <a:noAutofit/>
              </a:bodyPr>
              <a:lstStyle/>
              <a:p>
                <a:pPr>
                  <a:defRPr sz="1200" b="1" i="0" u="none" strike="noStrike" kern="1200" baseline="0">
                    <a:solidFill>
                      <a:schemeClr val="accent2"/>
                    </a:solidFill>
                    <a:latin typeface="Aptos" panose="020B0004020202020204" pitchFamily="34" charset="0"/>
                    <a:ea typeface="+mn-ea"/>
                    <a:cs typeface="Segoe UI Light" panose="020B0502040204020203" pitchFamily="34" charset="0"/>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'Summary Financial Case'!$C$14:$M$14</c:f>
              <c:numCache>
                <c:formatCode>"Y"0</c:formatCode>
                <c:ptCount val="11"/>
                <c:pt idx="0">
                  <c:v>0</c:v>
                </c:pt>
                <c:pt idx="1">
                  <c:v>1</c:v>
                </c:pt>
                <c:pt idx="2">
                  <c:v>2</c:v>
                </c:pt>
                <c:pt idx="3">
                  <c:v>3</c:v>
                </c:pt>
                <c:pt idx="4">
                  <c:v>4</c:v>
                </c:pt>
                <c:pt idx="5">
                  <c:v>5</c:v>
                </c:pt>
                <c:pt idx="6">
                  <c:v>6</c:v>
                </c:pt>
                <c:pt idx="7">
                  <c:v>7</c:v>
                </c:pt>
                <c:pt idx="8">
                  <c:v>8</c:v>
                </c:pt>
                <c:pt idx="9">
                  <c:v>9</c:v>
                </c:pt>
                <c:pt idx="10">
                  <c:v>10</c:v>
                </c:pt>
              </c:numCache>
            </c:numRef>
          </c:cat>
          <c:val>
            <c:numRef>
              <c:f>'Summary Financial Case'!$C$26:$M$26</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smooth val="1"/>
          <c:extLst>
            <c:ext xmlns:c15="http://schemas.microsoft.com/office/drawing/2012/chart" uri="{02D57815-91ED-43cb-92C2-25804820EDAC}">
              <c15:datalabelsRange>
                <c15:f>'Summary Financial Case'!$AO$16:$AY$16</c15:f>
              </c15:datalabelsRange>
            </c:ext>
            <c:ext xmlns:c16="http://schemas.microsoft.com/office/drawing/2014/chart" uri="{C3380CC4-5D6E-409C-BE32-E72D297353CC}">
              <c16:uniqueId val="{00000053-A224-48AC-BB4C-29A1ABDCA530}"/>
            </c:ext>
          </c:extLst>
        </c:ser>
        <c:dLbls>
          <c:showLegendKey val="0"/>
          <c:showVal val="0"/>
          <c:showCatName val="0"/>
          <c:showSerName val="0"/>
          <c:showPercent val="0"/>
          <c:showBubbleSize val="0"/>
        </c:dLbls>
        <c:marker val="1"/>
        <c:smooth val="0"/>
        <c:axId val="1595883920"/>
        <c:axId val="1244584095"/>
      </c:lineChart>
      <c:catAx>
        <c:axId val="1595883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ptos" panose="020B0004020202020204" pitchFamily="34" charset="0"/>
                <a:ea typeface="+mn-ea"/>
                <a:cs typeface="Segoe UI Light" panose="020B0502040204020203" pitchFamily="34" charset="0"/>
              </a:defRPr>
            </a:pPr>
            <a:endParaRPr lang="en-US"/>
          </a:p>
        </c:txPr>
        <c:crossAx val="1244584095"/>
        <c:crosses val="autoZero"/>
        <c:auto val="1"/>
        <c:lblAlgn val="ctr"/>
        <c:lblOffset val="100"/>
        <c:noMultiLvlLbl val="0"/>
      </c:catAx>
      <c:valAx>
        <c:axId val="1244584095"/>
        <c:scaling>
          <c:orientation val="minMax"/>
        </c:scaling>
        <c:delete val="1"/>
        <c:axPos val="l"/>
        <c:numFmt formatCode="&quot;$&quot;#,##0.0,,&quot;M&quot;;\(&quot;$&quot;#,##0.0,,&quot;M&quot;\)" sourceLinked="1"/>
        <c:majorTickMark val="out"/>
        <c:minorTickMark val="none"/>
        <c:tickLblPos val="nextTo"/>
        <c:crossAx val="1595883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latin typeface="Segoe UI Light" panose="020B0502040204020203" pitchFamily="34" charset="0"/>
          <a:cs typeface="Segoe UI Light" panose="020B0502040204020203" pitchFamily="34" charset="0"/>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371728501265441E-3"/>
          <c:y val="4.4338636873541865E-2"/>
          <c:w val="0.99433396884670988"/>
          <c:h val="0.8684258745810931"/>
        </c:manualLayout>
      </c:layout>
      <c:barChart>
        <c:barDir val="col"/>
        <c:grouping val="stacked"/>
        <c:varyColors val="0"/>
        <c:ser>
          <c:idx val="1"/>
          <c:order val="1"/>
          <c:tx>
            <c:strRef>
              <c:f>'Summary Financial Case'!$B$37</c:f>
              <c:strCache>
                <c:ptCount val="1"/>
                <c:pt idx="0">
                  <c:v>OPEX</c:v>
                </c:pt>
              </c:strCache>
            </c:strRef>
          </c:tx>
          <c:spPr>
            <a:solidFill>
              <a:schemeClr val="accent1">
                <a:lumMod val="20000"/>
                <a:lumOff val="80000"/>
              </a:schemeClr>
            </a:solidFill>
            <a:ln w="25400">
              <a:noFill/>
            </a:ln>
            <a:effectLst/>
          </c:spPr>
          <c:invertIfNegative val="0"/>
          <c:cat>
            <c:numRef>
              <c:f>'Summary Financial Case'!$C$31:$M$31</c:f>
              <c:numCache>
                <c:formatCode>"Y"0</c:formatCode>
                <c:ptCount val="11"/>
                <c:pt idx="0">
                  <c:v>0</c:v>
                </c:pt>
                <c:pt idx="1">
                  <c:v>1</c:v>
                </c:pt>
                <c:pt idx="2">
                  <c:v>2</c:v>
                </c:pt>
                <c:pt idx="3">
                  <c:v>3</c:v>
                </c:pt>
                <c:pt idx="4">
                  <c:v>4</c:v>
                </c:pt>
                <c:pt idx="5">
                  <c:v>5</c:v>
                </c:pt>
                <c:pt idx="6">
                  <c:v>6</c:v>
                </c:pt>
                <c:pt idx="7">
                  <c:v>7</c:v>
                </c:pt>
                <c:pt idx="8">
                  <c:v>8</c:v>
                </c:pt>
                <c:pt idx="9">
                  <c:v>9</c:v>
                </c:pt>
                <c:pt idx="10">
                  <c:v>10</c:v>
                </c:pt>
              </c:numCache>
            </c:numRef>
          </c:cat>
          <c:val>
            <c:numRef>
              <c:f>'Summary Financial Case'!$C$37:$M$37</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B-B9F2-4202-ACE1-68D7B0C9DFB6}"/>
            </c:ext>
          </c:extLst>
        </c:ser>
        <c:ser>
          <c:idx val="2"/>
          <c:order val="2"/>
          <c:tx>
            <c:strRef>
              <c:f>'Summary Financial Case'!$B$38</c:f>
              <c:strCache>
                <c:ptCount val="1"/>
                <c:pt idx="0">
                  <c:v>Azure Costs</c:v>
                </c:pt>
              </c:strCache>
            </c:strRef>
          </c:tx>
          <c:spPr>
            <a:solidFill>
              <a:srgbClr val="0078D4"/>
            </a:solidFill>
            <a:ln w="25400">
              <a:noFill/>
            </a:ln>
            <a:effectLst/>
          </c:spPr>
          <c:invertIfNegative val="0"/>
          <c:cat>
            <c:numRef>
              <c:f>'Summary Financial Case'!$C$31:$M$31</c:f>
              <c:numCache>
                <c:formatCode>"Y"0</c:formatCode>
                <c:ptCount val="11"/>
                <c:pt idx="0">
                  <c:v>0</c:v>
                </c:pt>
                <c:pt idx="1">
                  <c:v>1</c:v>
                </c:pt>
                <c:pt idx="2">
                  <c:v>2</c:v>
                </c:pt>
                <c:pt idx="3">
                  <c:v>3</c:v>
                </c:pt>
                <c:pt idx="4">
                  <c:v>4</c:v>
                </c:pt>
                <c:pt idx="5">
                  <c:v>5</c:v>
                </c:pt>
                <c:pt idx="6">
                  <c:v>6</c:v>
                </c:pt>
                <c:pt idx="7">
                  <c:v>7</c:v>
                </c:pt>
                <c:pt idx="8">
                  <c:v>8</c:v>
                </c:pt>
                <c:pt idx="9">
                  <c:v>9</c:v>
                </c:pt>
                <c:pt idx="10">
                  <c:v>10</c:v>
                </c:pt>
              </c:numCache>
            </c:numRef>
          </c:cat>
          <c:val>
            <c:numRef>
              <c:f>'Summary Financial Case'!$C$38:$M$38</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7-B9F2-4202-ACE1-68D7B0C9DFB6}"/>
            </c:ext>
          </c:extLst>
        </c:ser>
        <c:ser>
          <c:idx val="6"/>
          <c:order val="3"/>
          <c:tx>
            <c:strRef>
              <c:f>'Summary Financial Case'!$B$39</c:f>
              <c:strCache>
                <c:ptCount val="1"/>
                <c:pt idx="0">
                  <c:v>Migration Costs</c:v>
                </c:pt>
              </c:strCache>
            </c:strRef>
          </c:tx>
          <c:spPr>
            <a:solidFill>
              <a:srgbClr val="7030A0"/>
            </a:solidFill>
            <a:ln w="25400">
              <a:noFill/>
            </a:ln>
            <a:effectLst/>
          </c:spPr>
          <c:invertIfNegative val="0"/>
          <c:cat>
            <c:numRef>
              <c:f>'Summary Financial Case'!$C$31:$M$31</c:f>
              <c:numCache>
                <c:formatCode>"Y"0</c:formatCode>
                <c:ptCount val="11"/>
                <c:pt idx="0">
                  <c:v>0</c:v>
                </c:pt>
                <c:pt idx="1">
                  <c:v>1</c:v>
                </c:pt>
                <c:pt idx="2">
                  <c:v>2</c:v>
                </c:pt>
                <c:pt idx="3">
                  <c:v>3</c:v>
                </c:pt>
                <c:pt idx="4">
                  <c:v>4</c:v>
                </c:pt>
                <c:pt idx="5">
                  <c:v>5</c:v>
                </c:pt>
                <c:pt idx="6">
                  <c:v>6</c:v>
                </c:pt>
                <c:pt idx="7">
                  <c:v>7</c:v>
                </c:pt>
                <c:pt idx="8">
                  <c:v>8</c:v>
                </c:pt>
                <c:pt idx="9">
                  <c:v>9</c:v>
                </c:pt>
                <c:pt idx="10">
                  <c:v>10</c:v>
                </c:pt>
              </c:numCache>
            </c:numRef>
          </c:cat>
          <c:val>
            <c:numRef>
              <c:f>'Summary Financial Case'!$C$39:$M$39</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23-B9F2-4202-ACE1-68D7B0C9DFB6}"/>
            </c:ext>
          </c:extLst>
        </c:ser>
        <c:ser>
          <c:idx val="0"/>
          <c:order val="4"/>
          <c:tx>
            <c:strRef>
              <c:f>'Summary Financial Case'!$B$40</c:f>
              <c:strCache>
                <c:ptCount val="1"/>
                <c:pt idx="0">
                  <c:v>Microsoft Investments</c:v>
                </c:pt>
              </c:strCache>
            </c:strRef>
          </c:tx>
          <c:spPr>
            <a:pattFill prst="dkUpDiag">
              <a:fgClr>
                <a:schemeClr val="accent1">
                  <a:lumMod val="60000"/>
                  <a:lumOff val="40000"/>
                </a:schemeClr>
              </a:fgClr>
              <a:bgClr>
                <a:schemeClr val="bg1"/>
              </a:bgClr>
            </a:pattFill>
            <a:ln w="25400">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4-B9F2-4202-ACE1-68D7B0C9DFB6}"/>
                </c:ext>
              </c:extLst>
            </c:dLbl>
            <c:dLbl>
              <c:idx val="1"/>
              <c:layout>
                <c:manualLayout>
                  <c:x val="0.20881890640496265"/>
                  <c:y val="-1.5345650205144076E-2"/>
                </c:manualLayout>
              </c:layout>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ptos" panose="020B0004020202020204" pitchFamily="34" charset="0"/>
                        <a:ea typeface="+mn-ea"/>
                        <a:cs typeface="Segoe UI Light" panose="020B0502040204020203" pitchFamily="34" charset="0"/>
                      </a:defRPr>
                    </a:pPr>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25-B9F2-4202-ACE1-68D7B0C9DFB6}"/>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B9F2-4202-ACE1-68D7B0C9DFB6}"/>
                </c:ext>
              </c:extLst>
            </c:dLbl>
            <c:dLbl>
              <c:idx val="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B9F2-4202-ACE1-68D7B0C9DFB6}"/>
                </c:ext>
              </c:extLst>
            </c:dLbl>
            <c:dLbl>
              <c:idx val="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B9F2-4202-ACE1-68D7B0C9DFB6}"/>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B9F2-4202-ACE1-68D7B0C9DFB6}"/>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9A14-48BF-BD41-349B1EF4AB59}"/>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9A14-48BF-BD41-349B1EF4AB59}"/>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9A14-48BF-BD41-349B1EF4AB59}"/>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9A14-48BF-BD41-349B1EF4AB59}"/>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9A14-48BF-BD41-349B1EF4AB5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f>'Summary Financial Case'!$C$31:$M$31</c:f>
              <c:numCache>
                <c:formatCode>"Y"0</c:formatCode>
                <c:ptCount val="11"/>
                <c:pt idx="0">
                  <c:v>0</c:v>
                </c:pt>
                <c:pt idx="1">
                  <c:v>1</c:v>
                </c:pt>
                <c:pt idx="2">
                  <c:v>2</c:v>
                </c:pt>
                <c:pt idx="3">
                  <c:v>3</c:v>
                </c:pt>
                <c:pt idx="4">
                  <c:v>4</c:v>
                </c:pt>
                <c:pt idx="5">
                  <c:v>5</c:v>
                </c:pt>
                <c:pt idx="6">
                  <c:v>6</c:v>
                </c:pt>
                <c:pt idx="7">
                  <c:v>7</c:v>
                </c:pt>
                <c:pt idx="8">
                  <c:v>8</c:v>
                </c:pt>
                <c:pt idx="9">
                  <c:v>9</c:v>
                </c:pt>
                <c:pt idx="10">
                  <c:v>10</c:v>
                </c:pt>
              </c:numCache>
            </c:numRef>
          </c:cat>
          <c:val>
            <c:numRef>
              <c:f>'Summary Financial Case'!$C$40:$M$40</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'Summary Financial Case'!$AO$39:$AY$39</c15:f>
              </c15:datalabelsRange>
            </c:ext>
            <c:ext xmlns:c16="http://schemas.microsoft.com/office/drawing/2014/chart" uri="{C3380CC4-5D6E-409C-BE32-E72D297353CC}">
              <c16:uniqueId val="{0000002F-B9F2-4202-ACE1-68D7B0C9DFB6}"/>
            </c:ext>
          </c:extLst>
        </c:ser>
        <c:ser>
          <c:idx val="5"/>
          <c:order val="6"/>
          <c:tx>
            <c:strRef>
              <c:f>'Summary Financial Case'!$B$42</c:f>
              <c:strCache>
                <c:ptCount val="1"/>
                <c:pt idx="0">
                  <c:v>Savings</c:v>
                </c:pt>
              </c:strCache>
            </c:strRef>
          </c:tx>
          <c:spPr>
            <a:pattFill prst="ltUpDiag">
              <a:fgClr>
                <a:srgbClr val="00B050"/>
              </a:fgClr>
              <a:bgClr>
                <a:schemeClr val="bg1"/>
              </a:bgClr>
            </a:pattFill>
          </c:spPr>
          <c:invertIfNegative val="0"/>
          <c:val>
            <c:numRef>
              <c:f>'Summary Financial Case'!$C$42:$M$42</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007E-4686-AAFE-AD33E5B44EBA}"/>
            </c:ext>
          </c:extLst>
        </c:ser>
        <c:dLbls>
          <c:showLegendKey val="0"/>
          <c:showVal val="0"/>
          <c:showCatName val="0"/>
          <c:showSerName val="0"/>
          <c:showPercent val="0"/>
          <c:showBubbleSize val="0"/>
        </c:dLbls>
        <c:gapWidth val="150"/>
        <c:overlap val="100"/>
        <c:axId val="1595883920"/>
        <c:axId val="1244584095"/>
      </c:barChart>
      <c:lineChart>
        <c:grouping val="standard"/>
        <c:varyColors val="0"/>
        <c:ser>
          <c:idx val="3"/>
          <c:order val="0"/>
          <c:tx>
            <c:strRef>
              <c:f>'Summary Financial Case'!$B$35</c:f>
              <c:strCache>
                <c:ptCount val="1"/>
                <c:pt idx="0">
                  <c:v>Status Quo P&amp;L</c:v>
                </c:pt>
              </c:strCache>
            </c:strRef>
          </c:tx>
          <c:spPr>
            <a:ln w="25400" cap="rnd">
              <a:solidFill>
                <a:schemeClr val="accent2"/>
              </a:solidFill>
              <a:prstDash val="dash"/>
              <a:round/>
            </a:ln>
            <a:effectLst/>
          </c:spPr>
          <c:marker>
            <c:symbol val="none"/>
          </c:marker>
          <c:cat>
            <c:numRef>
              <c:f>'Summary Financial Case'!$C$14:$M$14</c:f>
              <c:numCache>
                <c:formatCode>"Y"0</c:formatCode>
                <c:ptCount val="11"/>
                <c:pt idx="0">
                  <c:v>0</c:v>
                </c:pt>
                <c:pt idx="1">
                  <c:v>1</c:v>
                </c:pt>
                <c:pt idx="2">
                  <c:v>2</c:v>
                </c:pt>
                <c:pt idx="3">
                  <c:v>3</c:v>
                </c:pt>
                <c:pt idx="4">
                  <c:v>4</c:v>
                </c:pt>
                <c:pt idx="5">
                  <c:v>5</c:v>
                </c:pt>
                <c:pt idx="6">
                  <c:v>6</c:v>
                </c:pt>
                <c:pt idx="7">
                  <c:v>7</c:v>
                </c:pt>
                <c:pt idx="8">
                  <c:v>8</c:v>
                </c:pt>
                <c:pt idx="9">
                  <c:v>9</c:v>
                </c:pt>
                <c:pt idx="10">
                  <c:v>10</c:v>
                </c:pt>
              </c:numCache>
            </c:numRef>
          </c:cat>
          <c:val>
            <c:numRef>
              <c:f>'Summary Financial Case'!$C$35:$M$35</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smooth val="1"/>
          <c:extLst>
            <c:ext xmlns:c16="http://schemas.microsoft.com/office/drawing/2014/chart" uri="{C3380CC4-5D6E-409C-BE32-E72D297353CC}">
              <c16:uniqueId val="{0000003B-B9F2-4202-ACE1-68D7B0C9DFB6}"/>
            </c:ext>
          </c:extLst>
        </c:ser>
        <c:ser>
          <c:idx val="4"/>
          <c:order val="5"/>
          <c:tx>
            <c:strRef>
              <c:f>'Summary Financial Case'!$B$41</c:f>
              <c:strCache>
                <c:ptCount val="1"/>
                <c:pt idx="0">
                  <c:v>Azure Case P&amp;L</c:v>
                </c:pt>
              </c:strCache>
            </c:strRef>
          </c:tx>
          <c:spPr>
            <a:ln w="25400" cap="rnd">
              <a:solidFill>
                <a:srgbClr val="00B0F0"/>
              </a:solidFill>
              <a:prstDash val="dash"/>
              <a:round/>
            </a:ln>
            <a:effectLst/>
          </c:spPr>
          <c:marker>
            <c:symbol val="none"/>
          </c:marker>
          <c:cat>
            <c:numRef>
              <c:f>'Summary Financial Case'!$C$14:$M$14</c:f>
              <c:numCache>
                <c:formatCode>"Y"0</c:formatCode>
                <c:ptCount val="11"/>
                <c:pt idx="0">
                  <c:v>0</c:v>
                </c:pt>
                <c:pt idx="1">
                  <c:v>1</c:v>
                </c:pt>
                <c:pt idx="2">
                  <c:v>2</c:v>
                </c:pt>
                <c:pt idx="3">
                  <c:v>3</c:v>
                </c:pt>
                <c:pt idx="4">
                  <c:v>4</c:v>
                </c:pt>
                <c:pt idx="5">
                  <c:v>5</c:v>
                </c:pt>
                <c:pt idx="6">
                  <c:v>6</c:v>
                </c:pt>
                <c:pt idx="7">
                  <c:v>7</c:v>
                </c:pt>
                <c:pt idx="8">
                  <c:v>8</c:v>
                </c:pt>
                <c:pt idx="9">
                  <c:v>9</c:v>
                </c:pt>
                <c:pt idx="10">
                  <c:v>10</c:v>
                </c:pt>
              </c:numCache>
            </c:numRef>
          </c:cat>
          <c:val>
            <c:numRef>
              <c:f>'Summary Financial Case'!$C$41:$M$41</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smooth val="1"/>
          <c:extLst>
            <c:ext xmlns:c16="http://schemas.microsoft.com/office/drawing/2014/chart" uri="{C3380CC4-5D6E-409C-BE32-E72D297353CC}">
              <c16:uniqueId val="{00000047-B9F2-4202-ACE1-68D7B0C9DFB6}"/>
            </c:ext>
          </c:extLst>
        </c:ser>
        <c:dLbls>
          <c:showLegendKey val="0"/>
          <c:showVal val="0"/>
          <c:showCatName val="0"/>
          <c:showSerName val="0"/>
          <c:showPercent val="0"/>
          <c:showBubbleSize val="0"/>
        </c:dLbls>
        <c:marker val="1"/>
        <c:smooth val="0"/>
        <c:axId val="1595883920"/>
        <c:axId val="1244584095"/>
      </c:lineChart>
      <c:catAx>
        <c:axId val="1595883920"/>
        <c:scaling>
          <c:orientation val="minMax"/>
        </c:scaling>
        <c:delete val="0"/>
        <c:axPos val="b"/>
        <c:numFmt formatCode="&quot;Y&quot;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Segoe UI Light" panose="020B0502040204020203" pitchFamily="34" charset="0"/>
              </a:defRPr>
            </a:pPr>
            <a:endParaRPr lang="en-US"/>
          </a:p>
        </c:txPr>
        <c:crossAx val="1244584095"/>
        <c:crosses val="autoZero"/>
        <c:auto val="1"/>
        <c:lblAlgn val="ctr"/>
        <c:lblOffset val="100"/>
        <c:noMultiLvlLbl val="0"/>
      </c:catAx>
      <c:valAx>
        <c:axId val="1244584095"/>
        <c:scaling>
          <c:orientation val="minMax"/>
        </c:scaling>
        <c:delete val="1"/>
        <c:axPos val="l"/>
        <c:numFmt formatCode="&quot;$&quot;#,##0.0,,&quot;M&quot;;\(&quot;$&quot;#,##0.0,,&quot;M&quot;\)" sourceLinked="1"/>
        <c:majorTickMark val="none"/>
        <c:minorTickMark val="none"/>
        <c:tickLblPos val="nextTo"/>
        <c:crossAx val="1595883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1">
          <a:latin typeface="Segoe UI Light" panose="020B0502040204020203" pitchFamily="34" charset="0"/>
          <a:cs typeface="Segoe UI Light" panose="020B0502040204020203" pitchFamily="34" charset="0"/>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263963131822333E-2"/>
          <c:y val="7.7435070364184752E-3"/>
          <c:w val="0.91931315554143944"/>
          <c:h val="0.9121677973442861"/>
        </c:manualLayout>
      </c:layout>
      <c:barChart>
        <c:barDir val="col"/>
        <c:grouping val="stacked"/>
        <c:varyColors val="0"/>
        <c:ser>
          <c:idx val="1"/>
          <c:order val="1"/>
          <c:tx>
            <c:strRef>
              <c:f>'Summary Financial Case'!$B$21</c:f>
              <c:strCache>
                <c:ptCount val="1"/>
                <c:pt idx="0">
                  <c:v>CAPEX</c:v>
                </c:pt>
              </c:strCache>
            </c:strRef>
          </c:tx>
          <c:spPr>
            <a:solidFill>
              <a:schemeClr val="accent1">
                <a:lumMod val="50000"/>
              </a:schemeClr>
            </a:solidFill>
            <a:ln w="25400">
              <a:noFill/>
            </a:ln>
            <a:effectLst/>
          </c:spPr>
          <c:invertIfNegative val="0"/>
          <c:cat>
            <c:strRef>
              <c:extLst>
                <c:ext xmlns:c16="http://schemas.microsoft.com/office/drawing/2014/chart" uri="{F5D05F6E-A05E-4728-AFD3-386EB277150F}">
                  <c16:filteredLitCache>
                    <c:strCache>
                      <c:ptCount val="5"/>
                      <c:pt idx="6">
                        <c:v>Y6</c:v>
                      </c:pt>
                      <c:pt idx="7">
                        <c:v>Y7</c:v>
                      </c:pt>
                      <c:pt idx="8">
                        <c:v>Y8</c:v>
                      </c:pt>
                      <c:pt idx="9">
                        <c:v>Y9</c:v>
                      </c:pt>
                      <c:pt idx="10">
                        <c:v>Y10</c:v>
                      </c:pt>
                    </c:strCache>
                  </c16:filteredLitCache>
                </c:ext>
              </c:extLst>
              <c:f/>
              <c:strCache>
                <c:ptCount val="6"/>
                <c:pt idx="0">
                  <c:v>Y0</c:v>
                </c:pt>
                <c:pt idx="1">
                  <c:v>Y1 </c:v>
                </c:pt>
                <c:pt idx="2">
                  <c:v>Y2</c:v>
                </c:pt>
                <c:pt idx="3">
                  <c:v>Y3</c:v>
                </c:pt>
                <c:pt idx="4">
                  <c:v>Y4</c:v>
                </c:pt>
                <c:pt idx="5">
                  <c:v>Y5</c:v>
                </c:pt>
              </c:strCache>
            </c:strRef>
          </c:cat>
          <c:val>
            <c:numRef>
              <c:extLst>
                <c:ext xmlns:c15="http://schemas.microsoft.com/office/drawing/2012/chart" uri="{02D57815-91ED-43cb-92C2-25804820EDAC}">
                  <c15:fullRef>
                    <c15:sqref>'Summary Financial Case'!$C$21:$M$21</c15:sqref>
                  </c15:fullRef>
                </c:ext>
              </c:extLst>
              <c:f>'Summary Financial Case'!$C$21:$H$21</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8CD-4CC0-B8D8-D1187A54C78B}"/>
            </c:ext>
          </c:extLst>
        </c:ser>
        <c:ser>
          <c:idx val="2"/>
          <c:order val="2"/>
          <c:tx>
            <c:strRef>
              <c:f>'Summary Financial Case'!$B$22</c:f>
              <c:strCache>
                <c:ptCount val="1"/>
                <c:pt idx="0">
                  <c:v>OPEX</c:v>
                </c:pt>
              </c:strCache>
            </c:strRef>
          </c:tx>
          <c:spPr>
            <a:solidFill>
              <a:schemeClr val="accent1">
                <a:lumMod val="20000"/>
                <a:lumOff val="80000"/>
              </a:schemeClr>
            </a:solidFill>
            <a:ln>
              <a:noFill/>
            </a:ln>
            <a:effectLst/>
          </c:spPr>
          <c:invertIfNegative val="0"/>
          <c:cat>
            <c:strRef>
              <c:extLst>
                <c:ext xmlns:c16="http://schemas.microsoft.com/office/drawing/2014/chart" uri="{F5D05F6E-A05E-4728-AFD3-386EB277150F}">
                  <c16:filteredLitCache>
                    <c:strCache>
                      <c:ptCount val="5"/>
                      <c:pt idx="6">
                        <c:v>Y6</c:v>
                      </c:pt>
                      <c:pt idx="7">
                        <c:v>Y7</c:v>
                      </c:pt>
                      <c:pt idx="8">
                        <c:v>Y8</c:v>
                      </c:pt>
                      <c:pt idx="9">
                        <c:v>Y9</c:v>
                      </c:pt>
                      <c:pt idx="10">
                        <c:v>Y10</c:v>
                      </c:pt>
                    </c:strCache>
                  </c16:filteredLitCache>
                </c:ext>
              </c:extLst>
              <c:f/>
              <c:strCache>
                <c:ptCount val="6"/>
                <c:pt idx="0">
                  <c:v>Y0</c:v>
                </c:pt>
                <c:pt idx="1">
                  <c:v>Y1 </c:v>
                </c:pt>
                <c:pt idx="2">
                  <c:v>Y2</c:v>
                </c:pt>
                <c:pt idx="3">
                  <c:v>Y3</c:v>
                </c:pt>
                <c:pt idx="4">
                  <c:v>Y4</c:v>
                </c:pt>
                <c:pt idx="5">
                  <c:v>Y5</c:v>
                </c:pt>
              </c:strCache>
            </c:strRef>
          </c:cat>
          <c:val>
            <c:numRef>
              <c:extLst>
                <c:ext xmlns:c15="http://schemas.microsoft.com/office/drawing/2012/chart" uri="{02D57815-91ED-43cb-92C2-25804820EDAC}">
                  <c15:fullRef>
                    <c15:sqref>'Summary Financial Case'!$C$22:$M$22</c15:sqref>
                  </c15:fullRef>
                </c:ext>
              </c:extLst>
              <c:f>'Summary Financial Case'!$C$22:$H$22</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8CD-4CC0-B8D8-D1187A54C78B}"/>
            </c:ext>
          </c:extLst>
        </c:ser>
        <c:ser>
          <c:idx val="6"/>
          <c:order val="3"/>
          <c:tx>
            <c:strRef>
              <c:f>'Summary Financial Case'!$B$23</c:f>
              <c:strCache>
                <c:ptCount val="1"/>
                <c:pt idx="0">
                  <c:v>Azure Costs</c:v>
                </c:pt>
              </c:strCache>
            </c:strRef>
          </c:tx>
          <c:spPr>
            <a:solidFill>
              <a:srgbClr val="0078D4"/>
            </a:solidFill>
            <a:ln>
              <a:noFill/>
              <a:prstDash val="dash"/>
            </a:ln>
            <a:effectLst/>
          </c:spPr>
          <c:invertIfNegative val="0"/>
          <c:cat>
            <c:strLit>
              <c:ptCount val="6"/>
              <c:pt idx="0">
                <c:v>Y0</c:v>
              </c:pt>
              <c:pt idx="1">
                <c:v>Y1 </c:v>
              </c:pt>
              <c:pt idx="2">
                <c:v>Y2</c:v>
              </c:pt>
              <c:pt idx="3">
                <c:v>Y3</c:v>
              </c:pt>
              <c:pt idx="4">
                <c:v>Y4</c:v>
              </c:pt>
              <c:pt idx="5">
                <c:v>Y5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'Summary Financial Case'!$C$23:$M$23</c15:sqref>
                  </c15:fullRef>
                </c:ext>
              </c:extLst>
              <c:f>'Summary Financial Case'!$C$23:$H$23</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8CD-4CC0-B8D8-D1187A54C78B}"/>
            </c:ext>
          </c:extLst>
        </c:ser>
        <c:ser>
          <c:idx val="0"/>
          <c:order val="4"/>
          <c:tx>
            <c:strRef>
              <c:f>'Summary Financial Case'!$B$24</c:f>
              <c:strCache>
                <c:ptCount val="1"/>
                <c:pt idx="0">
                  <c:v>Migration Costs</c:v>
                </c:pt>
              </c:strCache>
            </c:strRef>
          </c:tx>
          <c:spPr>
            <a:solidFill>
              <a:srgbClr val="7030A0"/>
            </a:solidFill>
            <a:ln>
              <a:noFill/>
              <a:prstDash val="dash"/>
            </a:ln>
            <a:effectLst/>
          </c:spPr>
          <c:invertIfNegative val="0"/>
          <c:cat>
            <c:strRef>
              <c:extLst>
                <c:ext xmlns:c16="http://schemas.microsoft.com/office/drawing/2014/chart" uri="{F5D05F6E-A05E-4728-AFD3-386EB277150F}">
                  <c16:filteredLitCache>
                    <c:strCache>
                      <c:ptCount val="5"/>
                      <c:pt idx="6">
                        <c:v>Y6</c:v>
                      </c:pt>
                      <c:pt idx="7">
                        <c:v>Y7</c:v>
                      </c:pt>
                      <c:pt idx="8">
                        <c:v>Y8</c:v>
                      </c:pt>
                      <c:pt idx="9">
                        <c:v>Y9</c:v>
                      </c:pt>
                      <c:pt idx="10">
                        <c:v>Y10</c:v>
                      </c:pt>
                    </c:strCache>
                  </c16:filteredLitCache>
                </c:ext>
              </c:extLst>
              <c:f/>
              <c:strCache>
                <c:ptCount val="6"/>
                <c:pt idx="0">
                  <c:v>Y0</c:v>
                </c:pt>
                <c:pt idx="1">
                  <c:v>Y1 </c:v>
                </c:pt>
                <c:pt idx="2">
                  <c:v>Y2</c:v>
                </c:pt>
                <c:pt idx="3">
                  <c:v>Y3</c:v>
                </c:pt>
                <c:pt idx="4">
                  <c:v>Y4</c:v>
                </c:pt>
                <c:pt idx="5">
                  <c:v>Y5</c:v>
                </c:pt>
              </c:strCache>
            </c:strRef>
          </c:cat>
          <c:val>
            <c:numRef>
              <c:extLst>
                <c:ext xmlns:c15="http://schemas.microsoft.com/office/drawing/2012/chart" uri="{02D57815-91ED-43cb-92C2-25804820EDAC}">
                  <c15:fullRef>
                    <c15:sqref>'Summary Financial Case'!$C$24:$M$24</c15:sqref>
                  </c15:fullRef>
                </c:ext>
              </c:extLst>
              <c:f>'Summary Financial Case'!$C$24:$H$24</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8CD-4CC0-B8D8-D1187A54C78B}"/>
            </c:ext>
          </c:extLst>
        </c:ser>
        <c:ser>
          <c:idx val="5"/>
          <c:order val="6"/>
          <c:tx>
            <c:strRef>
              <c:f>'Summary Financial Case'!$B$25</c:f>
              <c:strCache>
                <c:ptCount val="1"/>
                <c:pt idx="0">
                  <c:v>Microsoft Investments</c:v>
                </c:pt>
              </c:strCache>
            </c:strRef>
          </c:tx>
          <c:spPr>
            <a:pattFill prst="dkDnDiag">
              <a:fgClr>
                <a:schemeClr val="accent1">
                  <a:lumMod val="60000"/>
                  <a:lumOff val="40000"/>
                </a:schemeClr>
              </a:fgClr>
              <a:bgClr>
                <a:schemeClr val="bg1"/>
              </a:bgClr>
            </a:pattFill>
            <a:ln w="25400">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88CD-4CC0-B8D8-D1187A54C78B}"/>
                </c:ext>
              </c:extLst>
            </c:dLbl>
            <c:dLbl>
              <c:idx val="1"/>
              <c:layout>
                <c:manualLayout>
                  <c:x val="0.1964583055047604"/>
                  <c:y val="-1.497847735770463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88CD-4CC0-B8D8-D1187A54C78B}"/>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88CD-4CC0-B8D8-D1187A54C78B}"/>
                </c:ext>
              </c:extLst>
            </c:dLbl>
            <c:dLbl>
              <c:idx val="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88CD-4CC0-B8D8-D1187A54C78B}"/>
                </c:ext>
              </c:extLst>
            </c:dLbl>
            <c:dLbl>
              <c:idx val="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88CD-4CC0-B8D8-D1187A54C78B}"/>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88CD-4CC0-B8D8-D1187A54C78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ptos" panose="020B0004020202020204" pitchFamily="34" charset="0"/>
                    <a:ea typeface="+mn-ea"/>
                    <a:cs typeface="Segoe UI Light" panose="020B0502040204020203" pitchFamily="34" charset="0"/>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Lit>
              <c:ptCount val="6"/>
              <c:pt idx="0">
                <c:v>Y0</c:v>
              </c:pt>
              <c:pt idx="1">
                <c:v>Y1 </c:v>
              </c:pt>
              <c:pt idx="2">
                <c:v>Y2</c:v>
              </c:pt>
              <c:pt idx="3">
                <c:v>Y3</c:v>
              </c:pt>
              <c:pt idx="4">
                <c:v>Y4</c:v>
              </c:pt>
              <c:pt idx="5">
                <c:v>Y5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'Summary Financial Case'!$C$25:$M$25</c15:sqref>
                  </c15:fullRef>
                </c:ext>
              </c:extLst>
              <c:f>'Summary Financial Case'!$C$25:$H$25</c:f>
              <c:numCache>
                <c:formatCode>"$"#,##0.0,,"M";\("$"#,##0.0,,"M"\)</c:formatCode>
                <c:ptCount val="6"/>
                <c:pt idx="0">
                  <c:v>0</c:v>
                </c:pt>
                <c:pt idx="1">
                  <c:v>0</c:v>
                </c:pt>
                <c:pt idx="2">
                  <c:v>0</c:v>
                </c:pt>
                <c:pt idx="3">
                  <c:v>0</c:v>
                </c:pt>
                <c:pt idx="4">
                  <c:v>0</c:v>
                </c:pt>
                <c:pt idx="5">
                  <c:v>0</c:v>
                </c:pt>
              </c:numCache>
            </c:numRef>
          </c:val>
          <c:extLst>
            <c:ext xmlns:c15="http://schemas.microsoft.com/office/drawing/2012/chart" uri="{02D57815-91ED-43cb-92C2-25804820EDAC}">
              <c15:datalabelsRange>
                <c15:f>'Summary Financial Case'!$AO$22:$AY$22</c15:f>
              </c15:datalabelsRange>
            </c:ext>
            <c:ext xmlns:c16="http://schemas.microsoft.com/office/drawing/2014/chart" uri="{C3380CC4-5D6E-409C-BE32-E72D297353CC}">
              <c16:uniqueId val="{0000000A-88CD-4CC0-B8D8-D1187A54C78B}"/>
            </c:ext>
          </c:extLst>
        </c:ser>
        <c:ser>
          <c:idx val="7"/>
          <c:order val="7"/>
          <c:tx>
            <c:strRef>
              <c:f>'Summary Financial Case'!$B$27</c:f>
              <c:strCache>
                <c:ptCount val="1"/>
                <c:pt idx="0">
                  <c:v>Savings</c:v>
                </c:pt>
              </c:strCache>
            </c:strRef>
          </c:tx>
          <c:spPr>
            <a:pattFill prst="ltUpDiag">
              <a:fgClr>
                <a:srgbClr val="00B050"/>
              </a:fgClr>
              <a:bgClr>
                <a:schemeClr val="bg1"/>
              </a:bgClr>
            </a:pattFill>
          </c:spPr>
          <c:invertIfNegative val="0"/>
          <c:cat>
            <c:strLit>
              <c:ptCount val="6"/>
              <c:pt idx="0">
                <c:v>Y0</c:v>
              </c:pt>
              <c:pt idx="1">
                <c:v>Y1 </c:v>
              </c:pt>
              <c:pt idx="2">
                <c:v>Y2</c:v>
              </c:pt>
              <c:pt idx="3">
                <c:v>Y3</c:v>
              </c:pt>
              <c:pt idx="4">
                <c:v>Y4</c:v>
              </c:pt>
              <c:pt idx="5">
                <c:v>Y5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'Summary Financial Case'!$C$27:$M$27</c15:sqref>
                  </c15:fullRef>
                </c:ext>
              </c:extLst>
              <c:f>'Summary Financial Case'!$C$27:$H$27</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B-88CD-4CC0-B8D8-D1187A54C78B}"/>
            </c:ext>
          </c:extLst>
        </c:ser>
        <c:dLbls>
          <c:showLegendKey val="0"/>
          <c:showVal val="0"/>
          <c:showCatName val="0"/>
          <c:showSerName val="0"/>
          <c:showPercent val="0"/>
          <c:showBubbleSize val="0"/>
        </c:dLbls>
        <c:gapWidth val="150"/>
        <c:overlap val="100"/>
        <c:axId val="1595883920"/>
        <c:axId val="1244584095"/>
      </c:barChart>
      <c:lineChart>
        <c:grouping val="standard"/>
        <c:varyColors val="0"/>
        <c:ser>
          <c:idx val="3"/>
          <c:order val="0"/>
          <c:tx>
            <c:strRef>
              <c:f>'Summary Financial Case'!$B$19</c:f>
              <c:strCache>
                <c:ptCount val="1"/>
                <c:pt idx="0">
                  <c:v>Status Quo Cash Flows</c:v>
                </c:pt>
              </c:strCache>
            </c:strRef>
          </c:tx>
          <c:spPr>
            <a:ln w="19050" cap="rnd">
              <a:solidFill>
                <a:schemeClr val="accent2"/>
              </a:solidFill>
              <a:prstDash val="dash"/>
              <a:round/>
            </a:ln>
            <a:effectLst/>
          </c:spPr>
          <c:marker>
            <c:symbol val="none"/>
          </c:marker>
          <c:dPt>
            <c:idx val="5"/>
            <c:bubble3D val="0"/>
            <c:extLst>
              <c:ext xmlns:c16="http://schemas.microsoft.com/office/drawing/2014/chart" uri="{C3380CC4-5D6E-409C-BE32-E72D297353CC}">
                <c16:uniqueId val="{0000000C-88CD-4CC0-B8D8-D1187A54C78B}"/>
              </c:ext>
            </c:extLst>
          </c:dPt>
          <c:dLbls>
            <c:dLbl>
              <c:idx val="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D-88CD-4CC0-B8D8-D1187A54C78B}"/>
                </c:ext>
              </c:extLst>
            </c:dLbl>
            <c:dLbl>
              <c:idx val="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88CD-4CC0-B8D8-D1187A54C78B}"/>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88CD-4CC0-B8D8-D1187A54C78B}"/>
                </c:ext>
              </c:extLst>
            </c:dLbl>
            <c:dLbl>
              <c:idx val="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88CD-4CC0-B8D8-D1187A54C78B}"/>
                </c:ext>
              </c:extLst>
            </c:dLbl>
            <c:dLbl>
              <c:idx val="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88CD-4CC0-B8D8-D1187A54C78B}"/>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88CD-4CC0-B8D8-D1187A54C78B}"/>
                </c:ext>
              </c:extLst>
            </c:dLbl>
            <c:spPr>
              <a:noFill/>
              <a:ln>
                <a:noFill/>
              </a:ln>
              <a:effectLst/>
            </c:spPr>
            <c:txPr>
              <a:bodyPr rot="0" spcFirstLastPara="1" vertOverflow="ellipsis" vert="horz" wrap="none" anchor="ctr" anchorCtr="1"/>
              <a:lstStyle/>
              <a:p>
                <a:pPr>
                  <a:defRPr sz="1200" b="1" i="0" u="none" strike="noStrike" kern="1200" baseline="0">
                    <a:solidFill>
                      <a:srgbClr val="00B0F0"/>
                    </a:solidFill>
                    <a:latin typeface="Segoe UI Light" panose="020B0502040204020203" pitchFamily="34" charset="0"/>
                    <a:ea typeface="+mn-ea"/>
                    <a:cs typeface="Segoe UI Light" panose="020B0502040204020203" pitchFamily="34" charset="0"/>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cat>
            <c:numRef>
              <c:extLst>
                <c:ext xmlns:c15="http://schemas.microsoft.com/office/drawing/2012/chart" uri="{02D57815-91ED-43cb-92C2-25804820EDAC}">
                  <c15:fullRef>
                    <c15:sqref>'Summary Financial Case'!$C$14:$M$14</c15:sqref>
                  </c15:fullRef>
                </c:ext>
              </c:extLst>
              <c:f>'Summary Financial Case'!$C$14:$H$14</c:f>
              <c:numCache>
                <c:formatCode>"Y"0</c:formatCode>
                <c:ptCount val="6"/>
                <c:pt idx="0">
                  <c:v>0</c:v>
                </c:pt>
                <c:pt idx="1">
                  <c:v>1</c:v>
                </c:pt>
                <c:pt idx="2">
                  <c:v>2</c:v>
                </c:pt>
                <c:pt idx="3">
                  <c:v>3</c:v>
                </c:pt>
                <c:pt idx="4">
                  <c:v>4</c:v>
                </c:pt>
                <c:pt idx="5">
                  <c:v>5</c:v>
                </c:pt>
              </c:numCache>
            </c:numRef>
          </c:cat>
          <c:val>
            <c:numRef>
              <c:extLst>
                <c:ext xmlns:c15="http://schemas.microsoft.com/office/drawing/2012/chart" uri="{02D57815-91ED-43cb-92C2-25804820EDAC}">
                  <c15:fullRef>
                    <c15:sqref>'Summary Financial Case'!$C$19:$M$19</c15:sqref>
                  </c15:fullRef>
                </c:ext>
              </c:extLst>
              <c:f>'Summary Financial Case'!$C$19:$H$19</c:f>
              <c:numCache>
                <c:formatCode>"$"#,##0.0,,"M";\("$"#,##0.0,,"M"\)</c:formatCode>
                <c:ptCount val="6"/>
                <c:pt idx="0">
                  <c:v>0</c:v>
                </c:pt>
                <c:pt idx="1">
                  <c:v>0</c:v>
                </c:pt>
                <c:pt idx="2">
                  <c:v>0</c:v>
                </c:pt>
                <c:pt idx="3">
                  <c:v>0</c:v>
                </c:pt>
                <c:pt idx="4">
                  <c:v>0</c:v>
                </c:pt>
                <c:pt idx="5">
                  <c:v>0</c:v>
                </c:pt>
              </c:numCache>
            </c:numRef>
          </c:val>
          <c:smooth val="1"/>
          <c:extLst>
            <c:ext xmlns:c15="http://schemas.microsoft.com/office/drawing/2012/chart" uri="{02D57815-91ED-43cb-92C2-25804820EDAC}">
              <c15:datalabelsRange>
                <c15:f>'Summary Financial Case'!$AO$15:$AY$15</c15:f>
              </c15:datalabelsRange>
            </c:ext>
            <c:ext xmlns:c15="http://schemas.microsoft.com/office/drawing/2012/chart" uri="{02D57815-91ED-43cb-92C2-25804820EDAC}">
              <c15:categoryFilterExceptions>
                <c15:categoryFilterException>
                  <c15:sqref>'Summary Financial Case'!$K$19</c15:sqref>
                  <c15:dLbl>
                    <c:idx val="5"/>
                    <c:delete val="1"/>
                    <c:extLst>
                      <c:ext uri="{CE6537A1-D6FC-4f65-9D91-7224C49458BB}">
                        <c15:layout>
                          <c:manualLayout>
                            <c:w val="0.21159687613341752"/>
                            <c:h val="0.10001980532904817"/>
                          </c:manualLayout>
                        </c15:layout>
                      </c:ext>
                      <c:ext xmlns:c16="http://schemas.microsoft.com/office/drawing/2014/chart" uri="{C3380CC4-5D6E-409C-BE32-E72D297353CC}">
                        <c16:uniqueId val="{00000001-B80F-0649-BE0B-FE54654C849F}"/>
                      </c:ext>
                    </c:extLst>
                  </c15:dLbl>
                </c15:categoryFilterException>
              </c15:categoryFilterExceptions>
            </c:ext>
            <c:ext xmlns:c16="http://schemas.microsoft.com/office/drawing/2014/chart" uri="{C3380CC4-5D6E-409C-BE32-E72D297353CC}">
              <c16:uniqueId val="{00000012-88CD-4CC0-B8D8-D1187A54C78B}"/>
            </c:ext>
          </c:extLst>
        </c:ser>
        <c:ser>
          <c:idx val="4"/>
          <c:order val="5"/>
          <c:tx>
            <c:strRef>
              <c:f>'Summary Financial Case'!$B$26</c:f>
              <c:strCache>
                <c:ptCount val="1"/>
                <c:pt idx="0">
                  <c:v>Azure Case Cash Flows</c:v>
                </c:pt>
              </c:strCache>
            </c:strRef>
          </c:tx>
          <c:spPr>
            <a:ln w="25400" cap="rnd">
              <a:solidFill>
                <a:srgbClr val="00B0F0"/>
              </a:solidFill>
              <a:prstDash val="dash"/>
              <a:round/>
            </a:ln>
            <a:effectLst/>
          </c:spPr>
          <c:marker>
            <c:symbol val="none"/>
          </c:marker>
          <c:dLbls>
            <c:dLbl>
              <c:idx val="0"/>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13-88CD-4CC0-B8D8-D1187A54C78B}"/>
                </c:ext>
              </c:extLst>
            </c:dLbl>
            <c:dLbl>
              <c:idx val="1"/>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14-88CD-4CC0-B8D8-D1187A54C78B}"/>
                </c:ext>
              </c:extLst>
            </c:dLbl>
            <c:dLbl>
              <c:idx val="2"/>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15-88CD-4CC0-B8D8-D1187A54C78B}"/>
                </c:ext>
              </c:extLst>
            </c:dLbl>
            <c:dLbl>
              <c:idx val="3"/>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16-88CD-4CC0-B8D8-D1187A54C78B}"/>
                </c:ext>
              </c:extLst>
            </c:dLbl>
            <c:dLbl>
              <c:idx val="4"/>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17-88CD-4CC0-B8D8-D1187A54C78B}"/>
                </c:ext>
              </c:extLst>
            </c:dLbl>
            <c:dLbl>
              <c:idx val="5"/>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layout>
                    <c:manualLayout>
                      <c:w val="0"/>
                      <c:h val="0"/>
                    </c:manualLayout>
                  </c15:layout>
                  <c15:showDataLabelsRange val="1"/>
                </c:ext>
                <c:ext xmlns:c16="http://schemas.microsoft.com/office/drawing/2014/chart" uri="{C3380CC4-5D6E-409C-BE32-E72D297353CC}">
                  <c16:uniqueId val="{00000018-88CD-4CC0-B8D8-D1187A54C78B}"/>
                </c:ext>
              </c:extLst>
            </c:dLbl>
            <c:spPr>
              <a:noFill/>
              <a:ln>
                <a:noFill/>
              </a:ln>
              <a:effectLst/>
            </c:spPr>
            <c:txPr>
              <a:bodyPr rot="0" spcFirstLastPara="1" vertOverflow="overflow" horzOverflow="overflow" vert="horz" wrap="none" anchor="ctr" anchorCtr="1">
                <a:noAutofit/>
              </a:bodyPr>
              <a:lstStyle/>
              <a:p>
                <a:pPr>
                  <a:defRPr sz="1200" b="1" i="0" u="none" strike="noStrike" kern="1200" baseline="0">
                    <a:solidFill>
                      <a:schemeClr val="accent2"/>
                    </a:solidFill>
                    <a:latin typeface="Aptos" panose="020B0004020202020204" pitchFamily="34" charset="0"/>
                    <a:ea typeface="+mn-ea"/>
                    <a:cs typeface="Segoe UI Light" panose="020B0502040204020203" pitchFamily="34" charset="0"/>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extLst>
                <c:ext xmlns:c15="http://schemas.microsoft.com/office/drawing/2012/chart" uri="{02D57815-91ED-43cb-92C2-25804820EDAC}">
                  <c15:fullRef>
                    <c15:sqref>'Summary Financial Case'!$C$14:$M$14</c15:sqref>
                  </c15:fullRef>
                </c:ext>
              </c:extLst>
              <c:f>'Summary Financial Case'!$C$14:$H$14</c:f>
              <c:numCache>
                <c:formatCode>"Y"0</c:formatCode>
                <c:ptCount val="6"/>
                <c:pt idx="0">
                  <c:v>0</c:v>
                </c:pt>
                <c:pt idx="1">
                  <c:v>1</c:v>
                </c:pt>
                <c:pt idx="2">
                  <c:v>2</c:v>
                </c:pt>
                <c:pt idx="3">
                  <c:v>3</c:v>
                </c:pt>
                <c:pt idx="4">
                  <c:v>4</c:v>
                </c:pt>
                <c:pt idx="5">
                  <c:v>5</c:v>
                </c:pt>
              </c:numCache>
            </c:numRef>
          </c:cat>
          <c:val>
            <c:numRef>
              <c:extLst>
                <c:ext xmlns:c15="http://schemas.microsoft.com/office/drawing/2012/chart" uri="{02D57815-91ED-43cb-92C2-25804820EDAC}">
                  <c15:fullRef>
                    <c15:sqref>'Summary Financial Case'!$C$26:$M$26</c15:sqref>
                  </c15:fullRef>
                </c:ext>
              </c:extLst>
              <c:f>'Summary Financial Case'!$C$26:$H$26</c:f>
              <c:numCache>
                <c:formatCode>"$"#,##0.0,,"M";\("$"#,##0.0,,"M"\)</c:formatCode>
                <c:ptCount val="6"/>
                <c:pt idx="0">
                  <c:v>0</c:v>
                </c:pt>
                <c:pt idx="1">
                  <c:v>0</c:v>
                </c:pt>
                <c:pt idx="2">
                  <c:v>0</c:v>
                </c:pt>
                <c:pt idx="3">
                  <c:v>0</c:v>
                </c:pt>
                <c:pt idx="4">
                  <c:v>0</c:v>
                </c:pt>
                <c:pt idx="5">
                  <c:v>0</c:v>
                </c:pt>
              </c:numCache>
            </c:numRef>
          </c:val>
          <c:smooth val="1"/>
          <c:extLst>
            <c:ext xmlns:c15="http://schemas.microsoft.com/office/drawing/2012/chart" uri="{02D57815-91ED-43cb-92C2-25804820EDAC}">
              <c15:datalabelsRange>
                <c15:f>'Summary Financial Case'!$AO$16:$AY$16</c15:f>
              </c15:datalabelsRange>
            </c:ext>
            <c:ext xmlns:c15="http://schemas.microsoft.com/office/drawing/2012/chart" uri="{02D57815-91ED-43cb-92C2-25804820EDAC}">
              <c15:categoryFilterExceptions>
                <c15:categoryFilterException>
                  <c15:sqref>'Summary Financial Case'!$I$26</c15:sqref>
                  <c15:dLbl>
                    <c:idx val="5"/>
                    <c:dLblPos val="b"/>
                    <c:showLegendKey val="0"/>
                    <c:showVal val="0"/>
                    <c:showCatName val="0"/>
                    <c:showSerName val="0"/>
                    <c:showPercent val="0"/>
                    <c:showBubbleSize val="0"/>
                    <c:extLst>
                      <c:ext uri="{CE6537A1-D6FC-4f65-9D91-7224C49458BB}">
                        <c15:layout>
                          <c:manualLayout>
                            <c:w val="0"/>
                            <c:h val="0"/>
                          </c:manualLayout>
                        </c15:layout>
                        <c15:showDataLabelsRange val="1"/>
                      </c:ext>
                      <c:ext xmlns:c16="http://schemas.microsoft.com/office/drawing/2014/chart" uri="{C3380CC4-5D6E-409C-BE32-E72D297353CC}">
                        <c16:uniqueId val="{00000002-B80F-0649-BE0B-FE54654C849F}"/>
                      </c:ext>
                    </c:extLst>
                  </c15:dLbl>
                </c15:categoryFilterException>
                <c15:categoryFilterException>
                  <c15:sqref>'Summary Financial Case'!$J$26</c15:sqref>
                  <c15:dLbl>
                    <c:idx val="5"/>
                    <c:dLblPos val="b"/>
                    <c:showLegendKey val="0"/>
                    <c:showVal val="0"/>
                    <c:showCatName val="0"/>
                    <c:showSerName val="0"/>
                    <c:showPercent val="0"/>
                    <c:showBubbleSize val="0"/>
                    <c:extLst>
                      <c:ext uri="{CE6537A1-D6FC-4f65-9D91-7224C49458BB}">
                        <c15:layout>
                          <c:manualLayout>
                            <c:w val="0"/>
                            <c:h val="0"/>
                          </c:manualLayout>
                        </c15:layout>
                        <c15:showDataLabelsRange val="1"/>
                      </c:ext>
                      <c:ext xmlns:c16="http://schemas.microsoft.com/office/drawing/2014/chart" uri="{C3380CC4-5D6E-409C-BE32-E72D297353CC}">
                        <c16:uniqueId val="{00000003-B80F-0649-BE0B-FE54654C849F}"/>
                      </c:ext>
                    </c:extLst>
                  </c15:dLbl>
                </c15:categoryFilterException>
                <c15:categoryFilterException>
                  <c15:sqref>'Summary Financial Case'!$K$26</c15:sqref>
                  <c15:dLbl>
                    <c:idx val="5"/>
                    <c:delete val="1"/>
                    <c:extLst>
                      <c:ext uri="{CE6537A1-D6FC-4f65-9D91-7224C49458BB}">
                        <c15:layout>
                          <c:manualLayout>
                            <c:w val="0.19347786785415239"/>
                            <c:h val="8.8352344520129078E-2"/>
                          </c:manualLayout>
                        </c15:layout>
                      </c:ext>
                      <c:ext xmlns:c16="http://schemas.microsoft.com/office/drawing/2014/chart" uri="{C3380CC4-5D6E-409C-BE32-E72D297353CC}">
                        <c16:uniqueId val="{00000004-B80F-0649-BE0B-FE54654C849F}"/>
                      </c:ext>
                    </c:extLst>
                  </c15:dLbl>
                </c15:categoryFilterException>
                <c15:categoryFilterException>
                  <c15:sqref>'Summary Financial Case'!$L$26</c15:sqref>
                  <c15:dLbl>
                    <c:idx val="5"/>
                    <c:dLblPos val="b"/>
                    <c:showLegendKey val="0"/>
                    <c:showVal val="0"/>
                    <c:showCatName val="0"/>
                    <c:showSerName val="0"/>
                    <c:showPercent val="0"/>
                    <c:showBubbleSize val="0"/>
                    <c:extLst>
                      <c:ext uri="{CE6537A1-D6FC-4f65-9D91-7224C49458BB}">
                        <c15:layout>
                          <c:manualLayout>
                            <c:w val="0"/>
                            <c:h val="0"/>
                          </c:manualLayout>
                        </c15:layout>
                        <c15:showDataLabelsRange val="1"/>
                      </c:ext>
                      <c:ext xmlns:c16="http://schemas.microsoft.com/office/drawing/2014/chart" uri="{C3380CC4-5D6E-409C-BE32-E72D297353CC}">
                        <c16:uniqueId val="{00000005-B80F-0649-BE0B-FE54654C849F}"/>
                      </c:ext>
                    </c:extLst>
                  </c15:dLbl>
                </c15:categoryFilterException>
                <c15:categoryFilterException>
                  <c15:sqref>'Summary Financial Case'!$M$26</c15:sqref>
                  <c15:dLbl>
                    <c:idx val="5"/>
                    <c:dLblPos val="b"/>
                    <c:showLegendKey val="0"/>
                    <c:showVal val="0"/>
                    <c:showCatName val="0"/>
                    <c:showSerName val="0"/>
                    <c:showPercent val="0"/>
                    <c:showBubbleSize val="0"/>
                    <c:extLst>
                      <c:ext uri="{CE6537A1-D6FC-4f65-9D91-7224C49458BB}">
                        <c15:layout>
                          <c:manualLayout>
                            <c:w val="0"/>
                            <c:h val="0"/>
                          </c:manualLayout>
                        </c15:layout>
                        <c15:showDataLabelsRange val="1"/>
                      </c:ext>
                      <c:ext xmlns:c16="http://schemas.microsoft.com/office/drawing/2014/chart" uri="{C3380CC4-5D6E-409C-BE32-E72D297353CC}">
                        <c16:uniqueId val="{00000006-B80F-0649-BE0B-FE54654C849F}"/>
                      </c:ext>
                    </c:extLst>
                  </c15:dLbl>
                </c15:categoryFilterException>
              </c15:categoryFilterExceptions>
            </c:ext>
            <c:ext xmlns:c16="http://schemas.microsoft.com/office/drawing/2014/chart" uri="{C3380CC4-5D6E-409C-BE32-E72D297353CC}">
              <c16:uniqueId val="{00000019-88CD-4CC0-B8D8-D1187A54C78B}"/>
            </c:ext>
          </c:extLst>
        </c:ser>
        <c:dLbls>
          <c:showLegendKey val="0"/>
          <c:showVal val="0"/>
          <c:showCatName val="0"/>
          <c:showSerName val="0"/>
          <c:showPercent val="0"/>
          <c:showBubbleSize val="0"/>
        </c:dLbls>
        <c:marker val="1"/>
        <c:smooth val="0"/>
        <c:axId val="1595883920"/>
        <c:axId val="1244584095"/>
      </c:lineChart>
      <c:catAx>
        <c:axId val="1595883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ptos" panose="020B0004020202020204" pitchFamily="34" charset="0"/>
                <a:ea typeface="+mn-ea"/>
                <a:cs typeface="Segoe UI Light" panose="020B0502040204020203" pitchFamily="34" charset="0"/>
              </a:defRPr>
            </a:pPr>
            <a:endParaRPr lang="en-US"/>
          </a:p>
        </c:txPr>
        <c:crossAx val="1244584095"/>
        <c:crosses val="autoZero"/>
        <c:auto val="1"/>
        <c:lblAlgn val="ctr"/>
        <c:lblOffset val="100"/>
        <c:noMultiLvlLbl val="0"/>
      </c:catAx>
      <c:valAx>
        <c:axId val="1244584095"/>
        <c:scaling>
          <c:orientation val="minMax"/>
        </c:scaling>
        <c:delete val="1"/>
        <c:axPos val="l"/>
        <c:numFmt formatCode="&quot;$&quot;#,##0.0,,&quot;M&quot;;\(&quot;$&quot;#,##0.0,,&quot;M&quot;\)" sourceLinked="1"/>
        <c:majorTickMark val="out"/>
        <c:minorTickMark val="none"/>
        <c:tickLblPos val="nextTo"/>
        <c:crossAx val="1595883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latin typeface="Segoe UI Light" panose="020B0502040204020203" pitchFamily="34" charset="0"/>
          <a:cs typeface="Segoe UI Light" panose="020B0502040204020203"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371728501265441E-3"/>
          <c:y val="4.4338636873541865E-2"/>
          <c:w val="0.99433396884670988"/>
          <c:h val="0.8684258745810931"/>
        </c:manualLayout>
      </c:layout>
      <c:barChart>
        <c:barDir val="col"/>
        <c:grouping val="stacked"/>
        <c:varyColors val="0"/>
        <c:ser>
          <c:idx val="1"/>
          <c:order val="1"/>
          <c:tx>
            <c:strRef>
              <c:f>'Summary Financial Case'!$B$37</c:f>
              <c:strCache>
                <c:ptCount val="1"/>
                <c:pt idx="0">
                  <c:v>OPEX</c:v>
                </c:pt>
              </c:strCache>
            </c:strRef>
          </c:tx>
          <c:spPr>
            <a:solidFill>
              <a:schemeClr val="accent1">
                <a:lumMod val="20000"/>
                <a:lumOff val="80000"/>
              </a:schemeClr>
            </a:solidFill>
            <a:ln w="25400">
              <a:noFill/>
            </a:ln>
            <a:effectLst/>
          </c:spPr>
          <c:invertIfNegative val="0"/>
          <c:cat>
            <c:numRef>
              <c:extLst>
                <c:ext xmlns:c15="http://schemas.microsoft.com/office/drawing/2012/chart" uri="{02D57815-91ED-43cb-92C2-25804820EDAC}">
                  <c15:fullRef>
                    <c15:sqref>'Summary Financial Case'!$C$31:$M$31</c15:sqref>
                  </c15:fullRef>
                </c:ext>
              </c:extLst>
              <c:f>'Summary Financial Case'!$C$31:$H$31</c:f>
              <c:numCache>
                <c:formatCode>"Y"0</c:formatCode>
                <c:ptCount val="6"/>
                <c:pt idx="0">
                  <c:v>0</c:v>
                </c:pt>
                <c:pt idx="1">
                  <c:v>1</c:v>
                </c:pt>
                <c:pt idx="2">
                  <c:v>2</c:v>
                </c:pt>
                <c:pt idx="3">
                  <c:v>3</c:v>
                </c:pt>
                <c:pt idx="4">
                  <c:v>4</c:v>
                </c:pt>
                <c:pt idx="5">
                  <c:v>5</c:v>
                </c:pt>
              </c:numCache>
            </c:numRef>
          </c:cat>
          <c:val>
            <c:numRef>
              <c:extLst>
                <c:ext xmlns:c15="http://schemas.microsoft.com/office/drawing/2012/chart" uri="{02D57815-91ED-43cb-92C2-25804820EDAC}">
                  <c15:fullRef>
                    <c15:sqref>'Summary Financial Case'!$C$37:$M$37</c15:sqref>
                  </c15:fullRef>
                </c:ext>
              </c:extLst>
              <c:f>'Summary Financial Case'!$C$37:$H$37</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08C-4238-A9B0-C3D2902B90CD}"/>
            </c:ext>
          </c:extLst>
        </c:ser>
        <c:ser>
          <c:idx val="2"/>
          <c:order val="2"/>
          <c:tx>
            <c:strRef>
              <c:f>'Summary Financial Case'!$B$38</c:f>
              <c:strCache>
                <c:ptCount val="1"/>
                <c:pt idx="0">
                  <c:v>Azure Costs</c:v>
                </c:pt>
              </c:strCache>
            </c:strRef>
          </c:tx>
          <c:spPr>
            <a:solidFill>
              <a:srgbClr val="0078D4"/>
            </a:solidFill>
            <a:ln w="25400">
              <a:noFill/>
            </a:ln>
            <a:effectLst/>
          </c:spPr>
          <c:invertIfNegative val="0"/>
          <c:cat>
            <c:numRef>
              <c:extLst>
                <c:ext xmlns:c15="http://schemas.microsoft.com/office/drawing/2012/chart" uri="{02D57815-91ED-43cb-92C2-25804820EDAC}">
                  <c15:fullRef>
                    <c15:sqref>'Summary Financial Case'!$C$31:$M$31</c15:sqref>
                  </c15:fullRef>
                </c:ext>
              </c:extLst>
              <c:f>'Summary Financial Case'!$C$31:$H$31</c:f>
              <c:numCache>
                <c:formatCode>"Y"0</c:formatCode>
                <c:ptCount val="6"/>
                <c:pt idx="0">
                  <c:v>0</c:v>
                </c:pt>
                <c:pt idx="1">
                  <c:v>1</c:v>
                </c:pt>
                <c:pt idx="2">
                  <c:v>2</c:v>
                </c:pt>
                <c:pt idx="3">
                  <c:v>3</c:v>
                </c:pt>
                <c:pt idx="4">
                  <c:v>4</c:v>
                </c:pt>
                <c:pt idx="5">
                  <c:v>5</c:v>
                </c:pt>
              </c:numCache>
            </c:numRef>
          </c:cat>
          <c:val>
            <c:numRef>
              <c:extLst>
                <c:ext xmlns:c15="http://schemas.microsoft.com/office/drawing/2012/chart" uri="{02D57815-91ED-43cb-92C2-25804820EDAC}">
                  <c15:fullRef>
                    <c15:sqref>'Summary Financial Case'!$C$38:$M$38</c15:sqref>
                  </c15:fullRef>
                </c:ext>
              </c:extLst>
              <c:f>'Summary Financial Case'!$C$38:$H$38</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108C-4238-A9B0-C3D2902B90CD}"/>
            </c:ext>
          </c:extLst>
        </c:ser>
        <c:ser>
          <c:idx val="6"/>
          <c:order val="3"/>
          <c:tx>
            <c:strRef>
              <c:f>'Summary Financial Case'!$B$39</c:f>
              <c:strCache>
                <c:ptCount val="1"/>
                <c:pt idx="0">
                  <c:v>Migration Costs</c:v>
                </c:pt>
              </c:strCache>
            </c:strRef>
          </c:tx>
          <c:spPr>
            <a:solidFill>
              <a:srgbClr val="7030A0"/>
            </a:solidFill>
            <a:ln w="25400">
              <a:noFill/>
            </a:ln>
            <a:effectLst/>
          </c:spPr>
          <c:invertIfNegative val="0"/>
          <c:cat>
            <c:numRef>
              <c:extLst>
                <c:ext xmlns:c15="http://schemas.microsoft.com/office/drawing/2012/chart" uri="{02D57815-91ED-43cb-92C2-25804820EDAC}">
                  <c15:fullRef>
                    <c15:sqref>'Summary Financial Case'!$C$31:$M$31</c15:sqref>
                  </c15:fullRef>
                </c:ext>
              </c:extLst>
              <c:f>'Summary Financial Case'!$C$31:$H$31</c:f>
              <c:numCache>
                <c:formatCode>"Y"0</c:formatCode>
                <c:ptCount val="6"/>
                <c:pt idx="0">
                  <c:v>0</c:v>
                </c:pt>
                <c:pt idx="1">
                  <c:v>1</c:v>
                </c:pt>
                <c:pt idx="2">
                  <c:v>2</c:v>
                </c:pt>
                <c:pt idx="3">
                  <c:v>3</c:v>
                </c:pt>
                <c:pt idx="4">
                  <c:v>4</c:v>
                </c:pt>
                <c:pt idx="5">
                  <c:v>5</c:v>
                </c:pt>
              </c:numCache>
            </c:numRef>
          </c:cat>
          <c:val>
            <c:numRef>
              <c:extLst>
                <c:ext xmlns:c15="http://schemas.microsoft.com/office/drawing/2012/chart" uri="{02D57815-91ED-43cb-92C2-25804820EDAC}">
                  <c15:fullRef>
                    <c15:sqref>'Summary Financial Case'!$C$39:$M$39</c15:sqref>
                  </c15:fullRef>
                </c:ext>
              </c:extLst>
              <c:f>'Summary Financial Case'!$C$39:$H$39</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108C-4238-A9B0-C3D2902B90CD}"/>
            </c:ext>
          </c:extLst>
        </c:ser>
        <c:ser>
          <c:idx val="0"/>
          <c:order val="4"/>
          <c:tx>
            <c:strRef>
              <c:f>'Summary Financial Case'!$B$40</c:f>
              <c:strCache>
                <c:ptCount val="1"/>
                <c:pt idx="0">
                  <c:v>Microsoft Investments</c:v>
                </c:pt>
              </c:strCache>
            </c:strRef>
          </c:tx>
          <c:spPr>
            <a:pattFill prst="dkUpDiag">
              <a:fgClr>
                <a:schemeClr val="accent1">
                  <a:lumMod val="60000"/>
                  <a:lumOff val="40000"/>
                </a:schemeClr>
              </a:fgClr>
              <a:bgClr>
                <a:schemeClr val="bg1"/>
              </a:bgClr>
            </a:pattFill>
            <a:ln w="25400">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108C-4238-A9B0-C3D2902B90CD}"/>
                </c:ext>
              </c:extLst>
            </c:dLbl>
            <c:dLbl>
              <c:idx val="1"/>
              <c:layout>
                <c:manualLayout>
                  <c:x val="0.20881890640496265"/>
                  <c:y val="-1.5345650205144076E-2"/>
                </c:manualLayout>
              </c:layout>
              <c:tx>
                <c:rich>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ptos" panose="020B0004020202020204" pitchFamily="34" charset="0"/>
                        <a:ea typeface="+mn-ea"/>
                        <a:cs typeface="Segoe UI Light" panose="020B0502040204020203" pitchFamily="34" charset="0"/>
                      </a:defRPr>
                    </a:pPr>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108C-4238-A9B0-C3D2902B90CD}"/>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108C-4238-A9B0-C3D2902B90CD}"/>
                </c:ext>
              </c:extLst>
            </c:dLbl>
            <c:dLbl>
              <c:idx val="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108C-4238-A9B0-C3D2902B90CD}"/>
                </c:ext>
              </c:extLst>
            </c:dLbl>
            <c:dLbl>
              <c:idx val="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108C-4238-A9B0-C3D2902B90CD}"/>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108C-4238-A9B0-C3D2902B90C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numRef>
              <c:extLst>
                <c:ext xmlns:c15="http://schemas.microsoft.com/office/drawing/2012/chart" uri="{02D57815-91ED-43cb-92C2-25804820EDAC}">
                  <c15:fullRef>
                    <c15:sqref>'Summary Financial Case'!$C$31:$M$31</c15:sqref>
                  </c15:fullRef>
                </c:ext>
              </c:extLst>
              <c:f>'Summary Financial Case'!$C$31:$H$31</c:f>
              <c:numCache>
                <c:formatCode>"Y"0</c:formatCode>
                <c:ptCount val="6"/>
                <c:pt idx="0">
                  <c:v>0</c:v>
                </c:pt>
                <c:pt idx="1">
                  <c:v>1</c:v>
                </c:pt>
                <c:pt idx="2">
                  <c:v>2</c:v>
                </c:pt>
                <c:pt idx="3">
                  <c:v>3</c:v>
                </c:pt>
                <c:pt idx="4">
                  <c:v>4</c:v>
                </c:pt>
                <c:pt idx="5">
                  <c:v>5</c:v>
                </c:pt>
              </c:numCache>
            </c:numRef>
          </c:cat>
          <c:val>
            <c:numRef>
              <c:extLst>
                <c:ext xmlns:c15="http://schemas.microsoft.com/office/drawing/2012/chart" uri="{02D57815-91ED-43cb-92C2-25804820EDAC}">
                  <c15:fullRef>
                    <c15:sqref>'Summary Financial Case'!$C$40:$M$40</c15:sqref>
                  </c15:fullRef>
                </c:ext>
              </c:extLst>
              <c:f>'Summary Financial Case'!$C$40:$H$40</c:f>
              <c:numCache>
                <c:formatCode>"$"#,##0.0,,"M";\("$"#,##0.0,,"M"\)</c:formatCode>
                <c:ptCount val="6"/>
                <c:pt idx="0">
                  <c:v>0</c:v>
                </c:pt>
                <c:pt idx="1">
                  <c:v>0</c:v>
                </c:pt>
                <c:pt idx="2">
                  <c:v>0</c:v>
                </c:pt>
                <c:pt idx="3">
                  <c:v>0</c:v>
                </c:pt>
                <c:pt idx="4">
                  <c:v>0</c:v>
                </c:pt>
                <c:pt idx="5">
                  <c:v>0</c:v>
                </c:pt>
              </c:numCache>
            </c:numRef>
          </c:val>
          <c:extLst>
            <c:ext xmlns:c15="http://schemas.microsoft.com/office/drawing/2012/chart" uri="{02D57815-91ED-43cb-92C2-25804820EDAC}">
              <c15:datalabelsRange>
                <c15:f>'Summary Financial Case'!$AO$39:$AY$39</c15:f>
              </c15:datalabelsRange>
            </c:ext>
            <c:ext xmlns:c16="http://schemas.microsoft.com/office/drawing/2014/chart" uri="{C3380CC4-5D6E-409C-BE32-E72D297353CC}">
              <c16:uniqueId val="{00000009-108C-4238-A9B0-C3D2902B90CD}"/>
            </c:ext>
          </c:extLst>
        </c:ser>
        <c:ser>
          <c:idx val="5"/>
          <c:order val="6"/>
          <c:tx>
            <c:strRef>
              <c:f>'Summary Financial Case'!$B$42</c:f>
              <c:strCache>
                <c:ptCount val="1"/>
                <c:pt idx="0">
                  <c:v>Savings</c:v>
                </c:pt>
              </c:strCache>
            </c:strRef>
          </c:tx>
          <c:spPr>
            <a:pattFill prst="ltUpDiag">
              <a:fgClr>
                <a:srgbClr val="00B050"/>
              </a:fgClr>
              <a:bgClr>
                <a:schemeClr val="bg1"/>
              </a:bgClr>
            </a:pattFill>
          </c:spPr>
          <c:invertIfNegative val="0"/>
          <c:cat>
            <c:strLit>
              <c:ptCount val="6"/>
              <c:pt idx="0">
                <c:v>Y0</c:v>
              </c:pt>
              <c:pt idx="1">
                <c:v>Y1</c:v>
              </c:pt>
              <c:pt idx="2">
                <c:v>Y2</c:v>
              </c:pt>
              <c:pt idx="3">
                <c:v>Y3</c:v>
              </c:pt>
              <c:pt idx="4">
                <c:v>Y4</c:v>
              </c:pt>
              <c:pt idx="5">
                <c:v>Y5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'Summary Financial Case'!$C$42:$M$42</c15:sqref>
                  </c15:fullRef>
                </c:ext>
              </c:extLst>
              <c:f>'Summary Financial Case'!$C$42:$H$42</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A-108C-4238-A9B0-C3D2902B90CD}"/>
            </c:ext>
          </c:extLst>
        </c:ser>
        <c:dLbls>
          <c:showLegendKey val="0"/>
          <c:showVal val="0"/>
          <c:showCatName val="0"/>
          <c:showSerName val="0"/>
          <c:showPercent val="0"/>
          <c:showBubbleSize val="0"/>
        </c:dLbls>
        <c:gapWidth val="150"/>
        <c:overlap val="100"/>
        <c:axId val="1595883920"/>
        <c:axId val="1244584095"/>
      </c:barChart>
      <c:lineChart>
        <c:grouping val="standard"/>
        <c:varyColors val="0"/>
        <c:ser>
          <c:idx val="3"/>
          <c:order val="0"/>
          <c:tx>
            <c:strRef>
              <c:f>'Summary Financial Case'!$B$35</c:f>
              <c:strCache>
                <c:ptCount val="1"/>
                <c:pt idx="0">
                  <c:v>Status Quo P&amp;L</c:v>
                </c:pt>
              </c:strCache>
            </c:strRef>
          </c:tx>
          <c:spPr>
            <a:ln w="25400" cap="rnd">
              <a:solidFill>
                <a:schemeClr val="accent2"/>
              </a:solidFill>
              <a:prstDash val="dash"/>
              <a:round/>
            </a:ln>
            <a:effectLst/>
          </c:spPr>
          <c:marker>
            <c:symbol val="none"/>
          </c:marker>
          <c:cat>
            <c:numRef>
              <c:extLst>
                <c:ext xmlns:c15="http://schemas.microsoft.com/office/drawing/2012/chart" uri="{02D57815-91ED-43cb-92C2-25804820EDAC}">
                  <c15:fullRef>
                    <c15:sqref>'Summary Financial Case'!$C$14:$M$14</c15:sqref>
                  </c15:fullRef>
                </c:ext>
              </c:extLst>
              <c:f>'Summary Financial Case'!$C$14:$H$14</c:f>
              <c:numCache>
                <c:formatCode>"Y"0</c:formatCode>
                <c:ptCount val="6"/>
                <c:pt idx="0">
                  <c:v>0</c:v>
                </c:pt>
                <c:pt idx="1">
                  <c:v>1</c:v>
                </c:pt>
                <c:pt idx="2">
                  <c:v>2</c:v>
                </c:pt>
                <c:pt idx="3">
                  <c:v>3</c:v>
                </c:pt>
                <c:pt idx="4">
                  <c:v>4</c:v>
                </c:pt>
                <c:pt idx="5">
                  <c:v>5</c:v>
                </c:pt>
              </c:numCache>
            </c:numRef>
          </c:cat>
          <c:val>
            <c:numRef>
              <c:extLst>
                <c:ext xmlns:c15="http://schemas.microsoft.com/office/drawing/2012/chart" uri="{02D57815-91ED-43cb-92C2-25804820EDAC}">
                  <c15:fullRef>
                    <c15:sqref>'Summary Financial Case'!$C$35:$M$35</c15:sqref>
                  </c15:fullRef>
                </c:ext>
              </c:extLst>
              <c:f>'Summary Financial Case'!$C$35:$H$35</c:f>
              <c:numCache>
                <c:formatCode>"$"#,##0.0,,"M";\("$"#,##0.0,,"M"\)</c:formatCode>
                <c:ptCount val="6"/>
                <c:pt idx="0">
                  <c:v>0</c:v>
                </c:pt>
                <c:pt idx="1">
                  <c:v>0</c:v>
                </c:pt>
                <c:pt idx="2">
                  <c:v>0</c:v>
                </c:pt>
                <c:pt idx="3">
                  <c:v>0</c:v>
                </c:pt>
                <c:pt idx="4">
                  <c:v>0</c:v>
                </c:pt>
                <c:pt idx="5">
                  <c:v>0</c:v>
                </c:pt>
              </c:numCache>
            </c:numRef>
          </c:val>
          <c:smooth val="1"/>
          <c:extLst>
            <c:ext xmlns:c16="http://schemas.microsoft.com/office/drawing/2014/chart" uri="{C3380CC4-5D6E-409C-BE32-E72D297353CC}">
              <c16:uniqueId val="{0000000B-108C-4238-A9B0-C3D2902B90CD}"/>
            </c:ext>
          </c:extLst>
        </c:ser>
        <c:ser>
          <c:idx val="4"/>
          <c:order val="5"/>
          <c:tx>
            <c:strRef>
              <c:f>'Summary Financial Case'!$B$41</c:f>
              <c:strCache>
                <c:ptCount val="1"/>
                <c:pt idx="0">
                  <c:v>Azure Case P&amp;L</c:v>
                </c:pt>
              </c:strCache>
            </c:strRef>
          </c:tx>
          <c:spPr>
            <a:ln w="25400" cap="rnd">
              <a:solidFill>
                <a:srgbClr val="00B0F0"/>
              </a:solidFill>
              <a:prstDash val="dash"/>
              <a:round/>
            </a:ln>
            <a:effectLst/>
          </c:spPr>
          <c:marker>
            <c:symbol val="none"/>
          </c:marker>
          <c:cat>
            <c:numRef>
              <c:extLst>
                <c:ext xmlns:c15="http://schemas.microsoft.com/office/drawing/2012/chart" uri="{02D57815-91ED-43cb-92C2-25804820EDAC}">
                  <c15:fullRef>
                    <c15:sqref>'Summary Financial Case'!$C$14:$M$14</c15:sqref>
                  </c15:fullRef>
                </c:ext>
              </c:extLst>
              <c:f>'Summary Financial Case'!$C$14:$H$14</c:f>
              <c:numCache>
                <c:formatCode>"Y"0</c:formatCode>
                <c:ptCount val="6"/>
                <c:pt idx="0">
                  <c:v>0</c:v>
                </c:pt>
                <c:pt idx="1">
                  <c:v>1</c:v>
                </c:pt>
                <c:pt idx="2">
                  <c:v>2</c:v>
                </c:pt>
                <c:pt idx="3">
                  <c:v>3</c:v>
                </c:pt>
                <c:pt idx="4">
                  <c:v>4</c:v>
                </c:pt>
                <c:pt idx="5">
                  <c:v>5</c:v>
                </c:pt>
              </c:numCache>
            </c:numRef>
          </c:cat>
          <c:val>
            <c:numRef>
              <c:extLst>
                <c:ext xmlns:c15="http://schemas.microsoft.com/office/drawing/2012/chart" uri="{02D57815-91ED-43cb-92C2-25804820EDAC}">
                  <c15:fullRef>
                    <c15:sqref>'Summary Financial Case'!$C$41:$M$41</c15:sqref>
                  </c15:fullRef>
                </c:ext>
              </c:extLst>
              <c:f>'Summary Financial Case'!$C$41:$H$41</c:f>
              <c:numCache>
                <c:formatCode>"$"#,##0.0,,"M";\("$"#,##0.0,,"M"\)</c:formatCode>
                <c:ptCount val="6"/>
                <c:pt idx="0">
                  <c:v>0</c:v>
                </c:pt>
                <c:pt idx="1">
                  <c:v>0</c:v>
                </c:pt>
                <c:pt idx="2">
                  <c:v>0</c:v>
                </c:pt>
                <c:pt idx="3">
                  <c:v>0</c:v>
                </c:pt>
                <c:pt idx="4">
                  <c:v>0</c:v>
                </c:pt>
                <c:pt idx="5">
                  <c:v>0</c:v>
                </c:pt>
              </c:numCache>
            </c:numRef>
          </c:val>
          <c:smooth val="1"/>
          <c:extLst>
            <c:ext xmlns:c16="http://schemas.microsoft.com/office/drawing/2014/chart" uri="{C3380CC4-5D6E-409C-BE32-E72D297353CC}">
              <c16:uniqueId val="{0000000C-108C-4238-A9B0-C3D2902B90CD}"/>
            </c:ext>
          </c:extLst>
        </c:ser>
        <c:dLbls>
          <c:showLegendKey val="0"/>
          <c:showVal val="0"/>
          <c:showCatName val="0"/>
          <c:showSerName val="0"/>
          <c:showPercent val="0"/>
          <c:showBubbleSize val="0"/>
        </c:dLbls>
        <c:marker val="1"/>
        <c:smooth val="0"/>
        <c:axId val="1595883920"/>
        <c:axId val="1244584095"/>
      </c:lineChart>
      <c:catAx>
        <c:axId val="1595883920"/>
        <c:scaling>
          <c:orientation val="minMax"/>
        </c:scaling>
        <c:delete val="0"/>
        <c:axPos val="b"/>
        <c:numFmt formatCode="&quot;Y&quot;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Segoe UI Light" panose="020B0502040204020203" pitchFamily="34" charset="0"/>
              </a:defRPr>
            </a:pPr>
            <a:endParaRPr lang="en-US"/>
          </a:p>
        </c:txPr>
        <c:crossAx val="1244584095"/>
        <c:crosses val="autoZero"/>
        <c:auto val="1"/>
        <c:lblAlgn val="ctr"/>
        <c:lblOffset val="100"/>
        <c:noMultiLvlLbl val="0"/>
      </c:catAx>
      <c:valAx>
        <c:axId val="1244584095"/>
        <c:scaling>
          <c:orientation val="minMax"/>
        </c:scaling>
        <c:delete val="1"/>
        <c:axPos val="l"/>
        <c:numFmt formatCode="&quot;$&quot;#,##0.0,,&quot;M&quot;;\(&quot;$&quot;#,##0.0,,&quot;M&quot;\)" sourceLinked="1"/>
        <c:majorTickMark val="none"/>
        <c:minorTickMark val="none"/>
        <c:tickLblPos val="nextTo"/>
        <c:crossAx val="1595883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1">
          <a:latin typeface="Segoe UI Light" panose="020B0502040204020203" pitchFamily="34" charset="0"/>
          <a:cs typeface="Segoe UI Light" panose="020B0502040204020203" pitchFamily="34" charset="0"/>
        </a:defRPr>
      </a:pPr>
      <a:endParaRPr lang="en-US"/>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Aptos" panose="020B0004020202020204" pitchFamily="34" charset="0"/>
                <a:ea typeface="+mn-ea"/>
                <a:cs typeface="+mn-cs"/>
              </a:defRPr>
            </a:pPr>
            <a:r>
              <a:rPr lang="en-US">
                <a:solidFill>
                  <a:sysClr val="windowText" lastClr="000000"/>
                </a:solidFill>
                <a:latin typeface="Aptos" panose="020B0004020202020204" pitchFamily="34" charset="0"/>
              </a:rPr>
              <a:t>Discounted Cash 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Aptos" panose="020B0004020202020204" pitchFamily="34" charset="0"/>
              <a:ea typeface="+mn-ea"/>
              <a:cs typeface="+mn-cs"/>
            </a:defRPr>
          </a:pPr>
          <a:endParaRPr lang="en-US"/>
        </a:p>
      </c:txPr>
    </c:title>
    <c:autoTitleDeleted val="0"/>
    <c:plotArea>
      <c:layout/>
      <c:barChart>
        <c:barDir val="col"/>
        <c:grouping val="stacked"/>
        <c:varyColors val="0"/>
        <c:ser>
          <c:idx val="0"/>
          <c:order val="0"/>
          <c:tx>
            <c:strRef>
              <c:f>'5Y CF with Payback'!$B$44</c:f>
              <c:strCache>
                <c:ptCount val="1"/>
                <c:pt idx="0">
                  <c:v>Total Run costs</c:v>
                </c:pt>
              </c:strCache>
            </c:strRef>
          </c:tx>
          <c:spPr>
            <a:solidFill>
              <a:schemeClr val="accent1">
                <a:lumMod val="40000"/>
                <a:lumOff val="60000"/>
              </a:schemeClr>
            </a:solidFill>
            <a:ln>
              <a:noFill/>
            </a:ln>
            <a:effectLst/>
          </c:spPr>
          <c:invertIfNegative val="0"/>
          <c:cat>
            <c:strRef>
              <c:f>'5Y CF with Payback'!$C$5:$G$5</c:f>
              <c:strCache>
                <c:ptCount val="5"/>
                <c:pt idx="0">
                  <c:v>Year 1</c:v>
                </c:pt>
                <c:pt idx="1">
                  <c:v>Year 2</c:v>
                </c:pt>
                <c:pt idx="2">
                  <c:v>Year 3</c:v>
                </c:pt>
                <c:pt idx="3">
                  <c:v>Year 4</c:v>
                </c:pt>
                <c:pt idx="4">
                  <c:v>Year 5</c:v>
                </c:pt>
              </c:strCache>
            </c:strRef>
          </c:cat>
          <c:val>
            <c:numRef>
              <c:f>'5Y CF with Payback'!$C$44:$G$44</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DD03-4D76-ADF1-9A10BB1271FC}"/>
            </c:ext>
          </c:extLst>
        </c:ser>
        <c:ser>
          <c:idx val="1"/>
          <c:order val="1"/>
          <c:tx>
            <c:strRef>
              <c:f>'5Y CF with Payback'!$B$45</c:f>
              <c:strCache>
                <c:ptCount val="1"/>
                <c:pt idx="0">
                  <c:v>Total Benefits</c:v>
                </c:pt>
              </c:strCache>
            </c:strRef>
          </c:tx>
          <c:spPr>
            <a:solidFill>
              <a:schemeClr val="accent1">
                <a:lumMod val="20000"/>
                <a:lumOff val="80000"/>
              </a:schemeClr>
            </a:solidFill>
            <a:ln>
              <a:noFill/>
            </a:ln>
            <a:effectLst/>
          </c:spPr>
          <c:invertIfNegative val="0"/>
          <c:cat>
            <c:strRef>
              <c:f>'5Y CF with Payback'!$C$5:$G$5</c:f>
              <c:strCache>
                <c:ptCount val="5"/>
                <c:pt idx="0">
                  <c:v>Year 1</c:v>
                </c:pt>
                <c:pt idx="1">
                  <c:v>Year 2</c:v>
                </c:pt>
                <c:pt idx="2">
                  <c:v>Year 3</c:v>
                </c:pt>
                <c:pt idx="3">
                  <c:v>Year 4</c:v>
                </c:pt>
                <c:pt idx="4">
                  <c:v>Year 5</c:v>
                </c:pt>
              </c:strCache>
            </c:strRef>
          </c:cat>
          <c:val>
            <c:numRef>
              <c:f>'5Y CF with Payback'!$C$45:$G$45</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1-DD03-4D76-ADF1-9A10BB1271FC}"/>
            </c:ext>
          </c:extLst>
        </c:ser>
        <c:dLbls>
          <c:showLegendKey val="0"/>
          <c:showVal val="0"/>
          <c:showCatName val="0"/>
          <c:showSerName val="0"/>
          <c:showPercent val="0"/>
          <c:showBubbleSize val="0"/>
        </c:dLbls>
        <c:gapWidth val="150"/>
        <c:overlap val="100"/>
        <c:axId val="509818655"/>
        <c:axId val="875279872"/>
      </c:barChart>
      <c:lineChart>
        <c:grouping val="standard"/>
        <c:varyColors val="0"/>
        <c:ser>
          <c:idx val="2"/>
          <c:order val="2"/>
          <c:tx>
            <c:strRef>
              <c:f>'5Y CF with Payback'!$B$46</c:f>
              <c:strCache>
                <c:ptCount val="1"/>
                <c:pt idx="0">
                  <c:v>Cumulative Discounted Run Costs Impact</c:v>
                </c:pt>
              </c:strCache>
            </c:strRef>
          </c:tx>
          <c:spPr>
            <a:ln w="28575" cap="rnd">
              <a:solidFill>
                <a:schemeClr val="accent1"/>
              </a:solidFill>
              <a:round/>
            </a:ln>
            <a:effectLst/>
          </c:spPr>
          <c:marker>
            <c:symbol val="none"/>
          </c:marker>
          <c:dLbls>
            <c:dLbl>
              <c:idx val="2"/>
              <c:layout>
                <c:manualLayout>
                  <c:x val="-6.6936237539727564E-2"/>
                  <c:y val="-3.096039574978778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D03-4D76-ADF1-9A10BB1271FC}"/>
                </c:ext>
              </c:extLst>
            </c:dLbl>
            <c:dLbl>
              <c:idx val="3"/>
              <c:layout>
                <c:manualLayout>
                  <c:x val="-8.1652113345234312E-2"/>
                  <c:y val="-4.08736547336787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D03-4D76-ADF1-9A10BB1271FC}"/>
                </c:ext>
              </c:extLst>
            </c:dLbl>
            <c:dLbl>
              <c:idx val="4"/>
              <c:layout>
                <c:manualLayout>
                  <c:x val="-7.462223636808149E-2"/>
                  <c:y val="-4.583028422562426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D03-4D76-ADF1-9A10BB1271FC}"/>
                </c:ext>
              </c:extLst>
            </c:dLbl>
            <c:numFmt formatCode="#,##0.0,,&quot;M&quot;;\(#,##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Aptos"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'5Y CF with Payback'!$C$43:$G$43</c:f>
              <c:strCache>
                <c:ptCount val="5"/>
                <c:pt idx="0">
                  <c:v>Year 1</c:v>
                </c:pt>
                <c:pt idx="1">
                  <c:v>Year 2</c:v>
                </c:pt>
                <c:pt idx="2">
                  <c:v>Year 3</c:v>
                </c:pt>
                <c:pt idx="3">
                  <c:v>Year 4</c:v>
                </c:pt>
                <c:pt idx="4">
                  <c:v>Year 5</c:v>
                </c:pt>
              </c:strCache>
            </c:strRef>
          </c:cat>
          <c:val>
            <c:numRef>
              <c:f>'5Y CF with Payback'!$C$46:$G$46</c:f>
              <c:numCache>
                <c:formatCode>_("$"* #,##0_);_("$"* \(#,##0\);_("$"*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5-DD03-4D76-ADF1-9A10BB1271FC}"/>
            </c:ext>
          </c:extLst>
        </c:ser>
        <c:ser>
          <c:idx val="3"/>
          <c:order val="3"/>
          <c:tx>
            <c:strRef>
              <c:f>'5Y CF with Payback'!$B$48</c:f>
              <c:strCache>
                <c:ptCount val="1"/>
                <c:pt idx="0">
                  <c:v>Investment (One-Time Costs)</c:v>
                </c:pt>
              </c:strCache>
            </c:strRef>
          </c:tx>
          <c:spPr>
            <a:ln w="15875" cap="rnd">
              <a:solidFill>
                <a:schemeClr val="bg2">
                  <a:lumMod val="50000"/>
                </a:schemeClr>
              </a:solidFill>
              <a:prstDash val="sysDash"/>
              <a:round/>
            </a:ln>
            <a:effectLst/>
          </c:spPr>
          <c:marker>
            <c:symbol val="none"/>
          </c:marker>
          <c:cat>
            <c:strRef>
              <c:f>'5Y CF with Payback'!$C$43:$G$43</c:f>
              <c:strCache>
                <c:ptCount val="5"/>
                <c:pt idx="0">
                  <c:v>Year 1</c:v>
                </c:pt>
                <c:pt idx="1">
                  <c:v>Year 2</c:v>
                </c:pt>
                <c:pt idx="2">
                  <c:v>Year 3</c:v>
                </c:pt>
                <c:pt idx="3">
                  <c:v>Year 4</c:v>
                </c:pt>
                <c:pt idx="4">
                  <c:v>Year 5</c:v>
                </c:pt>
              </c:strCache>
            </c:strRef>
          </c:cat>
          <c:val>
            <c:numRef>
              <c:f>'5Y CF with Payback'!$C$48:$G$48</c:f>
              <c:numCache>
                <c:formatCode>_("$"* #,##0_);_("$"* \(#,##0\);_("$"* "-"??_);_(@_)</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6-DD03-4D76-ADF1-9A10BB1271FC}"/>
            </c:ext>
          </c:extLst>
        </c:ser>
        <c:dLbls>
          <c:showLegendKey val="0"/>
          <c:showVal val="0"/>
          <c:showCatName val="0"/>
          <c:showSerName val="0"/>
          <c:showPercent val="0"/>
          <c:showBubbleSize val="0"/>
        </c:dLbls>
        <c:marker val="1"/>
        <c:smooth val="0"/>
        <c:axId val="509818655"/>
        <c:axId val="875279872"/>
      </c:lineChart>
      <c:catAx>
        <c:axId val="50981865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ptos" panose="020B0004020202020204" pitchFamily="34" charset="0"/>
                <a:ea typeface="+mn-ea"/>
                <a:cs typeface="+mn-cs"/>
              </a:defRPr>
            </a:pPr>
            <a:endParaRPr lang="en-US"/>
          </a:p>
        </c:txPr>
        <c:crossAx val="875279872"/>
        <c:crosses val="autoZero"/>
        <c:auto val="1"/>
        <c:lblAlgn val="ctr"/>
        <c:lblOffset val="100"/>
        <c:noMultiLvlLbl val="0"/>
      </c:catAx>
      <c:valAx>
        <c:axId val="875279872"/>
        <c:scaling>
          <c:orientation val="minMax"/>
        </c:scaling>
        <c:delete val="0"/>
        <c:axPos val="l"/>
        <c:majorGridlines>
          <c:spPr>
            <a:ln w="9525" cap="flat" cmpd="sng" algn="ctr">
              <a:solidFill>
                <a:schemeClr val="tx1">
                  <a:lumMod val="15000"/>
                  <a:lumOff val="85000"/>
                </a:schemeClr>
              </a:solidFill>
              <a:round/>
            </a:ln>
            <a:effectLst/>
          </c:spPr>
        </c:majorGridlines>
        <c:numFmt formatCode="#,##0.0,,&quot;M&quot;;\(#,##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ptos" panose="020B0004020202020204" pitchFamily="34" charset="0"/>
                <a:ea typeface="+mn-ea"/>
                <a:cs typeface="+mn-cs"/>
              </a:defRPr>
            </a:pPr>
            <a:endParaRPr lang="en-US"/>
          </a:p>
        </c:txPr>
        <c:crossAx val="509818655"/>
        <c:crosses val="autoZero"/>
        <c:crossBetween val="between"/>
      </c:valAx>
      <c:spPr>
        <a:noFill/>
        <a:ln>
          <a:noFill/>
        </a:ln>
        <a:effectLst/>
      </c:spPr>
    </c:plotArea>
    <c:legend>
      <c:legendPos val="b"/>
      <c:layout>
        <c:manualLayout>
          <c:xMode val="edge"/>
          <c:yMode val="edge"/>
          <c:x val="6.5353869430644399E-4"/>
          <c:y val="0.90520387553786263"/>
          <c:w val="0.9940061534487451"/>
          <c:h val="7.992623598630097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ptos"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none" spc="50" baseline="0">
                <a:solidFill>
                  <a:sysClr val="windowText" lastClr="000000"/>
                </a:solidFill>
                <a:latin typeface="Aptos" panose="020B0004020202020204" pitchFamily="34" charset="0"/>
                <a:ea typeface="+mn-ea"/>
                <a:cs typeface="+mn-cs"/>
              </a:defRPr>
            </a:pPr>
            <a:r>
              <a:rPr lang="fr-FR" sz="1600" cap="none" baseline="0">
                <a:solidFill>
                  <a:sysClr val="windowText" lastClr="000000"/>
                </a:solidFill>
                <a:latin typeface="Aptos" panose="020B0004020202020204" pitchFamily="34" charset="0"/>
                <a:cs typeface="Segoe UI Semibold" panose="020B0702040204020203" pitchFamily="34" charset="0"/>
              </a:rPr>
              <a:t>Cost breakdown per VM</a:t>
            </a:r>
          </a:p>
        </c:rich>
      </c:tx>
      <c:overlay val="0"/>
      <c:spPr>
        <a:noFill/>
        <a:ln>
          <a:noFill/>
        </a:ln>
        <a:effectLst/>
      </c:spPr>
      <c:txPr>
        <a:bodyPr rot="0" spcFirstLastPara="1" vertOverflow="ellipsis" vert="horz" wrap="square" anchor="ctr" anchorCtr="1"/>
        <a:lstStyle/>
        <a:p>
          <a:pPr>
            <a:defRPr sz="1800" b="1" i="0" u="none" strike="noStrike" kern="1200" cap="none" spc="50" baseline="0">
              <a:solidFill>
                <a:sysClr val="windowText" lastClr="000000"/>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6.1430491883977721E-2"/>
          <c:y val="6.2072559229753584E-2"/>
          <c:w val="0.91174840926116996"/>
          <c:h val="0.73281866626582115"/>
        </c:manualLayout>
      </c:layout>
      <c:barChart>
        <c:barDir val="col"/>
        <c:grouping val="stacked"/>
        <c:varyColors val="0"/>
        <c:ser>
          <c:idx val="3"/>
          <c:order val="0"/>
          <c:tx>
            <c:strRef>
              <c:f>'Cost per VM'!$S$8</c:f>
              <c:strCache>
                <c:ptCount val="1"/>
                <c:pt idx="0">
                  <c:v>Hardware Costs</c:v>
                </c:pt>
              </c:strCache>
            </c:strRef>
          </c:tx>
          <c:spPr>
            <a:solidFill>
              <a:srgbClr val="FFFF66">
                <a:alpha val="69804"/>
              </a:srgb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'Cost per VM'!$T$7:$U$7</c:f>
              <c:strCache>
                <c:ptCount val="2"/>
                <c:pt idx="0">
                  <c:v>On-prem</c:v>
                </c:pt>
                <c:pt idx="1">
                  <c:v>In Azure</c:v>
                </c:pt>
              </c:strCache>
            </c:strRef>
          </c:cat>
          <c:val>
            <c:numRef>
              <c:f>'Cost per VM'!$T$8:$U$8</c:f>
              <c:numCache>
                <c:formatCode>_(* #,##0_);_(* \(#,##0\);_(* "-"??_);_(@_)</c:formatCode>
                <c:ptCount val="2"/>
                <c:pt idx="0">
                  <c:v>0</c:v>
                </c:pt>
                <c:pt idx="1">
                  <c:v>0</c:v>
                </c:pt>
              </c:numCache>
            </c:numRef>
          </c:val>
          <c:extLst>
            <c:ext xmlns:c16="http://schemas.microsoft.com/office/drawing/2014/chart" uri="{C3380CC4-5D6E-409C-BE32-E72D297353CC}">
              <c16:uniqueId val="{00000000-5D63-4F80-AF03-968C63355DE0}"/>
            </c:ext>
          </c:extLst>
        </c:ser>
        <c:ser>
          <c:idx val="8"/>
          <c:order val="1"/>
          <c:tx>
            <c:strRef>
              <c:f>'Cost per VM'!$S$14</c:f>
              <c:strCache>
                <c:ptCount val="1"/>
                <c:pt idx="0">
                  <c:v>Azure Run Rate</c:v>
                </c:pt>
              </c:strCache>
            </c:strRef>
          </c:tx>
          <c:spPr>
            <a:solidFill>
              <a:srgbClr val="0078D4">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'Cost per VM'!$T$14:$U$14</c:f>
              <c:numCache>
                <c:formatCode>_(* #,##0_);_(* \(#,##0\);_(* "-"??_);_(@_)</c:formatCode>
                <c:ptCount val="2"/>
                <c:pt idx="0">
                  <c:v>0</c:v>
                </c:pt>
                <c:pt idx="1">
                  <c:v>0</c:v>
                </c:pt>
              </c:numCache>
            </c:numRef>
          </c:val>
          <c:extLst>
            <c:ext xmlns:c16="http://schemas.microsoft.com/office/drawing/2014/chart" uri="{C3380CC4-5D6E-409C-BE32-E72D297353CC}">
              <c16:uniqueId val="{00000002-08CC-40DC-AEF8-9D077432C02A}"/>
            </c:ext>
          </c:extLst>
        </c:ser>
        <c:ser>
          <c:idx val="1"/>
          <c:order val="2"/>
          <c:tx>
            <c:strRef>
              <c:f>'Cost per VM'!$S$10</c:f>
              <c:strCache>
                <c:ptCount val="1"/>
                <c:pt idx="0">
                  <c:v>DC Lease (Space) Cost</c:v>
                </c:pt>
              </c:strCache>
            </c:strRef>
          </c:tx>
          <c:spPr>
            <a:solidFill>
              <a:srgbClr val="FFCC00">
                <a:alpha val="69804"/>
              </a:srgb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'Cost per VM'!$T$7:$U$7</c:f>
              <c:strCache>
                <c:ptCount val="2"/>
                <c:pt idx="0">
                  <c:v>On-prem</c:v>
                </c:pt>
                <c:pt idx="1">
                  <c:v>In Azure</c:v>
                </c:pt>
              </c:strCache>
            </c:strRef>
          </c:cat>
          <c:val>
            <c:numRef>
              <c:f>'Cost per VM'!$T$10:$U$10</c:f>
              <c:numCache>
                <c:formatCode>_(* #,##0_);_(* \(#,##0\);_(* "-"??_);_(@_)</c:formatCode>
                <c:ptCount val="2"/>
                <c:pt idx="0">
                  <c:v>0</c:v>
                </c:pt>
                <c:pt idx="1">
                  <c:v>0</c:v>
                </c:pt>
              </c:numCache>
            </c:numRef>
          </c:val>
          <c:extLst>
            <c:ext xmlns:c16="http://schemas.microsoft.com/office/drawing/2014/chart" uri="{C3380CC4-5D6E-409C-BE32-E72D297353CC}">
              <c16:uniqueId val="{00000002-5D63-4F80-AF03-968C63355DE0}"/>
            </c:ext>
          </c:extLst>
        </c:ser>
        <c:ser>
          <c:idx val="5"/>
          <c:order val="3"/>
          <c:tx>
            <c:strRef>
              <c:f>'Cost per VM'!$S$15</c:f>
              <c:strCache>
                <c:ptCount val="1"/>
                <c:pt idx="0">
                  <c:v>Azure Compute (New)</c:v>
                </c:pt>
              </c:strCache>
            </c:strRef>
          </c:tx>
          <c:spPr>
            <a:solidFill>
              <a:srgbClr val="50E6FF">
                <a:alpha val="70000"/>
              </a:srgb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'Cost per VM'!$T$7:$U$7</c:f>
              <c:strCache>
                <c:ptCount val="2"/>
                <c:pt idx="0">
                  <c:v>On-prem</c:v>
                </c:pt>
                <c:pt idx="1">
                  <c:v>In Azure</c:v>
                </c:pt>
              </c:strCache>
            </c:strRef>
          </c:cat>
          <c:val>
            <c:numRef>
              <c:f>'Cost per VM'!$T$15:$U$15</c:f>
              <c:numCache>
                <c:formatCode>_(* #,##0_);_(* \(#,##0\);_(* "-"??_);_(@_)</c:formatCode>
                <c:ptCount val="2"/>
                <c:pt idx="1">
                  <c:v>0</c:v>
                </c:pt>
              </c:numCache>
            </c:numRef>
          </c:val>
          <c:extLst>
            <c:ext xmlns:c16="http://schemas.microsoft.com/office/drawing/2014/chart" uri="{C3380CC4-5D6E-409C-BE32-E72D297353CC}">
              <c16:uniqueId val="{00000006-5D63-4F80-AF03-968C63355DE0}"/>
            </c:ext>
          </c:extLst>
        </c:ser>
        <c:ser>
          <c:idx val="9"/>
          <c:order val="4"/>
          <c:tx>
            <c:strRef>
              <c:f>'Cost per VM'!$S$11</c:f>
              <c:strCache>
                <c:ptCount val="1"/>
                <c:pt idx="0">
                  <c:v>DC Power Cost</c:v>
                </c:pt>
              </c:strCache>
            </c:strRef>
          </c:tx>
          <c:spPr>
            <a:solidFill>
              <a:schemeClr val="accent4">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'Cost per VM'!$T$11:$U$11</c:f>
              <c:numCache>
                <c:formatCode>_(* #,##0_);_(* \(#,##0\);_(* "-"??_);_(@_)</c:formatCode>
                <c:ptCount val="2"/>
                <c:pt idx="0">
                  <c:v>0</c:v>
                </c:pt>
                <c:pt idx="1">
                  <c:v>0</c:v>
                </c:pt>
              </c:numCache>
            </c:numRef>
          </c:val>
          <c:extLst>
            <c:ext xmlns:c16="http://schemas.microsoft.com/office/drawing/2014/chart" uri="{C3380CC4-5D6E-409C-BE32-E72D297353CC}">
              <c16:uniqueId val="{00000000-7CEA-41FB-830E-3F56A31B93C3}"/>
            </c:ext>
          </c:extLst>
        </c:ser>
        <c:ser>
          <c:idx val="6"/>
          <c:order val="5"/>
          <c:tx>
            <c:strRef>
              <c:f>'Cost per VM'!$S$16</c:f>
              <c:strCache>
                <c:ptCount val="1"/>
                <c:pt idx="0">
                  <c:v>Azure Storage (New)</c:v>
                </c:pt>
              </c:strCache>
            </c:strRef>
          </c:tx>
          <c:spPr>
            <a:solidFill>
              <a:schemeClr val="accent1">
                <a:lumMod val="40000"/>
                <a:lumOff val="60000"/>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'Cost per VM'!$T$7:$U$7</c:f>
              <c:strCache>
                <c:ptCount val="2"/>
                <c:pt idx="0">
                  <c:v>On-prem</c:v>
                </c:pt>
                <c:pt idx="1">
                  <c:v>In Azure</c:v>
                </c:pt>
              </c:strCache>
            </c:strRef>
          </c:cat>
          <c:val>
            <c:numRef>
              <c:f>'Cost per VM'!$T$16:$U$16</c:f>
              <c:numCache>
                <c:formatCode>_(* #,##0_);_(* \(#,##0\);_(* "-"??_);_(@_)</c:formatCode>
                <c:ptCount val="2"/>
                <c:pt idx="1">
                  <c:v>0</c:v>
                </c:pt>
              </c:numCache>
            </c:numRef>
          </c:val>
          <c:extLst>
            <c:ext xmlns:c16="http://schemas.microsoft.com/office/drawing/2014/chart" uri="{C3380CC4-5D6E-409C-BE32-E72D297353CC}">
              <c16:uniqueId val="{00000007-5D63-4F80-AF03-968C63355DE0}"/>
            </c:ext>
          </c:extLst>
        </c:ser>
        <c:ser>
          <c:idx val="2"/>
          <c:order val="6"/>
          <c:tx>
            <c:strRef>
              <c:f>'Cost per VM'!$S$9</c:f>
              <c:strCache>
                <c:ptCount val="1"/>
                <c:pt idx="0">
                  <c:v>Bandwidth Costs</c:v>
                </c:pt>
              </c:strCache>
            </c:strRef>
          </c:tx>
          <c:spPr>
            <a:solidFill>
              <a:schemeClr val="accent4">
                <a:lumMod val="40000"/>
                <a:lumOff val="60000"/>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'Cost per VM'!$T$7:$U$7</c:f>
              <c:strCache>
                <c:ptCount val="2"/>
                <c:pt idx="0">
                  <c:v>On-prem</c:v>
                </c:pt>
                <c:pt idx="1">
                  <c:v>In Azure</c:v>
                </c:pt>
              </c:strCache>
            </c:strRef>
          </c:cat>
          <c:val>
            <c:numRef>
              <c:f>'Cost per VM'!$T$9:$U$9</c:f>
              <c:numCache>
                <c:formatCode>_(* #,##0_);_(* \(#,##0\);_(* "-"??_);_(@_)</c:formatCode>
                <c:ptCount val="2"/>
                <c:pt idx="0">
                  <c:v>0</c:v>
                </c:pt>
                <c:pt idx="1">
                  <c:v>0</c:v>
                </c:pt>
              </c:numCache>
            </c:numRef>
          </c:val>
          <c:extLst>
            <c:ext xmlns:c16="http://schemas.microsoft.com/office/drawing/2014/chart" uri="{C3380CC4-5D6E-409C-BE32-E72D297353CC}">
              <c16:uniqueId val="{00000001-5D63-4F80-AF03-968C63355DE0}"/>
            </c:ext>
          </c:extLst>
        </c:ser>
        <c:ser>
          <c:idx val="7"/>
          <c:order val="7"/>
          <c:tx>
            <c:strRef>
              <c:f>'Cost per VM'!$S$17</c:f>
              <c:strCache>
                <c:ptCount val="1"/>
                <c:pt idx="0">
                  <c:v>Azure Other (New)</c:v>
                </c:pt>
              </c:strCache>
            </c:strRef>
          </c:tx>
          <c:spPr>
            <a:solidFill>
              <a:schemeClr val="accent1">
                <a:lumMod val="75000"/>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'Cost per VM'!$T$7:$U$7</c:f>
              <c:strCache>
                <c:ptCount val="2"/>
                <c:pt idx="0">
                  <c:v>On-prem</c:v>
                </c:pt>
                <c:pt idx="1">
                  <c:v>In Azure</c:v>
                </c:pt>
              </c:strCache>
            </c:strRef>
          </c:cat>
          <c:val>
            <c:numRef>
              <c:f>'Cost per VM'!$T$17:$U$17</c:f>
              <c:numCache>
                <c:formatCode>_(* #,##0_);_(* \(#,##0\);_(* "-"??_);_(@_)</c:formatCode>
                <c:ptCount val="2"/>
                <c:pt idx="1">
                  <c:v>0</c:v>
                </c:pt>
              </c:numCache>
            </c:numRef>
          </c:val>
          <c:extLst>
            <c:ext xmlns:c16="http://schemas.microsoft.com/office/drawing/2014/chart" uri="{C3380CC4-5D6E-409C-BE32-E72D297353CC}">
              <c16:uniqueId val="{00000008-5D63-4F80-AF03-968C63355DE0}"/>
            </c:ext>
          </c:extLst>
        </c:ser>
        <c:ser>
          <c:idx val="0"/>
          <c:order val="8"/>
          <c:tx>
            <c:strRef>
              <c:f>'Cost per VM'!$S$12</c:f>
              <c:strCache>
                <c:ptCount val="1"/>
                <c:pt idx="0">
                  <c:v>Licenses Costs</c:v>
                </c:pt>
              </c:strCache>
            </c:strRef>
          </c:tx>
          <c:spPr>
            <a:solidFill>
              <a:srgbClr val="00B050">
                <a:alpha val="70000"/>
              </a:srgb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'Cost per VM'!$T$7:$U$7</c:f>
              <c:strCache>
                <c:ptCount val="2"/>
                <c:pt idx="0">
                  <c:v>On-prem</c:v>
                </c:pt>
                <c:pt idx="1">
                  <c:v>In Azure</c:v>
                </c:pt>
              </c:strCache>
            </c:strRef>
          </c:cat>
          <c:val>
            <c:numRef>
              <c:f>'Cost per VM'!$T$12:$U$12</c:f>
              <c:numCache>
                <c:formatCode>_(* #,##0_);_(* \(#,##0\);_(* "-"??_);_(@_)</c:formatCode>
                <c:ptCount val="2"/>
                <c:pt idx="0">
                  <c:v>0</c:v>
                </c:pt>
                <c:pt idx="1">
                  <c:v>0</c:v>
                </c:pt>
              </c:numCache>
            </c:numRef>
          </c:val>
          <c:extLst>
            <c:ext xmlns:c16="http://schemas.microsoft.com/office/drawing/2014/chart" uri="{C3380CC4-5D6E-409C-BE32-E72D297353CC}">
              <c16:uniqueId val="{00000003-5D63-4F80-AF03-968C63355DE0}"/>
            </c:ext>
          </c:extLst>
        </c:ser>
        <c:ser>
          <c:idx val="4"/>
          <c:order val="9"/>
          <c:tx>
            <c:strRef>
              <c:f>'Cost per VM'!$S$13</c:f>
              <c:strCache>
                <c:ptCount val="1"/>
                <c:pt idx="0">
                  <c:v>IT Operations Costs</c:v>
                </c:pt>
              </c:strCache>
            </c:strRef>
          </c:tx>
          <c:spPr>
            <a:solidFill>
              <a:schemeClr val="bg1">
                <a:lumMod val="5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'Cost per VM'!$T$13:$U$13</c:f>
              <c:numCache>
                <c:formatCode>_(* #,##0_);_(* \(#,##0\);_(* "-"??_);_(@_)</c:formatCode>
                <c:ptCount val="2"/>
                <c:pt idx="0">
                  <c:v>0</c:v>
                </c:pt>
                <c:pt idx="1">
                  <c:v>0</c:v>
                </c:pt>
              </c:numCache>
            </c:numRef>
          </c:val>
          <c:extLst>
            <c:ext xmlns:c16="http://schemas.microsoft.com/office/drawing/2014/chart" uri="{C3380CC4-5D6E-409C-BE32-E72D297353CC}">
              <c16:uniqueId val="{00000001-08CC-40DC-AEF8-9D077432C02A}"/>
            </c:ext>
          </c:extLst>
        </c:ser>
        <c:dLbls>
          <c:dLblPos val="ctr"/>
          <c:showLegendKey val="0"/>
          <c:showVal val="1"/>
          <c:showCatName val="0"/>
          <c:showSerName val="0"/>
          <c:showPercent val="0"/>
          <c:showBubbleSize val="0"/>
        </c:dLbls>
        <c:gapWidth val="50"/>
        <c:overlap val="100"/>
        <c:axId val="759994560"/>
        <c:axId val="759999136"/>
      </c:barChart>
      <c:catAx>
        <c:axId val="759994560"/>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ptos" panose="020B0004020202020204" pitchFamily="34" charset="0"/>
                <a:ea typeface="+mn-ea"/>
                <a:cs typeface="Segoe UI Semibold" panose="020B0702040204020203" pitchFamily="34" charset="0"/>
              </a:defRPr>
            </a:pPr>
            <a:endParaRPr lang="en-US"/>
          </a:p>
        </c:txPr>
        <c:crossAx val="759999136"/>
        <c:crosses val="autoZero"/>
        <c:auto val="1"/>
        <c:lblAlgn val="ctr"/>
        <c:lblOffset val="100"/>
        <c:noMultiLvlLbl val="0"/>
      </c:catAx>
      <c:valAx>
        <c:axId val="759999136"/>
        <c:scaling>
          <c:orientation val="minMax"/>
          <c:min val="0"/>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759994560"/>
        <c:crosses val="autoZero"/>
        <c:crossBetween val="between"/>
      </c:valAx>
      <c:spPr>
        <a:noFill/>
        <a:ln>
          <a:noFill/>
        </a:ln>
        <a:effectLst/>
      </c:spPr>
    </c:plotArea>
    <c:legend>
      <c:legendPos val="b"/>
      <c:layout>
        <c:manualLayout>
          <c:xMode val="edge"/>
          <c:yMode val="edge"/>
          <c:x val="0.17420486097378443"/>
          <c:y val="0.84233409318002805"/>
          <c:w val="0.71392830990982969"/>
          <c:h val="0.14703033169700783"/>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baseline="0">
          <a:latin typeface="Segoe UI" panose="020B0502040204020203"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'Transfo Value Waterfall'!$C$7</c:f>
              <c:strCache>
                <c:ptCount val="1"/>
                <c:pt idx="0">
                  <c:v>Invisible</c:v>
                </c:pt>
              </c:strCache>
            </c:strRef>
          </c:tx>
          <c:spPr>
            <a:noFill/>
            <a:ln>
              <a:noFill/>
            </a:ln>
            <a:effectLst/>
          </c:spPr>
          <c:invertIfNegative val="0"/>
          <c:cat>
            <c:strRef>
              <c:f>'Transfo Value Waterfall'!$B$8:$B$10</c:f>
              <c:strCache>
                <c:ptCount val="3"/>
                <c:pt idx="0">
                  <c:v>Status Quo (On-Prem)</c:v>
                </c:pt>
                <c:pt idx="1">
                  <c:v>Azure Transformative Value</c:v>
                </c:pt>
                <c:pt idx="2">
                  <c:v>Azure Case</c:v>
                </c:pt>
              </c:strCache>
            </c:strRef>
          </c:cat>
          <c:val>
            <c:numRef>
              <c:f>'Transfo Value Waterfall'!$C$8:$C$10</c:f>
              <c:numCache>
                <c:formatCode>"$"#,##0.0,,"M";\("$"#,##0.0,,"M"\)</c:formatCode>
                <c:ptCount val="3"/>
                <c:pt idx="1">
                  <c:v>0</c:v>
                </c:pt>
              </c:numCache>
            </c:numRef>
          </c:val>
          <c:extLst>
            <c:ext xmlns:c16="http://schemas.microsoft.com/office/drawing/2014/chart" uri="{C3380CC4-5D6E-409C-BE32-E72D297353CC}">
              <c16:uniqueId val="{00000000-0B23-4951-BE52-980C2F208280}"/>
            </c:ext>
          </c:extLst>
        </c:ser>
        <c:ser>
          <c:idx val="1"/>
          <c:order val="1"/>
          <c:tx>
            <c:strRef>
              <c:f>'Transfo Value Waterfall'!$D$7</c:f>
              <c:strCache>
                <c:ptCount val="1"/>
                <c:pt idx="0">
                  <c:v>Final</c:v>
                </c:pt>
              </c:strCache>
            </c:strRef>
          </c:tx>
          <c:spPr>
            <a:noFill/>
            <a:ln w="25400">
              <a:solidFill>
                <a:srgbClr val="00B0F0">
                  <a:alpha val="98000"/>
                </a:srgbClr>
              </a:solidFill>
            </a:ln>
            <a:effectLst/>
          </c:spPr>
          <c:invertIfNegative val="0"/>
          <c:dPt>
            <c:idx val="2"/>
            <c:invertIfNegative val="0"/>
            <c:bubble3D val="0"/>
            <c:spPr>
              <a:noFill/>
              <a:ln w="25400">
                <a:solidFill>
                  <a:srgbClr val="00B0F0">
                    <a:alpha val="98000"/>
                  </a:srgbClr>
                </a:solidFill>
                <a:prstDash val="sysDash"/>
              </a:ln>
              <a:effectLst/>
            </c:spPr>
            <c:extLst>
              <c:ext xmlns:c16="http://schemas.microsoft.com/office/drawing/2014/chart" uri="{C3380CC4-5D6E-409C-BE32-E72D297353CC}">
                <c16:uniqueId val="{00000000-B176-4C54-BBA2-7500AAD4A74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F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'Transfo Value Waterfall'!$B$8:$B$10</c:f>
              <c:strCache>
                <c:ptCount val="3"/>
                <c:pt idx="0">
                  <c:v>Status Quo (On-Prem)</c:v>
                </c:pt>
                <c:pt idx="1">
                  <c:v>Azure Transformative Value</c:v>
                </c:pt>
                <c:pt idx="2">
                  <c:v>Azure Case</c:v>
                </c:pt>
              </c:strCache>
            </c:strRef>
          </c:cat>
          <c:val>
            <c:numRef>
              <c:f>'Transfo Value Waterfall'!$D$8:$D$10</c:f>
              <c:numCache>
                <c:formatCode>"$"#,##0.0,,"M";\("$"#,##0.0,,"M"\)</c:formatCode>
                <c:ptCount val="3"/>
                <c:pt idx="2">
                  <c:v>0</c:v>
                </c:pt>
              </c:numCache>
            </c:numRef>
          </c:val>
          <c:extLst>
            <c:ext xmlns:c16="http://schemas.microsoft.com/office/drawing/2014/chart" uri="{C3380CC4-5D6E-409C-BE32-E72D297353CC}">
              <c16:uniqueId val="{00000001-0B23-4951-BE52-980C2F208280}"/>
            </c:ext>
          </c:extLst>
        </c:ser>
        <c:ser>
          <c:idx val="2"/>
          <c:order val="2"/>
          <c:tx>
            <c:strRef>
              <c:f>'Transfo Value Waterfall'!$E$7</c:f>
              <c:strCache>
                <c:ptCount val="1"/>
                <c:pt idx="0">
                  <c:v>Plus 2</c:v>
                </c:pt>
              </c:strCache>
            </c:strRef>
          </c:tx>
          <c:spPr>
            <a:solidFill>
              <a:srgbClr val="50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'Transfo Value Waterfall'!$B$8:$B$10</c:f>
              <c:strCache>
                <c:ptCount val="3"/>
                <c:pt idx="0">
                  <c:v>Status Quo (On-Prem)</c:v>
                </c:pt>
                <c:pt idx="1">
                  <c:v>Azure Transformative Value</c:v>
                </c:pt>
                <c:pt idx="2">
                  <c:v>Azure Case</c:v>
                </c:pt>
              </c:strCache>
            </c:strRef>
          </c:cat>
          <c:val>
            <c:numRef>
              <c:f>'Transfo Value Waterfall'!$E$8:$E$10</c:f>
              <c:numCache>
                <c:formatCode>"$"#,##0.0,,"M";\("$"#,##0.0,,"M"\)</c:formatCode>
                <c:ptCount val="3"/>
              </c:numCache>
            </c:numRef>
          </c:val>
          <c:extLst>
            <c:ext xmlns:c16="http://schemas.microsoft.com/office/drawing/2014/chart" uri="{C3380CC4-5D6E-409C-BE32-E72D297353CC}">
              <c16:uniqueId val="{00000002-0B23-4951-BE52-980C2F208280}"/>
            </c:ext>
          </c:extLst>
        </c:ser>
        <c:ser>
          <c:idx val="3"/>
          <c:order val="3"/>
          <c:tx>
            <c:strRef>
              <c:f>'Transfo Value Waterfall'!$F$7</c:f>
              <c:strCache>
                <c:ptCount val="1"/>
                <c:pt idx="0">
                  <c:v>Plus 1</c:v>
                </c:pt>
              </c:strCache>
            </c:strRef>
          </c:tx>
          <c:spPr>
            <a:pattFill prst="ltUpDiag">
              <a:fgClr>
                <a:schemeClr val="accent6"/>
              </a:fgClr>
              <a:bgClr>
                <a:schemeClr val="bg1"/>
              </a:bgClr>
            </a:pattFill>
            <a:ln>
              <a:noFill/>
            </a:ln>
            <a:effectLst/>
          </c:spPr>
          <c:invertIfNegative val="0"/>
          <c:dPt>
            <c:idx val="1"/>
            <c:invertIfNegative val="0"/>
            <c:bubble3D val="0"/>
            <c:spPr>
              <a:pattFill prst="ltUpDiag">
                <a:fgClr>
                  <a:schemeClr val="accent6"/>
                </a:fgClr>
                <a:bgClr>
                  <a:schemeClr val="bg1"/>
                </a:bgClr>
              </a:pattFill>
              <a:ln>
                <a:noFill/>
              </a:ln>
              <a:effectLst/>
            </c:spPr>
            <c:extLst>
              <c:ext xmlns:c16="http://schemas.microsoft.com/office/drawing/2014/chart" uri="{C3380CC4-5D6E-409C-BE32-E72D297353CC}">
                <c16:uniqueId val="{00000001-B176-4C54-BBA2-7500AAD4A743}"/>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'Transfo Value Waterfall'!$B$8:$B$10</c:f>
              <c:strCache>
                <c:ptCount val="3"/>
                <c:pt idx="0">
                  <c:v>Status Quo (On-Prem)</c:v>
                </c:pt>
                <c:pt idx="1">
                  <c:v>Azure Transformative Value</c:v>
                </c:pt>
                <c:pt idx="2">
                  <c:v>Azure Case</c:v>
                </c:pt>
              </c:strCache>
            </c:strRef>
          </c:cat>
          <c:val>
            <c:numRef>
              <c:f>'Transfo Value Waterfall'!$F$8:$F$10</c:f>
              <c:numCache>
                <c:formatCode>"$"#,##0.0,,"M";\("$"#,##0.0,,"M"\)</c:formatCode>
                <c:ptCount val="3"/>
                <c:pt idx="1">
                  <c:v>0</c:v>
                </c:pt>
              </c:numCache>
            </c:numRef>
          </c:val>
          <c:extLst>
            <c:ext xmlns:c16="http://schemas.microsoft.com/office/drawing/2014/chart" uri="{C3380CC4-5D6E-409C-BE32-E72D297353CC}">
              <c16:uniqueId val="{00000003-0B23-4951-BE52-980C2F208280}"/>
            </c:ext>
          </c:extLst>
        </c:ser>
        <c:ser>
          <c:idx val="4"/>
          <c:order val="4"/>
          <c:tx>
            <c:strRef>
              <c:f>'Transfo Value Waterfall'!$G$7</c:f>
              <c:strCache>
                <c:ptCount val="1"/>
                <c:pt idx="0">
                  <c:v>Initial</c:v>
                </c:pt>
              </c:strCache>
            </c:strRef>
          </c:tx>
          <c:spPr>
            <a:noFill/>
            <a:ln w="25400">
              <a:solidFill>
                <a:schemeClr val="accent2"/>
              </a:solidFill>
              <a:prstDash val="sysDash"/>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'Transfo Value Waterfall'!$B$8:$B$10</c:f>
              <c:strCache>
                <c:ptCount val="3"/>
                <c:pt idx="0">
                  <c:v>Status Quo (On-Prem)</c:v>
                </c:pt>
                <c:pt idx="1">
                  <c:v>Azure Transformative Value</c:v>
                </c:pt>
                <c:pt idx="2">
                  <c:v>Azure Case</c:v>
                </c:pt>
              </c:strCache>
            </c:strRef>
          </c:cat>
          <c:val>
            <c:numRef>
              <c:f>'Transfo Value Waterfall'!$G$8:$G$10</c:f>
              <c:numCache>
                <c:formatCode>"$"#,##0.0,,"M";\("$"#,##0.0,,"M"\)</c:formatCode>
                <c:ptCount val="3"/>
                <c:pt idx="0">
                  <c:v>0</c:v>
                </c:pt>
              </c:numCache>
            </c:numRef>
          </c:val>
          <c:extLst>
            <c:ext xmlns:c16="http://schemas.microsoft.com/office/drawing/2014/chart" uri="{C3380CC4-5D6E-409C-BE32-E72D297353CC}">
              <c16:uniqueId val="{00000004-0B23-4951-BE52-980C2F208280}"/>
            </c:ext>
          </c:extLst>
        </c:ser>
        <c:dLbls>
          <c:showLegendKey val="0"/>
          <c:showVal val="0"/>
          <c:showCatName val="0"/>
          <c:showSerName val="0"/>
          <c:showPercent val="0"/>
          <c:showBubbleSize val="0"/>
        </c:dLbls>
        <c:gapWidth val="150"/>
        <c:overlap val="100"/>
        <c:axId val="173851424"/>
        <c:axId val="1012357008"/>
      </c:barChart>
      <c:catAx>
        <c:axId val="17385142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ptos" panose="020B0004020202020204" pitchFamily="34" charset="0"/>
                <a:ea typeface="+mn-ea"/>
                <a:cs typeface="Segoe UI" panose="020B0502040204020203" pitchFamily="34" charset="0"/>
              </a:defRPr>
            </a:pPr>
            <a:endParaRPr lang="en-US"/>
          </a:p>
        </c:txPr>
        <c:crossAx val="1012357008"/>
        <c:crosses val="autoZero"/>
        <c:auto val="1"/>
        <c:lblAlgn val="ctr"/>
        <c:lblOffset val="100"/>
        <c:noMultiLvlLbl val="0"/>
      </c:catAx>
      <c:valAx>
        <c:axId val="1012357008"/>
        <c:scaling>
          <c:orientation val="minMax"/>
        </c:scaling>
        <c:delete val="0"/>
        <c:axPos val="l"/>
        <c:numFmt formatCode="&quot;$&quot;#,##0.0,,&quot;M&quot;;\(&quot;$&quot;#,##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Segoe UI" panose="020B0502040204020203" pitchFamily="34" charset="0"/>
              </a:defRPr>
            </a:pPr>
            <a:endParaRPr lang="en-US"/>
          </a:p>
        </c:txPr>
        <c:crossAx val="173851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'Transfo Value Waterfall'!$C$23</c:f>
              <c:strCache>
                <c:ptCount val="1"/>
              </c:strCache>
            </c:strRef>
          </c:tx>
          <c:spPr>
            <a:noFill/>
            <a:ln>
              <a:noFill/>
            </a:ln>
            <a:effectLst/>
          </c:spPr>
          <c:invertIfNegative val="0"/>
          <c:cat>
            <c:strRef>
              <c:f>'Transfo Value Waterfall'!$B$24:$B$31</c:f>
              <c:strCache>
                <c:ptCount val="8"/>
                <c:pt idx="0">
                  <c:v>Status Quo (On-Prem)</c:v>
                </c:pt>
                <c:pt idx="1">
                  <c:v>Hardware Costs Reduction</c:v>
                </c:pt>
                <c:pt idx="2">
                  <c:v>Bandwidth Costs Reduction</c:v>
                </c:pt>
                <c:pt idx="3">
                  <c:v>Facilities Costs Reduction</c:v>
                </c:pt>
                <c:pt idx="4">
                  <c:v>Licenses Costs Reduction</c:v>
                </c:pt>
                <c:pt idx="5">
                  <c:v>IT Operations Costs Reduction</c:v>
                </c:pt>
                <c:pt idx="6">
                  <c:v>Azure Consumption Increase</c:v>
                </c:pt>
                <c:pt idx="7">
                  <c:v>Azure Case</c:v>
                </c:pt>
              </c:strCache>
            </c:strRef>
          </c:cat>
          <c:val>
            <c:numRef>
              <c:f>'Transfo Value Waterfall'!$C$24:$C$31</c:f>
              <c:numCache>
                <c:formatCode>"$"#,##0.0,,"M";\("$"#,##0.0,,"M"\)</c:formatCode>
                <c:ptCount val="8"/>
                <c:pt idx="1">
                  <c:v>0</c:v>
                </c:pt>
                <c:pt idx="2">
                  <c:v>0</c:v>
                </c:pt>
                <c:pt idx="3">
                  <c:v>0</c:v>
                </c:pt>
                <c:pt idx="4">
                  <c:v>0</c:v>
                </c:pt>
                <c:pt idx="5">
                  <c:v>0</c:v>
                </c:pt>
                <c:pt idx="6">
                  <c:v>0</c:v>
                </c:pt>
              </c:numCache>
            </c:numRef>
          </c:val>
          <c:extLst>
            <c:ext xmlns:c16="http://schemas.microsoft.com/office/drawing/2014/chart" uri="{C3380CC4-5D6E-409C-BE32-E72D297353CC}">
              <c16:uniqueId val="{00000000-4F62-4CDF-9850-15D5D23FA235}"/>
            </c:ext>
          </c:extLst>
        </c:ser>
        <c:ser>
          <c:idx val="1"/>
          <c:order val="1"/>
          <c:tx>
            <c:strRef>
              <c:f>'Transfo Value Waterfall'!$D$23</c:f>
              <c:strCache>
                <c:ptCount val="1"/>
                <c:pt idx="0">
                  <c:v>Final</c:v>
                </c:pt>
              </c:strCache>
            </c:strRef>
          </c:tx>
          <c:spPr>
            <a:noFill/>
            <a:ln w="25400">
              <a:solidFill>
                <a:srgbClr val="00B0F0"/>
              </a:solidFill>
              <a:prstDash val="sysDash"/>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00B0F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'Transfo Value Waterfall'!$B$24:$B$31</c:f>
              <c:strCache>
                <c:ptCount val="8"/>
                <c:pt idx="0">
                  <c:v>Status Quo (On-Prem)</c:v>
                </c:pt>
                <c:pt idx="1">
                  <c:v>Hardware Costs Reduction</c:v>
                </c:pt>
                <c:pt idx="2">
                  <c:v>Bandwidth Costs Reduction</c:v>
                </c:pt>
                <c:pt idx="3">
                  <c:v>Facilities Costs Reduction</c:v>
                </c:pt>
                <c:pt idx="4">
                  <c:v>Licenses Costs Reduction</c:v>
                </c:pt>
                <c:pt idx="5">
                  <c:v>IT Operations Costs Reduction</c:v>
                </c:pt>
                <c:pt idx="6">
                  <c:v>Azure Consumption Increase</c:v>
                </c:pt>
                <c:pt idx="7">
                  <c:v>Azure Case</c:v>
                </c:pt>
              </c:strCache>
            </c:strRef>
          </c:cat>
          <c:val>
            <c:numRef>
              <c:f>'Transfo Value Waterfall'!$D$24:$D$31</c:f>
              <c:numCache>
                <c:formatCode>"$"#,##0.0,,"M";\("$"#,##0.0,,"M"\)</c:formatCode>
                <c:ptCount val="8"/>
                <c:pt idx="7">
                  <c:v>0</c:v>
                </c:pt>
              </c:numCache>
            </c:numRef>
          </c:val>
          <c:extLst>
            <c:ext xmlns:c16="http://schemas.microsoft.com/office/drawing/2014/chart" uri="{C3380CC4-5D6E-409C-BE32-E72D297353CC}">
              <c16:uniqueId val="{00000001-4F62-4CDF-9850-15D5D23FA235}"/>
            </c:ext>
          </c:extLst>
        </c:ser>
        <c:ser>
          <c:idx val="2"/>
          <c:order val="2"/>
          <c:tx>
            <c:strRef>
              <c:f>'Transfo Value Waterfall'!$E$23</c:f>
              <c:strCache>
                <c:ptCount val="1"/>
                <c:pt idx="0">
                  <c:v>Cost Reduction</c:v>
                </c:pt>
              </c:strCache>
            </c:strRef>
          </c:tx>
          <c:spPr>
            <a:pattFill prst="ltUpDiag">
              <a:fgClr>
                <a:schemeClr val="accent6"/>
              </a:fgClr>
              <a:bgClr>
                <a:schemeClr val="bg1"/>
              </a:bgClr>
            </a:patt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6"/>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'Transfo Value Waterfall'!$B$24:$B$31</c:f>
              <c:strCache>
                <c:ptCount val="8"/>
                <c:pt idx="0">
                  <c:v>Status Quo (On-Prem)</c:v>
                </c:pt>
                <c:pt idx="1">
                  <c:v>Hardware Costs Reduction</c:v>
                </c:pt>
                <c:pt idx="2">
                  <c:v>Bandwidth Costs Reduction</c:v>
                </c:pt>
                <c:pt idx="3">
                  <c:v>Facilities Costs Reduction</c:v>
                </c:pt>
                <c:pt idx="4">
                  <c:v>Licenses Costs Reduction</c:v>
                </c:pt>
                <c:pt idx="5">
                  <c:v>IT Operations Costs Reduction</c:v>
                </c:pt>
                <c:pt idx="6">
                  <c:v>Azure Consumption Increase</c:v>
                </c:pt>
                <c:pt idx="7">
                  <c:v>Azure Case</c:v>
                </c:pt>
              </c:strCache>
            </c:strRef>
          </c:cat>
          <c:val>
            <c:numRef>
              <c:f>'Transfo Value Waterfall'!$E$24:$E$31</c:f>
              <c:numCache>
                <c:formatCode>"$"#,##0.0,,"M";\("$"#,##0.0,,"M"\)</c:formatCode>
                <c:ptCount val="8"/>
                <c:pt idx="1">
                  <c:v>0</c:v>
                </c:pt>
                <c:pt idx="2">
                  <c:v>0</c:v>
                </c:pt>
                <c:pt idx="3">
                  <c:v>0</c:v>
                </c:pt>
                <c:pt idx="4">
                  <c:v>0</c:v>
                </c:pt>
                <c:pt idx="5">
                  <c:v>0</c:v>
                </c:pt>
              </c:numCache>
            </c:numRef>
          </c:val>
          <c:extLst>
            <c:ext xmlns:c16="http://schemas.microsoft.com/office/drawing/2014/chart" uri="{C3380CC4-5D6E-409C-BE32-E72D297353CC}">
              <c16:uniqueId val="{00000002-4F62-4CDF-9850-15D5D23FA235}"/>
            </c:ext>
          </c:extLst>
        </c:ser>
        <c:ser>
          <c:idx val="3"/>
          <c:order val="3"/>
          <c:tx>
            <c:strRef>
              <c:f>'Transfo Value Waterfall'!$F$23</c:f>
              <c:strCache>
                <c:ptCount val="1"/>
                <c:pt idx="0">
                  <c:v>Cost Increase</c:v>
                </c:pt>
              </c:strCache>
            </c:strRef>
          </c:tx>
          <c:spPr>
            <a:noFill/>
            <a:ln w="25400">
              <a:solidFill>
                <a:srgbClr val="0078D4"/>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0078D4"/>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'Transfo Value Waterfall'!$B$24:$B$31</c:f>
              <c:strCache>
                <c:ptCount val="8"/>
                <c:pt idx="0">
                  <c:v>Status Quo (On-Prem)</c:v>
                </c:pt>
                <c:pt idx="1">
                  <c:v>Hardware Costs Reduction</c:v>
                </c:pt>
                <c:pt idx="2">
                  <c:v>Bandwidth Costs Reduction</c:v>
                </c:pt>
                <c:pt idx="3">
                  <c:v>Facilities Costs Reduction</c:v>
                </c:pt>
                <c:pt idx="4">
                  <c:v>Licenses Costs Reduction</c:v>
                </c:pt>
                <c:pt idx="5">
                  <c:v>IT Operations Costs Reduction</c:v>
                </c:pt>
                <c:pt idx="6">
                  <c:v>Azure Consumption Increase</c:v>
                </c:pt>
                <c:pt idx="7">
                  <c:v>Azure Case</c:v>
                </c:pt>
              </c:strCache>
            </c:strRef>
          </c:cat>
          <c:val>
            <c:numRef>
              <c:f>'Transfo Value Waterfall'!$F$24:$F$31</c:f>
              <c:numCache>
                <c:formatCode>"$"#,##0.0,,"M";\("$"#,##0.0,,"M"\)</c:formatCode>
                <c:ptCount val="8"/>
                <c:pt idx="6">
                  <c:v>0</c:v>
                </c:pt>
              </c:numCache>
            </c:numRef>
          </c:val>
          <c:extLst>
            <c:ext xmlns:c16="http://schemas.microsoft.com/office/drawing/2014/chart" uri="{C3380CC4-5D6E-409C-BE32-E72D297353CC}">
              <c16:uniqueId val="{00000003-4F62-4CDF-9850-15D5D23FA235}"/>
            </c:ext>
          </c:extLst>
        </c:ser>
        <c:ser>
          <c:idx val="4"/>
          <c:order val="4"/>
          <c:tx>
            <c:strRef>
              <c:f>'Transfo Value Waterfall'!$G$23</c:f>
              <c:strCache>
                <c:ptCount val="1"/>
                <c:pt idx="0">
                  <c:v>Initial</c:v>
                </c:pt>
              </c:strCache>
            </c:strRef>
          </c:tx>
          <c:spPr>
            <a:noFill/>
            <a:ln w="25400">
              <a:solidFill>
                <a:schemeClr val="accent2"/>
              </a:solidFill>
              <a:prstDash val="sysDash"/>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2"/>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'Transfo Value Waterfall'!$B$24:$B$31</c:f>
              <c:strCache>
                <c:ptCount val="8"/>
                <c:pt idx="0">
                  <c:v>Status Quo (On-Prem)</c:v>
                </c:pt>
                <c:pt idx="1">
                  <c:v>Hardware Costs Reduction</c:v>
                </c:pt>
                <c:pt idx="2">
                  <c:v>Bandwidth Costs Reduction</c:v>
                </c:pt>
                <c:pt idx="3">
                  <c:v>Facilities Costs Reduction</c:v>
                </c:pt>
                <c:pt idx="4">
                  <c:v>Licenses Costs Reduction</c:v>
                </c:pt>
                <c:pt idx="5">
                  <c:v>IT Operations Costs Reduction</c:v>
                </c:pt>
                <c:pt idx="6">
                  <c:v>Azure Consumption Increase</c:v>
                </c:pt>
                <c:pt idx="7">
                  <c:v>Azure Case</c:v>
                </c:pt>
              </c:strCache>
            </c:strRef>
          </c:cat>
          <c:val>
            <c:numRef>
              <c:f>'Transfo Value Waterfall'!$G$24:$G$31</c:f>
              <c:numCache>
                <c:formatCode>"$"#,##0.0,,"M";\("$"#,##0.0,,"M"\)</c:formatCode>
                <c:ptCount val="8"/>
                <c:pt idx="0">
                  <c:v>0</c:v>
                </c:pt>
              </c:numCache>
            </c:numRef>
          </c:val>
          <c:extLst>
            <c:ext xmlns:c16="http://schemas.microsoft.com/office/drawing/2014/chart" uri="{C3380CC4-5D6E-409C-BE32-E72D297353CC}">
              <c16:uniqueId val="{00000004-4F62-4CDF-9850-15D5D23FA235}"/>
            </c:ext>
          </c:extLst>
        </c:ser>
        <c:dLbls>
          <c:showLegendKey val="0"/>
          <c:showVal val="0"/>
          <c:showCatName val="0"/>
          <c:showSerName val="0"/>
          <c:showPercent val="0"/>
          <c:showBubbleSize val="0"/>
        </c:dLbls>
        <c:gapWidth val="150"/>
        <c:overlap val="100"/>
        <c:axId val="173851424"/>
        <c:axId val="1012357008"/>
      </c:barChart>
      <c:catAx>
        <c:axId val="17385142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ptos" panose="020B0004020202020204" pitchFamily="34" charset="0"/>
                <a:ea typeface="+mn-ea"/>
                <a:cs typeface="Segoe UI" panose="020B0502040204020203" pitchFamily="34" charset="0"/>
              </a:defRPr>
            </a:pPr>
            <a:endParaRPr lang="en-US"/>
          </a:p>
        </c:txPr>
        <c:crossAx val="1012357008"/>
        <c:crosses val="autoZero"/>
        <c:auto val="1"/>
        <c:lblAlgn val="ctr"/>
        <c:lblOffset val="100"/>
        <c:noMultiLvlLbl val="0"/>
      </c:catAx>
      <c:valAx>
        <c:axId val="1012357008"/>
        <c:scaling>
          <c:orientation val="minMax"/>
        </c:scaling>
        <c:delete val="0"/>
        <c:axPos val="l"/>
        <c:numFmt formatCode="&quot;$&quot;#,##0.0,,&quot;M&quot;;\(&quot;$&quot;#,##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Segoe UI" panose="020B0502040204020203" pitchFamily="34" charset="0"/>
              </a:defRPr>
            </a:pPr>
            <a:endParaRPr lang="en-US"/>
          </a:p>
        </c:txPr>
        <c:crossAx val="173851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baseline="0">
                <a:solidFill>
                  <a:sysClr val="windowText" lastClr="000000"/>
                </a:solidFill>
                <a:latin typeface="Aptos" panose="020B0004020202020204" pitchFamily="34" charset="0"/>
                <a:ea typeface="+mn-ea"/>
                <a:cs typeface="Segoe UI Semibold" panose="020B0702040204020203" pitchFamily="34" charset="0"/>
              </a:defRPr>
            </a:pPr>
            <a:r>
              <a:rPr lang="en-US" sz="1050">
                <a:solidFill>
                  <a:sysClr val="windowText" lastClr="000000"/>
                </a:solidFill>
                <a:latin typeface="Aptos" panose="020B0004020202020204" pitchFamily="34" charset="0"/>
                <a:cs typeface="Segoe UI Semibold" panose="020B0702040204020203" pitchFamily="34" charset="0"/>
              </a:rPr>
              <a:t>Steady State IT Productivity</a:t>
            </a:r>
          </a:p>
        </c:rich>
      </c:tx>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Aptos" panose="020B0004020202020204" pitchFamily="34" charset="0"/>
              <a:ea typeface="+mn-ea"/>
              <a:cs typeface="Segoe UI Semibold" panose="020B0702040204020203" pitchFamily="34" charset="0"/>
            </a:defRPr>
          </a:pPr>
          <a:endParaRPr lang="en-US"/>
        </a:p>
      </c:txPr>
    </c:title>
    <c:autoTitleDeleted val="0"/>
    <c:plotArea>
      <c:layout/>
      <c:barChart>
        <c:barDir val="col"/>
        <c:grouping val="stacked"/>
        <c:varyColors val="0"/>
        <c:ser>
          <c:idx val="4"/>
          <c:order val="0"/>
          <c:tx>
            <c:strRef>
              <c:f>'IT Productivity'!$M$8</c:f>
              <c:strCache>
                <c:ptCount val="1"/>
                <c:pt idx="0">
                  <c:v>Invisible</c:v>
                </c:pt>
              </c:strCache>
            </c:strRef>
          </c:tx>
          <c:spPr>
            <a:noFill/>
            <a:ln>
              <a:noFill/>
            </a:ln>
            <a:effectLst/>
          </c:spPr>
          <c:invertIfNegative val="0"/>
          <c:val>
            <c:numRef>
              <c:f>'IT Productivity'!$M$9:$M$12</c:f>
              <c:numCache>
                <c:formatCode>_(* #,##0.0_);_(* \(#,##0.0\);_(* "-"??_);_(@_)</c:formatCode>
                <c:ptCount val="4"/>
                <c:pt idx="1">
                  <c:v>0</c:v>
                </c:pt>
                <c:pt idx="2">
                  <c:v>0</c:v>
                </c:pt>
              </c:numCache>
            </c:numRef>
          </c:val>
          <c:extLst>
            <c:ext xmlns:c16="http://schemas.microsoft.com/office/drawing/2014/chart" uri="{C3380CC4-5D6E-409C-BE32-E72D297353CC}">
              <c16:uniqueId val="{00000005-656C-403B-A5F6-BBBCDDDD523A}"/>
            </c:ext>
          </c:extLst>
        </c:ser>
        <c:ser>
          <c:idx val="0"/>
          <c:order val="1"/>
          <c:tx>
            <c:strRef>
              <c:f>'IT Productivity'!$N$8</c:f>
              <c:strCache>
                <c:ptCount val="1"/>
                <c:pt idx="0">
                  <c:v>Final</c:v>
                </c:pt>
              </c:strCache>
            </c:strRef>
          </c:tx>
          <c:spPr>
            <a:solidFill>
              <a:schemeClr val="accent5">
                <a:lumMod val="20000"/>
                <a:lumOff val="80000"/>
              </a:schemeClr>
            </a:solidFill>
            <a:ln w="15875">
              <a:solidFill>
                <a:schemeClr val="accent1"/>
              </a:solidFill>
              <a:prstDash val="sysDash"/>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Productivity'!$L$9:$L$12</c:f>
              <c:strCache>
                <c:ptCount val="4"/>
                <c:pt idx="0">
                  <c:v>Status Quo (On-Prem)</c:v>
                </c:pt>
                <c:pt idx="1">
                  <c:v>Productivity Gain</c:v>
                </c:pt>
                <c:pt idx="2">
                  <c:v>Realization Premium (e.g., Not Recaptured)</c:v>
                </c:pt>
                <c:pt idx="3">
                  <c:v>Azure Case</c:v>
                </c:pt>
              </c:strCache>
            </c:strRef>
          </c:cat>
          <c:val>
            <c:numRef>
              <c:f>'IT Productivity'!$N$9:$N$12</c:f>
              <c:numCache>
                <c:formatCode>_(* #,##0.0_);_(* \(#,##0.0\);_(* "-"??_);_(@_)</c:formatCode>
                <c:ptCount val="4"/>
                <c:pt idx="3">
                  <c:v>0</c:v>
                </c:pt>
              </c:numCache>
            </c:numRef>
          </c:val>
          <c:extLst>
            <c:ext xmlns:c16="http://schemas.microsoft.com/office/drawing/2014/chart" uri="{C3380CC4-5D6E-409C-BE32-E72D297353CC}">
              <c16:uniqueId val="{00000000-656C-403B-A5F6-BBBCDDDD523A}"/>
            </c:ext>
          </c:extLst>
        </c:ser>
        <c:ser>
          <c:idx val="1"/>
          <c:order val="2"/>
          <c:tx>
            <c:strRef>
              <c:f>'IT Productivity'!$O$8</c:f>
              <c:strCache>
                <c:ptCount val="1"/>
                <c:pt idx="0">
                  <c:v>Cost Reduction</c:v>
                </c:pt>
              </c:strCache>
            </c:strRef>
          </c:tx>
          <c:spPr>
            <a:solidFill>
              <a:schemeClr val="accent6">
                <a:lumMod val="60000"/>
                <a:lumOff val="4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Productivity'!$L$9:$L$12</c:f>
              <c:strCache>
                <c:ptCount val="4"/>
                <c:pt idx="0">
                  <c:v>Status Quo (On-Prem)</c:v>
                </c:pt>
                <c:pt idx="1">
                  <c:v>Productivity Gain</c:v>
                </c:pt>
                <c:pt idx="2">
                  <c:v>Realization Premium (e.g., Not Recaptured)</c:v>
                </c:pt>
                <c:pt idx="3">
                  <c:v>Azure Case</c:v>
                </c:pt>
              </c:strCache>
            </c:strRef>
          </c:cat>
          <c:val>
            <c:numRef>
              <c:f>'IT Productivity'!$O$9:$O$12</c:f>
              <c:numCache>
                <c:formatCode>_(* #,##0.0_);_(* \(#,##0.0\);_(* "-"??_);_(@_)</c:formatCode>
                <c:ptCount val="4"/>
                <c:pt idx="1">
                  <c:v>0</c:v>
                </c:pt>
              </c:numCache>
            </c:numRef>
          </c:val>
          <c:extLst>
            <c:ext xmlns:c16="http://schemas.microsoft.com/office/drawing/2014/chart" uri="{C3380CC4-5D6E-409C-BE32-E72D297353CC}">
              <c16:uniqueId val="{00000001-656C-403B-A5F6-BBBCDDDD523A}"/>
            </c:ext>
          </c:extLst>
        </c:ser>
        <c:ser>
          <c:idx val="2"/>
          <c:order val="3"/>
          <c:tx>
            <c:strRef>
              <c:f>'IT Productivity'!$P$8</c:f>
              <c:strCache>
                <c:ptCount val="1"/>
                <c:pt idx="0">
                  <c:v>Cost Increase</c:v>
                </c:pt>
              </c:strCache>
            </c:strRef>
          </c:tx>
          <c:spPr>
            <a:solidFill>
              <a:schemeClr val="accent2">
                <a:lumMod val="60000"/>
                <a:lumOff val="4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Productivity'!$L$9:$L$12</c:f>
              <c:strCache>
                <c:ptCount val="4"/>
                <c:pt idx="0">
                  <c:v>Status Quo (On-Prem)</c:v>
                </c:pt>
                <c:pt idx="1">
                  <c:v>Productivity Gain</c:v>
                </c:pt>
                <c:pt idx="2">
                  <c:v>Realization Premium (e.g., Not Recaptured)</c:v>
                </c:pt>
                <c:pt idx="3">
                  <c:v>Azure Case</c:v>
                </c:pt>
              </c:strCache>
            </c:strRef>
          </c:cat>
          <c:val>
            <c:numRef>
              <c:f>'IT Productivity'!$P$9:$P$12</c:f>
              <c:numCache>
                <c:formatCode>_(* #,##0.0_);_(* \(#,##0.0\);_(* "-"??_);_(@_)</c:formatCode>
                <c:ptCount val="4"/>
                <c:pt idx="2">
                  <c:v>0</c:v>
                </c:pt>
              </c:numCache>
            </c:numRef>
          </c:val>
          <c:extLst>
            <c:ext xmlns:c16="http://schemas.microsoft.com/office/drawing/2014/chart" uri="{C3380CC4-5D6E-409C-BE32-E72D297353CC}">
              <c16:uniqueId val="{00000002-656C-403B-A5F6-BBBCDDDD523A}"/>
            </c:ext>
          </c:extLst>
        </c:ser>
        <c:ser>
          <c:idx val="3"/>
          <c:order val="4"/>
          <c:tx>
            <c:strRef>
              <c:f>'IT Productivity'!$Q$8</c:f>
              <c:strCache>
                <c:ptCount val="1"/>
                <c:pt idx="0">
                  <c:v>Initial</c:v>
                </c:pt>
              </c:strCache>
            </c:strRef>
          </c:tx>
          <c:spPr>
            <a:solidFill>
              <a:schemeClr val="accent4">
                <a:lumMod val="20000"/>
                <a:lumOff val="80000"/>
              </a:schemeClr>
            </a:solidFill>
            <a:ln w="15875">
              <a:solidFill>
                <a:srgbClr val="C00000"/>
              </a:solidFill>
              <a:prstDash val="sysDash"/>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Productivity'!$L$9:$L$12</c:f>
              <c:strCache>
                <c:ptCount val="4"/>
                <c:pt idx="0">
                  <c:v>Status Quo (On-Prem)</c:v>
                </c:pt>
                <c:pt idx="1">
                  <c:v>Productivity Gain</c:v>
                </c:pt>
                <c:pt idx="2">
                  <c:v>Realization Premium (e.g., Not Recaptured)</c:v>
                </c:pt>
                <c:pt idx="3">
                  <c:v>Azure Case</c:v>
                </c:pt>
              </c:strCache>
            </c:strRef>
          </c:cat>
          <c:val>
            <c:numRef>
              <c:f>'IT Productivity'!$Q$9:$Q$12</c:f>
              <c:numCache>
                <c:formatCode>_(* #,##0.0_);_(* \(#,##0.0\);_(* "-"??_);_(@_)</c:formatCode>
                <c:ptCount val="4"/>
                <c:pt idx="0">
                  <c:v>0</c:v>
                </c:pt>
              </c:numCache>
            </c:numRef>
          </c:val>
          <c:extLst>
            <c:ext xmlns:c16="http://schemas.microsoft.com/office/drawing/2014/chart" uri="{C3380CC4-5D6E-409C-BE32-E72D297353CC}">
              <c16:uniqueId val="{00000003-656C-403B-A5F6-BBBCDDDD523A}"/>
            </c:ext>
          </c:extLst>
        </c:ser>
        <c:dLbls>
          <c:showLegendKey val="0"/>
          <c:showVal val="0"/>
          <c:showCatName val="0"/>
          <c:showSerName val="0"/>
          <c:showPercent val="0"/>
          <c:showBubbleSize val="0"/>
        </c:dLbls>
        <c:gapWidth val="150"/>
        <c:overlap val="100"/>
        <c:axId val="173851424"/>
        <c:axId val="1012357008"/>
      </c:barChart>
      <c:catAx>
        <c:axId val="17385142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Segoe UI" panose="020B0502040204020203" pitchFamily="34" charset="0"/>
              </a:defRPr>
            </a:pPr>
            <a:endParaRPr lang="en-US"/>
          </a:p>
        </c:txPr>
        <c:crossAx val="1012357008"/>
        <c:crosses val="autoZero"/>
        <c:auto val="1"/>
        <c:lblAlgn val="ctr"/>
        <c:lblOffset val="100"/>
        <c:noMultiLvlLbl val="0"/>
      </c:catAx>
      <c:valAx>
        <c:axId val="1012357008"/>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Segoe UI" panose="020B0502040204020203" pitchFamily="34" charset="0"/>
              </a:defRPr>
            </a:pPr>
            <a:endParaRPr lang="en-US"/>
          </a:p>
        </c:txPr>
        <c:crossAx val="173851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ptos" panose="020B0004020202020204" pitchFamily="34" charset="0"/>
                <a:ea typeface="+mn-ea"/>
                <a:cs typeface="+mn-cs"/>
              </a:defRPr>
            </a:pPr>
            <a:r>
              <a:rPr lang="en-SG" sz="1200" b="1">
                <a:latin typeface="Aptos" panose="020B0004020202020204" pitchFamily="34" charset="0"/>
              </a:rPr>
              <a:t>Cummulative Discounted Net Interest Income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barChart>
        <c:barDir val="col"/>
        <c:grouping val="clustered"/>
        <c:varyColors val="0"/>
        <c:ser>
          <c:idx val="0"/>
          <c:order val="0"/>
          <c:tx>
            <c:strRef>
              <c:f>'Net Interest Income'!$C$18</c:f>
              <c:strCache>
                <c:ptCount val="1"/>
                <c:pt idx="0">
                  <c:v>Discounted Net Interest Income </c:v>
                </c:pt>
              </c:strCache>
            </c:strRef>
          </c:tx>
          <c:spPr>
            <a:solidFill>
              <a:schemeClr val="accent1">
                <a:lumMod val="40000"/>
                <a:lumOff val="60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'Net Interest Income'!$D$7:$N$7</c15:sqref>
                  </c15:fullRef>
                </c:ext>
              </c:extLst>
              <c:f>'Net Interest Income'!$E$7:$N$7</c:f>
              <c:numCache>
                <c:formatCode>"Y"0</c:formatCode>
                <c:ptCount val="10"/>
                <c:pt idx="0">
                  <c:v>1</c:v>
                </c:pt>
                <c:pt idx="1">
                  <c:v>2</c:v>
                </c:pt>
                <c:pt idx="2">
                  <c:v>3</c:v>
                </c:pt>
                <c:pt idx="3">
                  <c:v>4</c:v>
                </c:pt>
                <c:pt idx="4">
                  <c:v>5</c:v>
                </c:pt>
                <c:pt idx="5">
                  <c:v>6</c:v>
                </c:pt>
                <c:pt idx="6">
                  <c:v>7</c:v>
                </c:pt>
                <c:pt idx="7">
                  <c:v>8</c:v>
                </c:pt>
                <c:pt idx="8">
                  <c:v>9</c:v>
                </c:pt>
                <c:pt idx="9">
                  <c:v>10</c:v>
                </c:pt>
              </c:numCache>
            </c:numRef>
          </c:cat>
          <c:val>
            <c:numRef>
              <c:extLst>
                <c:ext xmlns:c15="http://schemas.microsoft.com/office/drawing/2012/chart" uri="{02D57815-91ED-43cb-92C2-25804820EDAC}">
                  <c15:fullRef>
                    <c15:sqref>'Net Interest Income'!$D$18:$N$18</c15:sqref>
                  </c15:fullRef>
                </c:ext>
              </c:extLst>
              <c:f>'Net Interest Income'!$E$18:$N$18</c:f>
              <c:numCache>
                <c:formatCode>_(* #,##0_);_(* \(#,##0\);_(*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1959-4BB2-BD64-4165AA9CA5E8}"/>
            </c:ext>
          </c:extLst>
        </c:ser>
        <c:dLbls>
          <c:dLblPos val="outEnd"/>
          <c:showLegendKey val="0"/>
          <c:showVal val="1"/>
          <c:showCatName val="0"/>
          <c:showSerName val="0"/>
          <c:showPercent val="0"/>
          <c:showBubbleSize val="0"/>
        </c:dLbls>
        <c:gapWidth val="150"/>
        <c:axId val="480920175"/>
        <c:axId val="1843322559"/>
      </c:barChart>
      <c:lineChart>
        <c:grouping val="standard"/>
        <c:varyColors val="0"/>
        <c:ser>
          <c:idx val="1"/>
          <c:order val="1"/>
          <c:tx>
            <c:strRef>
              <c:f>'Net Interest Income'!$C$19</c:f>
              <c:strCache>
                <c:ptCount val="1"/>
                <c:pt idx="0">
                  <c:v>Cummulative Discounted Net Interest Income </c:v>
                </c:pt>
              </c:strCache>
            </c:strRef>
          </c:tx>
          <c:spPr>
            <a:ln w="28575" cap="rnd">
              <a:solidFill>
                <a:srgbClr val="0070C0"/>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70C0"/>
                    </a:solidFill>
                    <a:latin typeface="Aptos"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Y1</c:v>
              </c:pt>
              <c:pt idx="1">
                <c:v>Y2</c:v>
              </c:pt>
              <c:pt idx="2">
                <c:v>Y3</c:v>
              </c:pt>
              <c:pt idx="3">
                <c:v>Y4</c:v>
              </c:pt>
              <c:pt idx="4">
                <c:v>Y5</c:v>
              </c:pt>
              <c:pt idx="5">
                <c:v>Y6</c:v>
              </c:pt>
              <c:pt idx="6">
                <c:v>Y7</c:v>
              </c:pt>
              <c:pt idx="7">
                <c:v>Y8</c:v>
              </c:pt>
              <c:pt idx="8">
                <c:v>Y9</c:v>
              </c:pt>
              <c:pt idx="9">
                <c:v>Y10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'Net Interest Income'!$D$19:$N$19</c15:sqref>
                  </c15:fullRef>
                </c:ext>
              </c:extLst>
              <c:f>'Net Interest Income'!$E$19:$N$19</c:f>
              <c:numCache>
                <c:formatCode>_(* #,##0_);_(* \(#,##0\);_(* "-"??_);_(@_)</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1959-4BB2-BD64-4165AA9CA5E8}"/>
            </c:ext>
          </c:extLst>
        </c:ser>
        <c:dLbls>
          <c:showLegendKey val="0"/>
          <c:showVal val="1"/>
          <c:showCatName val="0"/>
          <c:showSerName val="0"/>
          <c:showPercent val="0"/>
          <c:showBubbleSize val="0"/>
        </c:dLbls>
        <c:marker val="1"/>
        <c:smooth val="0"/>
        <c:axId val="480920175"/>
        <c:axId val="1843322559"/>
      </c:lineChart>
      <c:catAx>
        <c:axId val="480920175"/>
        <c:scaling>
          <c:orientation val="minMax"/>
        </c:scaling>
        <c:delete val="0"/>
        <c:axPos val="b"/>
        <c:numFmt formatCode="&quot;Y&quot;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322559"/>
        <c:crosses val="autoZero"/>
        <c:auto val="1"/>
        <c:lblAlgn val="ctr"/>
        <c:lblOffset val="100"/>
        <c:noMultiLvlLbl val="0"/>
      </c:catAx>
      <c:valAx>
        <c:axId val="184332255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920175"/>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solidFill>
                <a:latin typeface="Segoe UI Semibold" panose="020B0702040204020203" pitchFamily="34" charset="0"/>
                <a:ea typeface="+mn-ea"/>
                <a:cs typeface="Segoe UI Semibold" panose="020B0702040204020203" pitchFamily="34" charset="0"/>
              </a:defRPr>
            </a:pPr>
            <a:r>
              <a:rPr lang="en-US" sz="1050" b="0" i="0" baseline="0">
                <a:solidFill>
                  <a:schemeClr val="tx1"/>
                </a:solidFill>
                <a:effectLst/>
                <a:latin typeface="Segoe UI Semibold" panose="020B0702040204020203" pitchFamily="34" charset="0"/>
                <a:cs typeface="Segoe UI Semibold" panose="020B0702040204020203" pitchFamily="34" charset="0"/>
              </a:rPr>
              <a:t>Cumulative Discounted Cashflow</a:t>
            </a:r>
            <a:endParaRPr lang="en-SG" sz="1050" b="0">
              <a:solidFill>
                <a:schemeClr val="tx1"/>
              </a:solidFill>
              <a:effectLst/>
              <a:latin typeface="Segoe UI Semibold" panose="020B0702040204020203" pitchFamily="34" charset="0"/>
              <a:cs typeface="Segoe UI Semibold" panose="020B0702040204020203" pitchFamily="34" charset="0"/>
            </a:endParaRP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solidFill>
              <a:latin typeface="Segoe UI Semibold" panose="020B0702040204020203" pitchFamily="34" charset="0"/>
              <a:ea typeface="+mn-ea"/>
              <a:cs typeface="Segoe UI Semibold" panose="020B0702040204020203" pitchFamily="34" charset="0"/>
            </a:defRPr>
          </a:pPr>
          <a:endParaRPr lang="en-SG"/>
        </a:p>
      </c:txPr>
    </c:title>
    <c:autoTitleDeleted val="0"/>
    <c:plotArea>
      <c:layout/>
      <c:barChart>
        <c:barDir val="col"/>
        <c:grouping val="clustered"/>
        <c:varyColors val="0"/>
        <c:ser>
          <c:idx val="0"/>
          <c:order val="0"/>
          <c:tx>
            <c:strRef>
              <c:f>'Payback Analysis'!$C$14</c:f>
              <c:strCache>
                <c:ptCount val="1"/>
                <c:pt idx="0">
                  <c:v>Discounted Annual Savings</c:v>
                </c:pt>
              </c:strCache>
            </c:strRef>
          </c:tx>
          <c:spPr>
            <a:solidFill>
              <a:srgbClr val="50E6FF"/>
            </a:solidFill>
            <a:ln>
              <a:noFill/>
            </a:ln>
            <a:effectLst/>
          </c:spPr>
          <c:invertIfNegative val="0"/>
          <c:cat>
            <c:numRef>
              <c:extLst>
                <c:ext xmlns:c15="http://schemas.microsoft.com/office/drawing/2012/chart" uri="{02D57815-91ED-43cb-92C2-25804820EDAC}">
                  <c15:fullRef>
                    <c15:sqref>'Payback Analysis'!$D$6:$N$6</c15:sqref>
                  </c15:fullRef>
                </c:ext>
              </c:extLst>
              <c:f>'Payback Analysis'!$E$6:$N$6</c:f>
              <c:numCache>
                <c:formatCode>"Y"0</c:formatCode>
                <c:ptCount val="10"/>
                <c:pt idx="0">
                  <c:v>1</c:v>
                </c:pt>
                <c:pt idx="1">
                  <c:v>2</c:v>
                </c:pt>
                <c:pt idx="2">
                  <c:v>3</c:v>
                </c:pt>
                <c:pt idx="3">
                  <c:v>4</c:v>
                </c:pt>
                <c:pt idx="4">
                  <c:v>5</c:v>
                </c:pt>
                <c:pt idx="5">
                  <c:v>6</c:v>
                </c:pt>
                <c:pt idx="6">
                  <c:v>7</c:v>
                </c:pt>
                <c:pt idx="7">
                  <c:v>8</c:v>
                </c:pt>
                <c:pt idx="8">
                  <c:v>9</c:v>
                </c:pt>
                <c:pt idx="9">
                  <c:v>10</c:v>
                </c:pt>
              </c:numCache>
            </c:numRef>
          </c:cat>
          <c:val>
            <c:numRef>
              <c:extLst>
                <c:ext xmlns:c15="http://schemas.microsoft.com/office/drawing/2012/chart" uri="{02D57815-91ED-43cb-92C2-25804820EDAC}">
                  <c15:fullRef>
                    <c15:sqref>'Payback Analysis'!$D$14:$N$14</c15:sqref>
                  </c15:fullRef>
                </c:ext>
              </c:extLst>
              <c:f>'Payback Analysis'!$E$14:$N$14</c:f>
              <c:numCache>
                <c:formatCode>_(* #,##0_);_(* \(#,##0\);_(*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9785-4E6B-BB5C-BACFAE5AA674}"/>
            </c:ext>
          </c:extLst>
        </c:ser>
        <c:dLbls>
          <c:showLegendKey val="0"/>
          <c:showVal val="0"/>
          <c:showCatName val="0"/>
          <c:showSerName val="0"/>
          <c:showPercent val="0"/>
          <c:showBubbleSize val="0"/>
        </c:dLbls>
        <c:gapWidth val="219"/>
        <c:overlap val="-27"/>
        <c:axId val="1200404688"/>
        <c:axId val="1200407184"/>
      </c:barChart>
      <c:lineChart>
        <c:grouping val="standard"/>
        <c:varyColors val="0"/>
        <c:ser>
          <c:idx val="1"/>
          <c:order val="1"/>
          <c:tx>
            <c:strRef>
              <c:f>'Payback Analysis'!$C$15</c:f>
              <c:strCache>
                <c:ptCount val="1"/>
                <c:pt idx="0">
                  <c:v>Cumulative Discounted Annual Savings</c:v>
                </c:pt>
              </c:strCache>
            </c:strRef>
          </c:tx>
          <c:spPr>
            <a:ln w="28575" cap="rnd">
              <a:solidFill>
                <a:srgbClr val="0078D4"/>
              </a:solidFill>
              <a:round/>
            </a:ln>
            <a:effectLst/>
          </c:spPr>
          <c:marker>
            <c:symbol val="none"/>
          </c:marker>
          <c:cat>
            <c:strLit>
              <c:ptCount val="10"/>
              <c:pt idx="0">
                <c:v>Y1</c:v>
              </c:pt>
              <c:pt idx="1">
                <c:v>Y2</c:v>
              </c:pt>
              <c:pt idx="2">
                <c:v>Y3</c:v>
              </c:pt>
              <c:pt idx="3">
                <c:v>Y4</c:v>
              </c:pt>
              <c:pt idx="4">
                <c:v>Y5</c:v>
              </c:pt>
              <c:pt idx="5">
                <c:v>Y6</c:v>
              </c:pt>
              <c:pt idx="6">
                <c:v>Y7</c:v>
              </c:pt>
              <c:pt idx="7">
                <c:v>Y8</c:v>
              </c:pt>
              <c:pt idx="8">
                <c:v>Y9</c:v>
              </c:pt>
              <c:pt idx="9">
                <c:v>Y10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'Payback Analysis'!$D$15:$N$15</c15:sqref>
                  </c15:fullRef>
                </c:ext>
              </c:extLst>
              <c:f>'Payback Analysis'!$E$15:$N$15</c:f>
              <c:numCache>
                <c:formatCode>_(* #,##0_);_(* \(#,##0\);_(* "-"??_);_(@_)</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9785-4E6B-BB5C-BACFAE5AA674}"/>
            </c:ext>
          </c:extLst>
        </c:ser>
        <c:dLbls>
          <c:showLegendKey val="0"/>
          <c:showVal val="0"/>
          <c:showCatName val="0"/>
          <c:showSerName val="0"/>
          <c:showPercent val="0"/>
          <c:showBubbleSize val="0"/>
        </c:dLbls>
        <c:marker val="1"/>
        <c:smooth val="0"/>
        <c:axId val="1200404688"/>
        <c:axId val="1200407184"/>
      </c:lineChart>
      <c:catAx>
        <c:axId val="1200404688"/>
        <c:scaling>
          <c:orientation val="minMax"/>
        </c:scaling>
        <c:delete val="0"/>
        <c:axPos val="b"/>
        <c:numFmt formatCode="&quot;Y&quot;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200407184"/>
        <c:crosses val="autoZero"/>
        <c:auto val="1"/>
        <c:lblAlgn val="ctr"/>
        <c:lblOffset val="100"/>
        <c:noMultiLvlLbl val="0"/>
      </c:catAx>
      <c:valAx>
        <c:axId val="1200407184"/>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200404688"/>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solidFill>
                <a:latin typeface="Segoe UI Semibold" panose="020B0702040204020203" pitchFamily="34" charset="0"/>
                <a:ea typeface="+mn-ea"/>
                <a:cs typeface="Segoe UI Semibold" panose="020B0702040204020203" pitchFamily="34" charset="0"/>
              </a:defRPr>
            </a:pPr>
            <a:r>
              <a:rPr lang="en-US" sz="1050" b="0" i="0" baseline="0">
                <a:solidFill>
                  <a:schemeClr val="tx1"/>
                </a:solidFill>
                <a:effectLst/>
                <a:latin typeface="Segoe UI Semibold" panose="020B0702040204020203" pitchFamily="34" charset="0"/>
                <a:cs typeface="Segoe UI Semibold" panose="020B0702040204020203" pitchFamily="34" charset="0"/>
              </a:rPr>
              <a:t>Cumulative </a:t>
            </a:r>
            <a:r>
              <a:rPr lang="en-US" sz="1050" b="0" i="0" u="none" strike="noStrike" baseline="0">
                <a:effectLst/>
              </a:rPr>
              <a:t>Discounted </a:t>
            </a:r>
            <a:r>
              <a:rPr lang="en-US" sz="1050" b="0" i="0" baseline="0">
                <a:solidFill>
                  <a:schemeClr val="tx1"/>
                </a:solidFill>
                <a:effectLst/>
                <a:latin typeface="Segoe UI Semibold" panose="020B0702040204020203" pitchFamily="34" charset="0"/>
                <a:cs typeface="Segoe UI Semibold" panose="020B0702040204020203" pitchFamily="34" charset="0"/>
              </a:rPr>
              <a:t>Cashflow (Updated Discount Rate)</a:t>
            </a:r>
            <a:endParaRPr lang="en-SG" sz="1050" b="0">
              <a:solidFill>
                <a:schemeClr val="tx1"/>
              </a:solidFill>
              <a:effectLst/>
              <a:latin typeface="Segoe UI Semibold" panose="020B0702040204020203" pitchFamily="34" charset="0"/>
              <a:cs typeface="Segoe UI Semibold" panose="020B0702040204020203" pitchFamily="34" charset="0"/>
            </a:endParaRP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solidFill>
              <a:latin typeface="Segoe UI Semibold" panose="020B0702040204020203" pitchFamily="34" charset="0"/>
              <a:ea typeface="+mn-ea"/>
              <a:cs typeface="Segoe UI Semibold" panose="020B0702040204020203" pitchFamily="34" charset="0"/>
            </a:defRPr>
          </a:pPr>
          <a:endParaRPr lang="en-SG"/>
        </a:p>
      </c:txPr>
    </c:title>
    <c:autoTitleDeleted val="0"/>
    <c:plotArea>
      <c:layout/>
      <c:barChart>
        <c:barDir val="col"/>
        <c:grouping val="clustered"/>
        <c:varyColors val="0"/>
        <c:ser>
          <c:idx val="0"/>
          <c:order val="0"/>
          <c:tx>
            <c:strRef>
              <c:f>'Payback Analysis'!$C$31</c:f>
              <c:strCache>
                <c:ptCount val="1"/>
                <c:pt idx="0">
                  <c:v>Discounted Annual Savings</c:v>
                </c:pt>
              </c:strCache>
            </c:strRef>
          </c:tx>
          <c:spPr>
            <a:solidFill>
              <a:srgbClr val="50E6FF"/>
            </a:solidFill>
            <a:ln>
              <a:noFill/>
            </a:ln>
            <a:effectLst/>
          </c:spPr>
          <c:invertIfNegative val="0"/>
          <c:cat>
            <c:numRef>
              <c:extLst>
                <c:ext xmlns:c15="http://schemas.microsoft.com/office/drawing/2012/chart" uri="{02D57815-91ED-43cb-92C2-25804820EDAC}">
                  <c15:fullRef>
                    <c15:sqref>'Payback Analysis'!$D$6:$N$6</c15:sqref>
                  </c15:fullRef>
                </c:ext>
              </c:extLst>
              <c:f>'Payback Analysis'!$E$6:$N$6</c:f>
              <c:numCache>
                <c:formatCode>"Y"0</c:formatCode>
                <c:ptCount val="10"/>
                <c:pt idx="0">
                  <c:v>1</c:v>
                </c:pt>
                <c:pt idx="1">
                  <c:v>2</c:v>
                </c:pt>
                <c:pt idx="2">
                  <c:v>3</c:v>
                </c:pt>
                <c:pt idx="3">
                  <c:v>4</c:v>
                </c:pt>
                <c:pt idx="4">
                  <c:v>5</c:v>
                </c:pt>
                <c:pt idx="5">
                  <c:v>6</c:v>
                </c:pt>
                <c:pt idx="6">
                  <c:v>7</c:v>
                </c:pt>
                <c:pt idx="7">
                  <c:v>8</c:v>
                </c:pt>
                <c:pt idx="8">
                  <c:v>9</c:v>
                </c:pt>
                <c:pt idx="9">
                  <c:v>10</c:v>
                </c:pt>
              </c:numCache>
            </c:numRef>
          </c:cat>
          <c:val>
            <c:numRef>
              <c:extLst>
                <c:ext xmlns:c15="http://schemas.microsoft.com/office/drawing/2012/chart" uri="{02D57815-91ED-43cb-92C2-25804820EDAC}">
                  <c15:fullRef>
                    <c15:sqref>'Payback Analysis'!$D$31:$N$31</c15:sqref>
                  </c15:fullRef>
                </c:ext>
              </c:extLst>
              <c:f>'Payback Analysis'!$E$31:$N$31</c:f>
              <c:numCache>
                <c:formatCode>_(* #,##0_);_(* \(#,##0\);_(* "-"??_);_(@_)</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F8B6-47B7-A83A-3848653F5051}"/>
            </c:ext>
          </c:extLst>
        </c:ser>
        <c:dLbls>
          <c:showLegendKey val="0"/>
          <c:showVal val="0"/>
          <c:showCatName val="0"/>
          <c:showSerName val="0"/>
          <c:showPercent val="0"/>
          <c:showBubbleSize val="0"/>
        </c:dLbls>
        <c:gapWidth val="219"/>
        <c:overlap val="-27"/>
        <c:axId val="1200404688"/>
        <c:axId val="1200407184"/>
      </c:barChart>
      <c:lineChart>
        <c:grouping val="standard"/>
        <c:varyColors val="0"/>
        <c:ser>
          <c:idx val="1"/>
          <c:order val="1"/>
          <c:tx>
            <c:strRef>
              <c:f>'Payback Analysis'!$C$32</c:f>
              <c:strCache>
                <c:ptCount val="1"/>
                <c:pt idx="0">
                  <c:v>Cumulative Discounted Annual Savings</c:v>
                </c:pt>
              </c:strCache>
            </c:strRef>
          </c:tx>
          <c:spPr>
            <a:ln w="28575" cap="rnd">
              <a:solidFill>
                <a:srgbClr val="0078D4"/>
              </a:solidFill>
              <a:round/>
            </a:ln>
            <a:effectLst/>
          </c:spPr>
          <c:marker>
            <c:symbol val="none"/>
          </c:marker>
          <c:cat>
            <c:numRef>
              <c:extLst>
                <c:ext xmlns:c15="http://schemas.microsoft.com/office/drawing/2012/chart" uri="{02D57815-91ED-43cb-92C2-25804820EDAC}">
                  <c15:fullRef>
                    <c15:sqref>'Payback Analysis'!$D$6:$N$6</c15:sqref>
                  </c15:fullRef>
                </c:ext>
              </c:extLst>
              <c:f>'Payback Analysis'!$E$6:$N$6</c:f>
              <c:numCache>
                <c:formatCode>"Y"0</c:formatCode>
                <c:ptCount val="10"/>
                <c:pt idx="0">
                  <c:v>1</c:v>
                </c:pt>
                <c:pt idx="1">
                  <c:v>2</c:v>
                </c:pt>
                <c:pt idx="2">
                  <c:v>3</c:v>
                </c:pt>
                <c:pt idx="3">
                  <c:v>4</c:v>
                </c:pt>
                <c:pt idx="4">
                  <c:v>5</c:v>
                </c:pt>
                <c:pt idx="5">
                  <c:v>6</c:v>
                </c:pt>
                <c:pt idx="6">
                  <c:v>7</c:v>
                </c:pt>
                <c:pt idx="7">
                  <c:v>8</c:v>
                </c:pt>
                <c:pt idx="8">
                  <c:v>9</c:v>
                </c:pt>
                <c:pt idx="9">
                  <c:v>10</c:v>
                </c:pt>
              </c:numCache>
            </c:numRef>
          </c:cat>
          <c:val>
            <c:numRef>
              <c:extLst>
                <c:ext xmlns:c15="http://schemas.microsoft.com/office/drawing/2012/chart" uri="{02D57815-91ED-43cb-92C2-25804820EDAC}">
                  <c15:fullRef>
                    <c15:sqref>'Payback Analysis'!$D$32:$N$32</c15:sqref>
                  </c15:fullRef>
                </c:ext>
              </c:extLst>
              <c:f>'Payback Analysis'!$E$32:$N$32</c:f>
              <c:numCache>
                <c:formatCode>_(* #,##0_);_(* \(#,##0\);_(* "-"??_);_(@_)</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F8B6-47B7-A83A-3848653F5051}"/>
            </c:ext>
          </c:extLst>
        </c:ser>
        <c:dLbls>
          <c:showLegendKey val="0"/>
          <c:showVal val="0"/>
          <c:showCatName val="0"/>
          <c:showSerName val="0"/>
          <c:showPercent val="0"/>
          <c:showBubbleSize val="0"/>
        </c:dLbls>
        <c:marker val="1"/>
        <c:smooth val="0"/>
        <c:axId val="1200404688"/>
        <c:axId val="1200407184"/>
      </c:lineChart>
      <c:catAx>
        <c:axId val="1200404688"/>
        <c:scaling>
          <c:orientation val="minMax"/>
        </c:scaling>
        <c:delete val="0"/>
        <c:axPos val="b"/>
        <c:numFmt formatCode="&quot;Y&quot;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200407184"/>
        <c:crosses val="autoZero"/>
        <c:auto val="1"/>
        <c:lblAlgn val="ctr"/>
        <c:lblOffset val="100"/>
        <c:noMultiLvlLbl val="0"/>
      </c:catAx>
      <c:valAx>
        <c:axId val="1200407184"/>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200404688"/>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11459528538441487"/>
          <c:y val="4.956721721524484E-2"/>
          <c:w val="0.81379782838873072"/>
          <c:h val="0.69435742853934979"/>
        </c:manualLayout>
      </c:layout>
      <c:barChart>
        <c:barDir val="col"/>
        <c:grouping val="stacked"/>
        <c:varyColors val="0"/>
        <c:ser>
          <c:idx val="0"/>
          <c:order val="0"/>
          <c:tx>
            <c:strRef>
              <c:f>'AVS Output'!$B$5</c:f>
              <c:strCache>
                <c:ptCount val="1"/>
                <c:pt idx="0">
                  <c:v>Servers </c:v>
                </c:pt>
              </c:strCache>
            </c:strRef>
          </c:tx>
          <c:spPr>
            <a:solidFill>
              <a:schemeClr val="accent1">
                <a:shade val="45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cap="none"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'AVS Output'!$C$4:$D$4</c:f>
              <c:strCache>
                <c:ptCount val="2"/>
                <c:pt idx="0">
                  <c:v>On-Prem</c:v>
                </c:pt>
                <c:pt idx="1">
                  <c:v>Azure</c:v>
                </c:pt>
              </c:strCache>
            </c:strRef>
          </c:cat>
          <c:val>
            <c:numRef>
              <c:f>'AVS Output'!$C$5:$D$5</c:f>
              <c:numCache>
                <c:formatCode>"$"#,##0.0,,"M";\("$"#,##0.0,,"M"\)</c:formatCode>
                <c:ptCount val="2"/>
                <c:pt idx="0">
                  <c:v>0</c:v>
                </c:pt>
                <c:pt idx="1">
                  <c:v>0</c:v>
                </c:pt>
              </c:numCache>
            </c:numRef>
          </c:val>
          <c:extLst>
            <c:ext xmlns:c16="http://schemas.microsoft.com/office/drawing/2014/chart" uri="{C3380CC4-5D6E-409C-BE32-E72D297353CC}">
              <c16:uniqueId val="{00000000-FC95-4528-95E9-1BDC08F727C8}"/>
            </c:ext>
          </c:extLst>
        </c:ser>
        <c:ser>
          <c:idx val="1"/>
          <c:order val="1"/>
          <c:tx>
            <c:strRef>
              <c:f>'AVS Output'!$B$6</c:f>
              <c:strCache>
                <c:ptCount val="1"/>
                <c:pt idx="0">
                  <c:v>Storage / Other</c:v>
                </c:pt>
              </c:strCache>
            </c:strRef>
          </c:tx>
          <c:spPr>
            <a:solidFill>
              <a:schemeClr val="accent1">
                <a:shade val="61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cap="none"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'AVS Output'!$C$4:$D$4</c:f>
              <c:strCache>
                <c:ptCount val="2"/>
                <c:pt idx="0">
                  <c:v>On-Prem</c:v>
                </c:pt>
                <c:pt idx="1">
                  <c:v>Azure</c:v>
                </c:pt>
              </c:strCache>
            </c:strRef>
          </c:cat>
          <c:val>
            <c:numRef>
              <c:f>'AVS Output'!$C$6:$D$6</c:f>
              <c:numCache>
                <c:formatCode>"$"#,##0.0,,"M";\("$"#,##0.0,,"M"\)</c:formatCode>
                <c:ptCount val="2"/>
                <c:pt idx="0">
                  <c:v>0</c:v>
                </c:pt>
                <c:pt idx="1">
                  <c:v>0</c:v>
                </c:pt>
              </c:numCache>
            </c:numRef>
          </c:val>
          <c:extLst>
            <c:ext xmlns:c16="http://schemas.microsoft.com/office/drawing/2014/chart" uri="{C3380CC4-5D6E-409C-BE32-E72D297353CC}">
              <c16:uniqueId val="{00000002-26F9-4789-8A29-7263A44C6A4D}"/>
            </c:ext>
          </c:extLst>
        </c:ser>
        <c:ser>
          <c:idx val="2"/>
          <c:order val="2"/>
          <c:tx>
            <c:strRef>
              <c:f>'AVS Output'!$B$7</c:f>
              <c:strCache>
                <c:ptCount val="1"/>
                <c:pt idx="0">
                  <c:v>Network Hardware</c:v>
                </c:pt>
              </c:strCache>
            </c:strRef>
          </c:tx>
          <c:spPr>
            <a:solidFill>
              <a:schemeClr val="accent1">
                <a:shade val="76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cap="none"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'AVS Output'!$C$4:$D$4</c:f>
              <c:strCache>
                <c:ptCount val="2"/>
                <c:pt idx="0">
                  <c:v>On-Prem</c:v>
                </c:pt>
                <c:pt idx="1">
                  <c:v>Azure</c:v>
                </c:pt>
              </c:strCache>
            </c:strRef>
          </c:cat>
          <c:val>
            <c:numRef>
              <c:f>'AVS Output'!$C$7:$D$7</c:f>
              <c:numCache>
                <c:formatCode>"$"#,##0.0,,"M";\("$"#,##0.0,,"M"\)</c:formatCode>
                <c:ptCount val="2"/>
                <c:pt idx="0">
                  <c:v>0</c:v>
                </c:pt>
                <c:pt idx="1">
                  <c:v>0</c:v>
                </c:pt>
              </c:numCache>
            </c:numRef>
          </c:val>
          <c:extLst>
            <c:ext xmlns:c16="http://schemas.microsoft.com/office/drawing/2014/chart" uri="{C3380CC4-5D6E-409C-BE32-E72D297353CC}">
              <c16:uniqueId val="{00000003-26F9-4789-8A29-7263A44C6A4D}"/>
            </c:ext>
          </c:extLst>
        </c:ser>
        <c:ser>
          <c:idx val="3"/>
          <c:order val="3"/>
          <c:tx>
            <c:strRef>
              <c:f>'AVS Output'!$B$8</c:f>
              <c:strCache>
                <c:ptCount val="1"/>
                <c:pt idx="0">
                  <c:v>Facilities</c:v>
                </c:pt>
              </c:strCache>
            </c:strRef>
          </c:tx>
          <c:spPr>
            <a:solidFill>
              <a:schemeClr val="accent1">
                <a:shade val="92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cap="none"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'AVS Output'!$C$4:$D$4</c:f>
              <c:strCache>
                <c:ptCount val="2"/>
                <c:pt idx="0">
                  <c:v>On-Prem</c:v>
                </c:pt>
                <c:pt idx="1">
                  <c:v>Azure</c:v>
                </c:pt>
              </c:strCache>
            </c:strRef>
          </c:cat>
          <c:val>
            <c:numRef>
              <c:f>'AVS Output'!$C$8:$D$8</c:f>
              <c:numCache>
                <c:formatCode>"$"#,##0.0,,"M";\("$"#,##0.0,,"M"\)</c:formatCode>
                <c:ptCount val="2"/>
                <c:pt idx="0">
                  <c:v>0</c:v>
                </c:pt>
                <c:pt idx="1">
                  <c:v>0</c:v>
                </c:pt>
              </c:numCache>
            </c:numRef>
          </c:val>
          <c:extLst>
            <c:ext xmlns:c16="http://schemas.microsoft.com/office/drawing/2014/chart" uri="{C3380CC4-5D6E-409C-BE32-E72D297353CC}">
              <c16:uniqueId val="{00000004-26F9-4789-8A29-7263A44C6A4D}"/>
            </c:ext>
          </c:extLst>
        </c:ser>
        <c:ser>
          <c:idx val="4"/>
          <c:order val="4"/>
          <c:tx>
            <c:strRef>
              <c:f>'AVS Output'!$B$9</c:f>
              <c:strCache>
                <c:ptCount val="1"/>
                <c:pt idx="0">
                  <c:v>Virt Software</c:v>
                </c:pt>
              </c:strCache>
            </c:strRef>
          </c:tx>
          <c:spPr>
            <a:solidFill>
              <a:schemeClr val="accent1">
                <a:tint val="93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cap="none"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'AVS Output'!$C$4:$D$4</c:f>
              <c:strCache>
                <c:ptCount val="2"/>
                <c:pt idx="0">
                  <c:v>On-Prem</c:v>
                </c:pt>
                <c:pt idx="1">
                  <c:v>Azure</c:v>
                </c:pt>
              </c:strCache>
            </c:strRef>
          </c:cat>
          <c:val>
            <c:numRef>
              <c:f>'AVS Output'!$C$9:$D$9</c:f>
              <c:numCache>
                <c:formatCode>"$"#,##0.0,,"M";\("$"#,##0.0,,"M"\)</c:formatCode>
                <c:ptCount val="2"/>
                <c:pt idx="0">
                  <c:v>0</c:v>
                </c:pt>
                <c:pt idx="1">
                  <c:v>0</c:v>
                </c:pt>
              </c:numCache>
            </c:numRef>
          </c:val>
          <c:extLst>
            <c:ext xmlns:c16="http://schemas.microsoft.com/office/drawing/2014/chart" uri="{C3380CC4-5D6E-409C-BE32-E72D297353CC}">
              <c16:uniqueId val="{00000005-26F9-4789-8A29-7263A44C6A4D}"/>
            </c:ext>
          </c:extLst>
        </c:ser>
        <c:ser>
          <c:idx val="5"/>
          <c:order val="5"/>
          <c:tx>
            <c:strRef>
              <c:f>'AVS Output'!$B$10</c:f>
              <c:strCache>
                <c:ptCount val="1"/>
                <c:pt idx="0">
                  <c:v>Win/SQL Licenses</c:v>
                </c:pt>
              </c:strCache>
            </c:strRef>
          </c:tx>
          <c:spPr>
            <a:solidFill>
              <a:schemeClr val="accent1">
                <a:tint val="77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cap="none"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'AVS Output'!$C$4:$D$4</c:f>
              <c:strCache>
                <c:ptCount val="2"/>
                <c:pt idx="0">
                  <c:v>On-Prem</c:v>
                </c:pt>
                <c:pt idx="1">
                  <c:v>Azure</c:v>
                </c:pt>
              </c:strCache>
            </c:strRef>
          </c:cat>
          <c:val>
            <c:numRef>
              <c:f>'AVS Output'!$C$10:$D$10</c:f>
              <c:numCache>
                <c:formatCode>"$"#,##0.0,,"M";\("$"#,##0.0,,"M"\)</c:formatCode>
                <c:ptCount val="2"/>
                <c:pt idx="0">
                  <c:v>0</c:v>
                </c:pt>
                <c:pt idx="1">
                  <c:v>0</c:v>
                </c:pt>
              </c:numCache>
            </c:numRef>
          </c:val>
          <c:extLst>
            <c:ext xmlns:c16="http://schemas.microsoft.com/office/drawing/2014/chart" uri="{C3380CC4-5D6E-409C-BE32-E72D297353CC}">
              <c16:uniqueId val="{00000006-26F9-4789-8A29-7263A44C6A4D}"/>
            </c:ext>
          </c:extLst>
        </c:ser>
        <c:ser>
          <c:idx val="6"/>
          <c:order val="6"/>
          <c:tx>
            <c:strRef>
              <c:f>'AVS Output'!$B$11</c:f>
              <c:strCache>
                <c:ptCount val="1"/>
                <c:pt idx="0">
                  <c:v>Win/SQL ESU</c:v>
                </c:pt>
              </c:strCache>
            </c:strRef>
          </c:tx>
          <c:spPr>
            <a:solidFill>
              <a:schemeClr val="accent1">
                <a:tint val="62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cap="none"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'AVS Output'!$C$4:$D$4</c:f>
              <c:strCache>
                <c:ptCount val="2"/>
                <c:pt idx="0">
                  <c:v>On-Prem</c:v>
                </c:pt>
                <c:pt idx="1">
                  <c:v>Azure</c:v>
                </c:pt>
              </c:strCache>
            </c:strRef>
          </c:cat>
          <c:val>
            <c:numRef>
              <c:f>'AVS Output'!$C$11:$D$11</c:f>
              <c:numCache>
                <c:formatCode>"$"#,##0.0,,"M";\("$"#,##0.0,,"M"\)</c:formatCode>
                <c:ptCount val="2"/>
                <c:pt idx="0">
                  <c:v>0</c:v>
                </c:pt>
                <c:pt idx="1">
                  <c:v>0</c:v>
                </c:pt>
              </c:numCache>
            </c:numRef>
          </c:val>
          <c:extLst>
            <c:ext xmlns:c16="http://schemas.microsoft.com/office/drawing/2014/chart" uri="{C3380CC4-5D6E-409C-BE32-E72D297353CC}">
              <c16:uniqueId val="{00000007-26F9-4789-8A29-7263A44C6A4D}"/>
            </c:ext>
          </c:extLst>
        </c:ser>
        <c:ser>
          <c:idx val="7"/>
          <c:order val="7"/>
          <c:tx>
            <c:strRef>
              <c:f>'AVS Output'!$B$12</c:f>
              <c:strCache>
                <c:ptCount val="1"/>
                <c:pt idx="0">
                  <c:v>Labor</c:v>
                </c:pt>
              </c:strCache>
            </c:strRef>
          </c:tx>
          <c:spPr>
            <a:solidFill>
              <a:schemeClr val="accent1">
                <a:tint val="46000"/>
              </a:schemeClr>
            </a:solidFill>
            <a:ln>
              <a:noFill/>
            </a:ln>
            <a:effectLst/>
          </c:spPr>
          <c:invertIfNegative val="0"/>
          <c:dLbls>
            <c:spPr>
              <a:noFill/>
              <a:ln>
                <a:noFill/>
              </a:ln>
              <a:effectLst/>
            </c:spPr>
            <c:txPr>
              <a:bodyPr rot="0" spcFirstLastPara="1" vertOverflow="ellipsis" vert="horz" wrap="square" anchor="ctr" anchorCtr="1"/>
              <a:lstStyle/>
              <a:p>
                <a:pPr>
                  <a:defRPr sz="700" b="0" i="0" u="none" strike="noStrike" kern="1200" cap="none"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'AVS Output'!$C$4:$D$4</c:f>
              <c:strCache>
                <c:ptCount val="2"/>
                <c:pt idx="0">
                  <c:v>On-Prem</c:v>
                </c:pt>
                <c:pt idx="1">
                  <c:v>Azure</c:v>
                </c:pt>
              </c:strCache>
            </c:strRef>
          </c:cat>
          <c:val>
            <c:numRef>
              <c:f>'AVS Output'!$C$12:$D$12</c:f>
              <c:numCache>
                <c:formatCode>"$"#,##0.0,,"M";\("$"#,##0.0,,"M"\)</c:formatCode>
                <c:ptCount val="2"/>
                <c:pt idx="0">
                  <c:v>0</c:v>
                </c:pt>
                <c:pt idx="1">
                  <c:v>0</c:v>
                </c:pt>
              </c:numCache>
            </c:numRef>
          </c:val>
          <c:extLst>
            <c:ext xmlns:c16="http://schemas.microsoft.com/office/drawing/2014/chart" uri="{C3380CC4-5D6E-409C-BE32-E72D297353CC}">
              <c16:uniqueId val="{00000008-26F9-4789-8A29-7263A44C6A4D}"/>
            </c:ext>
          </c:extLst>
        </c:ser>
        <c:dLbls>
          <c:dLblPos val="ctr"/>
          <c:showLegendKey val="0"/>
          <c:showVal val="1"/>
          <c:showCatName val="0"/>
          <c:showSerName val="0"/>
          <c:showPercent val="0"/>
          <c:showBubbleSize val="0"/>
        </c:dLbls>
        <c:gapWidth val="79"/>
        <c:overlap val="100"/>
        <c:axId val="1456586463"/>
        <c:axId val="1456591743"/>
        <c:extLst/>
      </c:barChart>
      <c:catAx>
        <c:axId val="1456586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cap="none" spc="120" normalizeH="0" baseline="0">
                <a:solidFill>
                  <a:schemeClr val="tx1">
                    <a:lumMod val="65000"/>
                    <a:lumOff val="35000"/>
                  </a:schemeClr>
                </a:solidFill>
                <a:latin typeface="+mn-lt"/>
                <a:ea typeface="+mn-ea"/>
                <a:cs typeface="+mn-cs"/>
              </a:defRPr>
            </a:pPr>
            <a:endParaRPr lang="en-US"/>
          </a:p>
        </c:txPr>
        <c:crossAx val="1456591743"/>
        <c:crosses val="autoZero"/>
        <c:auto val="1"/>
        <c:lblAlgn val="ctr"/>
        <c:lblOffset val="100"/>
        <c:noMultiLvlLbl val="0"/>
      </c:catAx>
      <c:valAx>
        <c:axId val="1456591743"/>
        <c:scaling>
          <c:orientation val="minMax"/>
        </c:scaling>
        <c:delete val="0"/>
        <c:axPos val="l"/>
        <c:numFmt formatCode="&quot;$&quot;#,##0.0,,&quot;M&quot;;\(&quot;$&quot;#,##0.0,,&quot;M&quot;\)"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700" b="0" i="0" u="none" strike="noStrike" kern="1200" cap="none" baseline="0">
                <a:solidFill>
                  <a:schemeClr val="tx1">
                    <a:lumMod val="65000"/>
                    <a:lumOff val="35000"/>
                  </a:schemeClr>
                </a:solidFill>
                <a:latin typeface="+mn-lt"/>
                <a:ea typeface="+mn-ea"/>
                <a:cs typeface="+mn-cs"/>
              </a:defRPr>
            </a:pPr>
            <a:endParaRPr lang="en-US"/>
          </a:p>
        </c:txPr>
        <c:crossAx val="1456586463"/>
        <c:crosses val="autoZero"/>
        <c:crossBetween val="between"/>
      </c:valAx>
      <c:spPr>
        <a:noFill/>
        <a:ln w="25400">
          <a:noFill/>
        </a:ln>
        <a:effectLst/>
      </c:spPr>
    </c:plotArea>
    <c:legend>
      <c:legendPos val="b"/>
      <c:layout>
        <c:manualLayout>
          <c:xMode val="edge"/>
          <c:yMode val="edge"/>
          <c:x val="0.1001491281226112"/>
          <c:y val="0.81314837247808003"/>
          <c:w val="0.82563281865627725"/>
          <c:h val="0.14277490586089717"/>
        </c:manualLayout>
      </c:layout>
      <c:overlay val="0"/>
      <c:spPr>
        <a:noFill/>
        <a:ln>
          <a:noFill/>
        </a:ln>
        <a:effectLst/>
      </c:spPr>
      <c:txPr>
        <a:bodyPr rot="0" spcFirstLastPara="1" vertOverflow="ellipsis" vert="horz" wrap="square" anchor="ctr" anchorCtr="1"/>
        <a:lstStyle/>
        <a:p>
          <a:pPr>
            <a:defRPr sz="700" b="0" i="0" u="none" strike="noStrike" kern="1200" cap="none"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sz="700" cap="none" baseline="0">
          <a:latin typeface="+mn-lt"/>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'AVS Output'!$B$20</c:f>
              <c:strCache>
                <c:ptCount val="1"/>
                <c:pt idx="0">
                  <c:v>Adjusted 3 Year Costs</c:v>
                </c:pt>
              </c:strCache>
            </c:strRef>
          </c:tx>
          <c:spPr>
            <a:solidFill>
              <a:schemeClr val="accent1"/>
            </a:solidFill>
            <a:ln>
              <a:solidFill>
                <a:schemeClr val="accent1"/>
              </a:solidFill>
            </a:ln>
            <a:effectLst/>
          </c:spPr>
          <c:invertIfNegative val="0"/>
          <c:dLbls>
            <c:spPr>
              <a:noFill/>
              <a:ln>
                <a:noFill/>
              </a:ln>
              <a:effectLst/>
            </c:spPr>
            <c:txPr>
              <a:bodyPr rot="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'AVS Output'!$C$19:$D$19</c:f>
              <c:strCache>
                <c:ptCount val="2"/>
                <c:pt idx="0">
                  <c:v>On-Prem</c:v>
                </c:pt>
                <c:pt idx="1">
                  <c:v>Azure</c:v>
                </c:pt>
              </c:strCache>
            </c:strRef>
          </c:cat>
          <c:val>
            <c:numRef>
              <c:f>'AVS Output'!$C$20:$D$20</c:f>
              <c:numCache>
                <c:formatCode>"$"#,##0.0,,"M";\("$"#,##0.0,,"M"\)</c:formatCode>
                <c:ptCount val="2"/>
                <c:pt idx="0">
                  <c:v>0</c:v>
                </c:pt>
                <c:pt idx="1">
                  <c:v>0</c:v>
                </c:pt>
              </c:numCache>
            </c:numRef>
          </c:val>
          <c:extLst>
            <c:ext xmlns:c16="http://schemas.microsoft.com/office/drawing/2014/chart" uri="{C3380CC4-5D6E-409C-BE32-E72D297353CC}">
              <c16:uniqueId val="{00000000-0EA7-4804-9C19-7358E31AF254}"/>
            </c:ext>
          </c:extLst>
        </c:ser>
        <c:ser>
          <c:idx val="1"/>
          <c:order val="1"/>
          <c:tx>
            <c:strRef>
              <c:f>'AVS Output'!$B$21</c:f>
              <c:strCache>
                <c:ptCount val="1"/>
                <c:pt idx="0">
                  <c:v>Microsoft Investment</c:v>
                </c:pt>
              </c:strCache>
            </c:strRef>
          </c:tx>
          <c:spPr>
            <a:solidFill>
              <a:schemeClr val="bg1"/>
            </a:solidFill>
            <a:ln>
              <a:solidFill>
                <a:schemeClr val="accent1"/>
              </a:solidFill>
            </a:ln>
            <a:effectLst/>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1-0EA7-4804-9C19-7358E31AF254}"/>
                </c:ext>
              </c:extLst>
            </c:dLbl>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'AVS Output'!$C$19:$D$19</c:f>
              <c:strCache>
                <c:ptCount val="2"/>
                <c:pt idx="0">
                  <c:v>On-Prem</c:v>
                </c:pt>
                <c:pt idx="1">
                  <c:v>Azure</c:v>
                </c:pt>
              </c:strCache>
            </c:strRef>
          </c:cat>
          <c:val>
            <c:numRef>
              <c:f>'AVS Output'!$C$21:$D$21</c:f>
              <c:numCache>
                <c:formatCode>"$"#,##0.0,,"M";\("$"#,##0.0,,"M"\)</c:formatCode>
                <c:ptCount val="2"/>
                <c:pt idx="1">
                  <c:v>7080000</c:v>
                </c:pt>
              </c:numCache>
            </c:numRef>
          </c:val>
          <c:extLst>
            <c:ext xmlns:c16="http://schemas.microsoft.com/office/drawing/2014/chart" uri="{C3380CC4-5D6E-409C-BE32-E72D297353CC}">
              <c16:uniqueId val="{00000002-0EA7-4804-9C19-7358E31AF254}"/>
            </c:ext>
          </c:extLst>
        </c:ser>
        <c:dLbls>
          <c:showLegendKey val="0"/>
          <c:showVal val="0"/>
          <c:showCatName val="0"/>
          <c:showSerName val="0"/>
          <c:showPercent val="0"/>
          <c:showBubbleSize val="0"/>
        </c:dLbls>
        <c:gapWidth val="219"/>
        <c:overlap val="100"/>
        <c:axId val="261242783"/>
        <c:axId val="262511551"/>
      </c:barChart>
      <c:catAx>
        <c:axId val="261242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2511551"/>
        <c:crosses val="autoZero"/>
        <c:auto val="1"/>
        <c:lblAlgn val="ctr"/>
        <c:lblOffset val="100"/>
        <c:noMultiLvlLbl val="0"/>
      </c:catAx>
      <c:valAx>
        <c:axId val="262511551"/>
        <c:scaling>
          <c:orientation val="minMax"/>
          <c:min val="0"/>
        </c:scaling>
        <c:delete val="0"/>
        <c:axPos val="l"/>
        <c:numFmt formatCode="&quot;$&quot;#,##0.0,,&quot;M&quot;;\(&quot;$&quot;#,##0.0,,&quot;M&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12427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800"/>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1"/>
          <c:tx>
            <c:strRef>
              <c:f>'Cash Flow Output - Detailed'!$B$42</c:f>
              <c:strCache>
                <c:ptCount val="1"/>
                <c:pt idx="0">
                  <c:v>CAPEX</c:v>
                </c:pt>
              </c:strCache>
            </c:strRef>
          </c:tx>
          <c:spPr>
            <a:solidFill>
              <a:schemeClr val="tx2"/>
            </a:solidFill>
            <a:ln>
              <a:noFill/>
            </a:ln>
            <a:effectLst/>
          </c:spPr>
          <c:invertIfNegative val="0"/>
          <c:cat>
            <c:strRef>
              <c:f>'Cash Flow Output - Detailed'!$C$40:$M$40</c:f>
              <c:strCache>
                <c:ptCount val="11"/>
                <c:pt idx="0">
                  <c:v>Baseline</c:v>
                </c:pt>
                <c:pt idx="1">
                  <c:v>Y1</c:v>
                </c:pt>
                <c:pt idx="2">
                  <c:v>Y2</c:v>
                </c:pt>
                <c:pt idx="3">
                  <c:v>Y3</c:v>
                </c:pt>
                <c:pt idx="4">
                  <c:v>Y4</c:v>
                </c:pt>
                <c:pt idx="5">
                  <c:v>Y5</c:v>
                </c:pt>
                <c:pt idx="6">
                  <c:v>Y6</c:v>
                </c:pt>
                <c:pt idx="7">
                  <c:v>Y7</c:v>
                </c:pt>
                <c:pt idx="8">
                  <c:v>Y8</c:v>
                </c:pt>
                <c:pt idx="9">
                  <c:v>Y9</c:v>
                </c:pt>
                <c:pt idx="10">
                  <c:v>Y10</c:v>
                </c:pt>
              </c:strCache>
            </c:strRef>
          </c:cat>
          <c:val>
            <c:numRef>
              <c:f>'Cash Flow Output - Detailed'!$C$42:$M$42</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xmlns:c15="http://schemas.microsoft.com/office/drawing/2012/chart">
            <c:ext xmlns:c16="http://schemas.microsoft.com/office/drawing/2014/chart" uri="{C3380CC4-5D6E-409C-BE32-E72D297353CC}">
              <c16:uniqueId val="{00000006-2424-4171-98B4-C729FC1981D1}"/>
            </c:ext>
          </c:extLst>
        </c:ser>
        <c:ser>
          <c:idx val="2"/>
          <c:order val="2"/>
          <c:tx>
            <c:strRef>
              <c:f>'Cash Flow Output - Detailed'!$B$43</c:f>
              <c:strCache>
                <c:ptCount val="1"/>
                <c:pt idx="0">
                  <c:v>OPEX</c:v>
                </c:pt>
              </c:strCache>
            </c:strRef>
          </c:tx>
          <c:spPr>
            <a:solidFill>
              <a:schemeClr val="accent5">
                <a:lumMod val="20000"/>
                <a:lumOff val="80000"/>
              </a:schemeClr>
            </a:solidFill>
            <a:ln>
              <a:noFill/>
            </a:ln>
            <a:effectLst/>
          </c:spPr>
          <c:invertIfNegative val="0"/>
          <c:cat>
            <c:strRef>
              <c:f>'Cash Flow Output - Detailed'!$C$40:$M$40</c:f>
              <c:strCache>
                <c:ptCount val="11"/>
                <c:pt idx="0">
                  <c:v>Baseline</c:v>
                </c:pt>
                <c:pt idx="1">
                  <c:v>Y1</c:v>
                </c:pt>
                <c:pt idx="2">
                  <c:v>Y2</c:v>
                </c:pt>
                <c:pt idx="3">
                  <c:v>Y3</c:v>
                </c:pt>
                <c:pt idx="4">
                  <c:v>Y4</c:v>
                </c:pt>
                <c:pt idx="5">
                  <c:v>Y5</c:v>
                </c:pt>
                <c:pt idx="6">
                  <c:v>Y6</c:v>
                </c:pt>
                <c:pt idx="7">
                  <c:v>Y7</c:v>
                </c:pt>
                <c:pt idx="8">
                  <c:v>Y8</c:v>
                </c:pt>
                <c:pt idx="9">
                  <c:v>Y9</c:v>
                </c:pt>
                <c:pt idx="10">
                  <c:v>Y10</c:v>
                </c:pt>
              </c:strCache>
            </c:strRef>
          </c:cat>
          <c:val>
            <c:numRef>
              <c:f>'Cash Flow Output - Detailed'!$C$43:$M$43</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424-4171-98B4-C729FC1981D1}"/>
            </c:ext>
          </c:extLst>
        </c:ser>
        <c:ser>
          <c:idx val="3"/>
          <c:order val="3"/>
          <c:tx>
            <c:strRef>
              <c:f>'Cash Flow Output - Detailed'!$B$44</c:f>
              <c:strCache>
                <c:ptCount val="1"/>
                <c:pt idx="0">
                  <c:v>Azure Costs</c:v>
                </c:pt>
              </c:strCache>
            </c:strRef>
          </c:tx>
          <c:spPr>
            <a:solidFill>
              <a:srgbClr val="0070C0"/>
            </a:solidFill>
            <a:ln>
              <a:noFill/>
            </a:ln>
            <a:effectLst/>
          </c:spPr>
          <c:invertIfNegative val="0"/>
          <c:cat>
            <c:strRef>
              <c:f>'Cash Flow Output - Detailed'!$C$40:$M$40</c:f>
              <c:strCache>
                <c:ptCount val="11"/>
                <c:pt idx="0">
                  <c:v>Baseline</c:v>
                </c:pt>
                <c:pt idx="1">
                  <c:v>Y1</c:v>
                </c:pt>
                <c:pt idx="2">
                  <c:v>Y2</c:v>
                </c:pt>
                <c:pt idx="3">
                  <c:v>Y3</c:v>
                </c:pt>
                <c:pt idx="4">
                  <c:v>Y4</c:v>
                </c:pt>
                <c:pt idx="5">
                  <c:v>Y5</c:v>
                </c:pt>
                <c:pt idx="6">
                  <c:v>Y6</c:v>
                </c:pt>
                <c:pt idx="7">
                  <c:v>Y7</c:v>
                </c:pt>
                <c:pt idx="8">
                  <c:v>Y8</c:v>
                </c:pt>
                <c:pt idx="9">
                  <c:v>Y9</c:v>
                </c:pt>
                <c:pt idx="10">
                  <c:v>Y10</c:v>
                </c:pt>
              </c:strCache>
            </c:strRef>
          </c:cat>
          <c:val>
            <c:numRef>
              <c:f>'Cash Flow Output - Detailed'!$C$44:$M$44</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2424-4171-98B4-C729FC1981D1}"/>
            </c:ext>
          </c:extLst>
        </c:ser>
        <c:ser>
          <c:idx val="4"/>
          <c:order val="4"/>
          <c:tx>
            <c:strRef>
              <c:f>'Cash Flow Output - Detailed'!$B$45</c:f>
              <c:strCache>
                <c:ptCount val="1"/>
                <c:pt idx="0">
                  <c:v>Migration Cost</c:v>
                </c:pt>
              </c:strCache>
            </c:strRef>
          </c:tx>
          <c:spPr>
            <a:solidFill>
              <a:srgbClr val="7030A0"/>
            </a:solidFill>
            <a:ln>
              <a:noFill/>
            </a:ln>
            <a:effectLst/>
          </c:spPr>
          <c:invertIfNegative val="0"/>
          <c:cat>
            <c:strRef>
              <c:f>'Cash Flow Output - Detailed'!$C$40:$M$40</c:f>
              <c:strCache>
                <c:ptCount val="11"/>
                <c:pt idx="0">
                  <c:v>Baseline</c:v>
                </c:pt>
                <c:pt idx="1">
                  <c:v>Y1</c:v>
                </c:pt>
                <c:pt idx="2">
                  <c:v>Y2</c:v>
                </c:pt>
                <c:pt idx="3">
                  <c:v>Y3</c:v>
                </c:pt>
                <c:pt idx="4">
                  <c:v>Y4</c:v>
                </c:pt>
                <c:pt idx="5">
                  <c:v>Y5</c:v>
                </c:pt>
                <c:pt idx="6">
                  <c:v>Y6</c:v>
                </c:pt>
                <c:pt idx="7">
                  <c:v>Y7</c:v>
                </c:pt>
                <c:pt idx="8">
                  <c:v>Y8</c:v>
                </c:pt>
                <c:pt idx="9">
                  <c:v>Y9</c:v>
                </c:pt>
                <c:pt idx="10">
                  <c:v>Y10</c:v>
                </c:pt>
              </c:strCache>
            </c:strRef>
          </c:cat>
          <c:val>
            <c:numRef>
              <c:f>'Cash Flow Output - Detailed'!$C$45:$M$45</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extLst xmlns:c15="http://schemas.microsoft.com/office/drawing/2012/chart">
            <c:ext xmlns:c16="http://schemas.microsoft.com/office/drawing/2014/chart" uri="{C3380CC4-5D6E-409C-BE32-E72D297353CC}">
              <c16:uniqueId val="{00000002-2424-4171-98B4-C729FC1981D1}"/>
            </c:ext>
          </c:extLst>
        </c:ser>
        <c:ser>
          <c:idx val="8"/>
          <c:order val="8"/>
          <c:tx>
            <c:strRef>
              <c:f>'Cash Flow Output - Detailed'!$B$49</c:f>
              <c:strCache>
                <c:ptCount val="1"/>
                <c:pt idx="0">
                  <c:v>Net Savings</c:v>
                </c:pt>
              </c:strCache>
            </c:strRef>
          </c:tx>
          <c:spPr>
            <a:pattFill prst="ltUpDiag">
              <a:fgClr>
                <a:srgbClr val="00B050"/>
              </a:fgClr>
              <a:bgClr>
                <a:schemeClr val="bg1"/>
              </a:bgClr>
            </a:pattFill>
            <a:ln>
              <a:noFill/>
            </a:ln>
            <a:effectLst/>
          </c:spPr>
          <c:invertIfNegative val="0"/>
          <c:cat>
            <c:strRef>
              <c:f>'Cash Flow Output - Detailed'!$C$40:$M$40</c:f>
              <c:strCache>
                <c:ptCount val="11"/>
                <c:pt idx="0">
                  <c:v>Baseline</c:v>
                </c:pt>
                <c:pt idx="1">
                  <c:v>Y1</c:v>
                </c:pt>
                <c:pt idx="2">
                  <c:v>Y2</c:v>
                </c:pt>
                <c:pt idx="3">
                  <c:v>Y3</c:v>
                </c:pt>
                <c:pt idx="4">
                  <c:v>Y4</c:v>
                </c:pt>
                <c:pt idx="5">
                  <c:v>Y5</c:v>
                </c:pt>
                <c:pt idx="6">
                  <c:v>Y6</c:v>
                </c:pt>
                <c:pt idx="7">
                  <c:v>Y7</c:v>
                </c:pt>
                <c:pt idx="8">
                  <c:v>Y8</c:v>
                </c:pt>
                <c:pt idx="9">
                  <c:v>Y9</c:v>
                </c:pt>
                <c:pt idx="10">
                  <c:v>Y10</c:v>
                </c:pt>
              </c:strCache>
            </c:strRef>
          </c:cat>
          <c:val>
            <c:numRef>
              <c:f>'Cash Flow Output - Detailed'!$C$49:$M$49</c:f>
              <c:numCache>
                <c:formatCode>"$"#,##0.0,,"M";\("$"#,##0.0,,"M"\)</c:formatCode>
                <c:ptCount val="11"/>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2424-4171-98B4-C729FC1981D1}"/>
            </c:ext>
          </c:extLst>
        </c:ser>
        <c:dLbls>
          <c:showLegendKey val="0"/>
          <c:showVal val="0"/>
          <c:showCatName val="0"/>
          <c:showSerName val="0"/>
          <c:showPercent val="0"/>
          <c:showBubbleSize val="0"/>
        </c:dLbls>
        <c:gapWidth val="150"/>
        <c:overlap val="100"/>
        <c:axId val="1684906288"/>
        <c:axId val="1684904368"/>
        <c:extLst/>
      </c:barChart>
      <c:lineChart>
        <c:grouping val="standard"/>
        <c:varyColors val="0"/>
        <c:ser>
          <c:idx val="0"/>
          <c:order val="0"/>
          <c:tx>
            <c:strRef>
              <c:f>'Cash Flow Output - Detailed'!$B$41</c:f>
              <c:strCache>
                <c:ptCount val="1"/>
                <c:pt idx="0">
                  <c:v>On-Prem Total</c:v>
                </c:pt>
              </c:strCache>
            </c:strRef>
          </c:tx>
          <c:spPr>
            <a:ln w="22225" cap="rnd">
              <a:solidFill>
                <a:schemeClr val="accent2"/>
              </a:solidFill>
              <a:prstDash val="dash"/>
              <a:round/>
            </a:ln>
            <a:effectLst/>
          </c:spPr>
          <c:marker>
            <c:symbol val="none"/>
          </c:marker>
          <c:cat>
            <c:strRef>
              <c:f>'Cash Flow Output - Detailed'!$C$40:$M$40</c:f>
              <c:strCache>
                <c:ptCount val="11"/>
                <c:pt idx="0">
                  <c:v>Baseline</c:v>
                </c:pt>
                <c:pt idx="1">
                  <c:v>Y1</c:v>
                </c:pt>
                <c:pt idx="2">
                  <c:v>Y2</c:v>
                </c:pt>
                <c:pt idx="3">
                  <c:v>Y3</c:v>
                </c:pt>
                <c:pt idx="4">
                  <c:v>Y4</c:v>
                </c:pt>
                <c:pt idx="5">
                  <c:v>Y5</c:v>
                </c:pt>
                <c:pt idx="6">
                  <c:v>Y6</c:v>
                </c:pt>
                <c:pt idx="7">
                  <c:v>Y7</c:v>
                </c:pt>
                <c:pt idx="8">
                  <c:v>Y8</c:v>
                </c:pt>
                <c:pt idx="9">
                  <c:v>Y9</c:v>
                </c:pt>
                <c:pt idx="10">
                  <c:v>Y10</c:v>
                </c:pt>
              </c:strCache>
            </c:strRef>
          </c:cat>
          <c:val>
            <c:numRef>
              <c:f>'Cash Flow Output - Detailed'!$C$41:$M$41</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smooth val="1"/>
          <c:extLst>
            <c:ext xmlns:c16="http://schemas.microsoft.com/office/drawing/2014/chart" uri="{C3380CC4-5D6E-409C-BE32-E72D297353CC}">
              <c16:uniqueId val="{00000004-2424-4171-98B4-C729FC1981D1}"/>
            </c:ext>
          </c:extLst>
        </c:ser>
        <c:ser>
          <c:idx val="5"/>
          <c:order val="5"/>
          <c:tx>
            <c:strRef>
              <c:f>'Cash Flow Output - Detailed'!$B$46</c:f>
              <c:strCache>
                <c:ptCount val="1"/>
                <c:pt idx="0">
                  <c:v>Cloud Scenario Total</c:v>
                </c:pt>
              </c:strCache>
            </c:strRef>
          </c:tx>
          <c:spPr>
            <a:ln w="19050" cap="rnd">
              <a:solidFill>
                <a:srgbClr val="00B0F0"/>
              </a:solidFill>
              <a:prstDash val="dash"/>
              <a:round/>
            </a:ln>
            <a:effectLst/>
          </c:spPr>
          <c:marker>
            <c:symbol val="none"/>
          </c:marker>
          <c:cat>
            <c:strRef>
              <c:f>'Cash Flow Output - Detailed'!$C$40:$M$40</c:f>
              <c:strCache>
                <c:ptCount val="11"/>
                <c:pt idx="0">
                  <c:v>Baseline</c:v>
                </c:pt>
                <c:pt idx="1">
                  <c:v>Y1</c:v>
                </c:pt>
                <c:pt idx="2">
                  <c:v>Y2</c:v>
                </c:pt>
                <c:pt idx="3">
                  <c:v>Y3</c:v>
                </c:pt>
                <c:pt idx="4">
                  <c:v>Y4</c:v>
                </c:pt>
                <c:pt idx="5">
                  <c:v>Y5</c:v>
                </c:pt>
                <c:pt idx="6">
                  <c:v>Y6</c:v>
                </c:pt>
                <c:pt idx="7">
                  <c:v>Y7</c:v>
                </c:pt>
                <c:pt idx="8">
                  <c:v>Y8</c:v>
                </c:pt>
                <c:pt idx="9">
                  <c:v>Y9</c:v>
                </c:pt>
                <c:pt idx="10">
                  <c:v>Y10</c:v>
                </c:pt>
              </c:strCache>
            </c:strRef>
          </c:cat>
          <c:val>
            <c:numRef>
              <c:f>'Cash Flow Output - Detailed'!$C$46:$M$46</c:f>
              <c:numCache>
                <c:formatCode>"$"#,##0.0,,"M";\("$"#,##0.0,,"M"\)</c:formatCode>
                <c:ptCount val="11"/>
                <c:pt idx="0">
                  <c:v>0</c:v>
                </c:pt>
                <c:pt idx="1">
                  <c:v>0</c:v>
                </c:pt>
                <c:pt idx="2">
                  <c:v>0</c:v>
                </c:pt>
                <c:pt idx="3">
                  <c:v>0</c:v>
                </c:pt>
                <c:pt idx="4">
                  <c:v>0</c:v>
                </c:pt>
                <c:pt idx="5">
                  <c:v>0</c:v>
                </c:pt>
                <c:pt idx="6">
                  <c:v>0</c:v>
                </c:pt>
                <c:pt idx="7">
                  <c:v>0</c:v>
                </c:pt>
                <c:pt idx="8">
                  <c:v>0</c:v>
                </c:pt>
                <c:pt idx="9">
                  <c:v>0</c:v>
                </c:pt>
                <c:pt idx="10">
                  <c:v>0</c:v>
                </c:pt>
              </c:numCache>
            </c:numRef>
          </c:val>
          <c:smooth val="1"/>
          <c:extLst>
            <c:ext xmlns:c16="http://schemas.microsoft.com/office/drawing/2014/chart" uri="{C3380CC4-5D6E-409C-BE32-E72D297353CC}">
              <c16:uniqueId val="{00000005-2424-4171-98B4-C729FC1981D1}"/>
            </c:ext>
          </c:extLst>
        </c:ser>
        <c:dLbls>
          <c:showLegendKey val="0"/>
          <c:showVal val="0"/>
          <c:showCatName val="0"/>
          <c:showSerName val="0"/>
          <c:showPercent val="0"/>
          <c:showBubbleSize val="0"/>
        </c:dLbls>
        <c:marker val="1"/>
        <c:smooth val="0"/>
        <c:axId val="1684906288"/>
        <c:axId val="1684904368"/>
        <c:extLst>
          <c:ext xmlns:c15="http://schemas.microsoft.com/office/drawing/2012/chart" uri="{02D57815-91ED-43cb-92C2-25804820EDAC}">
            <c15:filteredLineSeries>
              <c15:ser>
                <c:idx val="6"/>
                <c:order val="6"/>
                <c:tx>
                  <c:strRef>
                    <c:extLst>
                      <c:ext uri="{02D57815-91ED-43cb-92C2-25804820EDAC}">
                        <c15:formulaRef>
                          <c15:sqref>'Cash Flow Output - Detailed'!$B$47</c15:sqref>
                        </c15:formulaRef>
                      </c:ext>
                    </c:extLst>
                    <c:strCache>
                      <c:ptCount val="1"/>
                      <c:pt idx="0">
                        <c:v>Annual Delta (savings)</c:v>
                      </c:pt>
                    </c:strCache>
                  </c:strRef>
                </c:tx>
                <c:spPr>
                  <a:ln w="28575" cap="rnd">
                    <a:solidFill>
                      <a:schemeClr val="accent1">
                        <a:lumMod val="60000"/>
                      </a:schemeClr>
                    </a:solidFill>
                    <a:round/>
                  </a:ln>
                  <a:effectLst/>
                </c:spPr>
                <c:marker>
                  <c:symbol val="none"/>
                </c:marker>
                <c:cat>
                  <c:strRef>
                    <c:extLst>
                      <c:ext uri="{02D57815-91ED-43cb-92C2-25804820EDAC}">
                        <c15:formulaRef>
                          <c15:sqref>'Cash Flow Output - Detailed'!$C$40:$M$40</c15:sqref>
                        </c15:formulaRef>
                      </c:ext>
                    </c:extLst>
                    <c:strCache>
                      <c:ptCount val="11"/>
                      <c:pt idx="0">
                        <c:v>Baseline</c:v>
                      </c:pt>
                      <c:pt idx="1">
                        <c:v>Y1</c:v>
                      </c:pt>
                      <c:pt idx="2">
                        <c:v>Y2</c:v>
                      </c:pt>
                      <c:pt idx="3">
                        <c:v>Y3</c:v>
                      </c:pt>
                      <c:pt idx="4">
                        <c:v>Y4</c:v>
                      </c:pt>
                      <c:pt idx="5">
                        <c:v>Y5</c:v>
                      </c:pt>
                      <c:pt idx="6">
                        <c:v>Y6</c:v>
                      </c:pt>
                      <c:pt idx="7">
                        <c:v>Y7</c:v>
                      </c:pt>
                      <c:pt idx="8">
                        <c:v>Y8</c:v>
                      </c:pt>
                      <c:pt idx="9">
                        <c:v>Y9</c:v>
                      </c:pt>
                      <c:pt idx="10">
                        <c:v>Y10</c:v>
                      </c:pt>
                    </c:strCache>
                  </c:strRef>
                </c:cat>
                <c:val>
                  <c:numRef>
                    <c:extLst>
                      <c:ext uri="{02D57815-91ED-43cb-92C2-25804820EDAC}">
                        <c15:formulaRef>
                          <c15:sqref>'Cash Flow Output - Detailed'!$C$47:$M$47</c15:sqref>
                        </c15:formulaRef>
                      </c:ext>
                    </c:extLst>
                    <c:numCache>
                      <c:formatCode>"$"#,##0.0,,"M";\("$"#,##0.0,,"M"\)</c:formatCode>
                      <c:ptCount val="11"/>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7-2424-4171-98B4-C729FC1981D1}"/>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'Cash Flow Output - Detailed'!$B$48</c15:sqref>
                        </c15:formulaRef>
                      </c:ext>
                    </c:extLst>
                    <c:strCache>
                      <c:ptCount val="1"/>
                      <c:pt idx="0">
                        <c:v>Cumulative (savings)</c:v>
                      </c:pt>
                    </c:strCache>
                  </c:strRef>
                </c:tx>
                <c:spPr>
                  <a:ln w="28575" cap="rnd">
                    <a:solidFill>
                      <a:schemeClr val="accent2">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'Cash Flow Output - Detailed'!$C$40:$M$40</c15:sqref>
                        </c15:formulaRef>
                      </c:ext>
                    </c:extLst>
                    <c:strCache>
                      <c:ptCount val="11"/>
                      <c:pt idx="0">
                        <c:v>Baseline</c:v>
                      </c:pt>
                      <c:pt idx="1">
                        <c:v>Y1</c:v>
                      </c:pt>
                      <c:pt idx="2">
                        <c:v>Y2</c:v>
                      </c:pt>
                      <c:pt idx="3">
                        <c:v>Y3</c:v>
                      </c:pt>
                      <c:pt idx="4">
                        <c:v>Y4</c:v>
                      </c:pt>
                      <c:pt idx="5">
                        <c:v>Y5</c:v>
                      </c:pt>
                      <c:pt idx="6">
                        <c:v>Y6</c:v>
                      </c:pt>
                      <c:pt idx="7">
                        <c:v>Y7</c:v>
                      </c:pt>
                      <c:pt idx="8">
                        <c:v>Y8</c:v>
                      </c:pt>
                      <c:pt idx="9">
                        <c:v>Y9</c:v>
                      </c:pt>
                      <c:pt idx="10">
                        <c:v>Y10</c:v>
                      </c:pt>
                    </c:strCache>
                  </c:strRef>
                </c:cat>
                <c:val>
                  <c:numRef>
                    <c:extLst xmlns:c15="http://schemas.microsoft.com/office/drawing/2012/chart">
                      <c:ext xmlns:c15="http://schemas.microsoft.com/office/drawing/2012/chart" uri="{02D57815-91ED-43cb-92C2-25804820EDAC}">
                        <c15:formulaRef>
                          <c15:sqref>'Cash Flow Output - Detailed'!$C$48:$M$48</c15:sqref>
                        </c15:formulaRef>
                      </c:ext>
                    </c:extLst>
                    <c:numCache>
                      <c:formatCode>"$"#,##0.0,,"M";\("$"#,##0.0,,"M"\)</c:formatCode>
                      <c:ptCount val="11"/>
                      <c:pt idx="1">
                        <c:v>0</c:v>
                      </c:pt>
                      <c:pt idx="2">
                        <c:v>0</c:v>
                      </c:pt>
                      <c:pt idx="3">
                        <c:v>0</c:v>
                      </c:pt>
                      <c:pt idx="4">
                        <c:v>0</c:v>
                      </c:pt>
                      <c:pt idx="5">
                        <c:v>0</c:v>
                      </c:pt>
                      <c:pt idx="6">
                        <c:v>0</c:v>
                      </c:pt>
                      <c:pt idx="7">
                        <c:v>0</c:v>
                      </c:pt>
                      <c:pt idx="8">
                        <c:v>0</c:v>
                      </c:pt>
                      <c:pt idx="9">
                        <c:v>0</c:v>
                      </c:pt>
                      <c:pt idx="10">
                        <c:v>0</c:v>
                      </c:pt>
                    </c:numCache>
                  </c:numRef>
                </c:val>
                <c:smooth val="0"/>
                <c:extLst xmlns:c15="http://schemas.microsoft.com/office/drawing/2012/chart">
                  <c:ext xmlns:c16="http://schemas.microsoft.com/office/drawing/2014/chart" uri="{C3380CC4-5D6E-409C-BE32-E72D297353CC}">
                    <c16:uniqueId val="{00000008-2424-4171-98B4-C729FC1981D1}"/>
                  </c:ext>
                </c:extLst>
              </c15:ser>
            </c15:filteredLineSeries>
          </c:ext>
        </c:extLst>
      </c:lineChart>
      <c:catAx>
        <c:axId val="1684906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84904368"/>
        <c:crosses val="autoZero"/>
        <c:auto val="1"/>
        <c:lblAlgn val="ctr"/>
        <c:lblOffset val="100"/>
        <c:noMultiLvlLbl val="0"/>
      </c:catAx>
      <c:valAx>
        <c:axId val="1684904368"/>
        <c:scaling>
          <c:orientation val="minMax"/>
        </c:scaling>
        <c:delete val="0"/>
        <c:axPos val="l"/>
        <c:numFmt formatCode="&quot;$&quot;#,##0.0,,&quot;M&quot;;\(&quot;$&quot;#,##0.0,,&quot;M&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84906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800"/>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1"/>
          <c:tx>
            <c:strRef>
              <c:f>'Cash Flow Output - Detailed'!$B$42</c:f>
              <c:strCache>
                <c:ptCount val="1"/>
                <c:pt idx="0">
                  <c:v>CAPEX</c:v>
                </c:pt>
              </c:strCache>
            </c:strRef>
          </c:tx>
          <c:spPr>
            <a:solidFill>
              <a:schemeClr val="tx2"/>
            </a:solidFill>
            <a:ln>
              <a:noFill/>
            </a:ln>
            <a:effectLst/>
          </c:spPr>
          <c:invertIfNegative val="0"/>
          <c:cat>
            <c:strRef>
              <c:f>'Cash Flow Output - Detailed'!$C$40:$H$40</c:f>
              <c:strCache>
                <c:ptCount val="6"/>
                <c:pt idx="0">
                  <c:v>Baseline</c:v>
                </c:pt>
                <c:pt idx="1">
                  <c:v>Y1</c:v>
                </c:pt>
                <c:pt idx="2">
                  <c:v>Y2</c:v>
                </c:pt>
                <c:pt idx="3">
                  <c:v>Y3</c:v>
                </c:pt>
                <c:pt idx="4">
                  <c:v>Y4</c:v>
                </c:pt>
                <c:pt idx="5">
                  <c:v>Y5</c:v>
                </c:pt>
              </c:strCache>
            </c:strRef>
          </c:cat>
          <c:val>
            <c:numRef>
              <c:f>'Cash Flow Output - Detailed'!$C$42:$H$42</c:f>
              <c:numCache>
                <c:formatCode>"$"#,##0.0,,"M";\("$"#,##0.0,,"M"\)</c:formatCode>
                <c:ptCount val="6"/>
                <c:pt idx="0">
                  <c:v>0</c:v>
                </c:pt>
                <c:pt idx="1">
                  <c:v>0</c:v>
                </c:pt>
                <c:pt idx="2">
                  <c:v>0</c:v>
                </c:pt>
                <c:pt idx="3">
                  <c:v>0</c:v>
                </c:pt>
                <c:pt idx="4">
                  <c:v>0</c:v>
                </c:pt>
                <c:pt idx="5">
                  <c:v>0</c:v>
                </c:pt>
              </c:numCache>
            </c:numRef>
          </c:val>
          <c:extLst xmlns:c15="http://schemas.microsoft.com/office/drawing/2012/chart">
            <c:ext xmlns:c16="http://schemas.microsoft.com/office/drawing/2014/chart" uri="{C3380CC4-5D6E-409C-BE32-E72D297353CC}">
              <c16:uniqueId val="{00000000-0F2A-5E4C-83F4-65BBE1B5DD1E}"/>
            </c:ext>
          </c:extLst>
        </c:ser>
        <c:ser>
          <c:idx val="2"/>
          <c:order val="2"/>
          <c:tx>
            <c:strRef>
              <c:f>'Cash Flow Output - Detailed'!$B$43</c:f>
              <c:strCache>
                <c:ptCount val="1"/>
                <c:pt idx="0">
                  <c:v>OPEX</c:v>
                </c:pt>
              </c:strCache>
            </c:strRef>
          </c:tx>
          <c:spPr>
            <a:solidFill>
              <a:schemeClr val="accent5">
                <a:lumMod val="20000"/>
                <a:lumOff val="80000"/>
              </a:schemeClr>
            </a:solidFill>
            <a:ln>
              <a:noFill/>
            </a:ln>
            <a:effectLst/>
          </c:spPr>
          <c:invertIfNegative val="0"/>
          <c:cat>
            <c:strRef>
              <c:f>'Cash Flow Output - Detailed'!$C$40:$H$40</c:f>
              <c:strCache>
                <c:ptCount val="6"/>
                <c:pt idx="0">
                  <c:v>Baseline</c:v>
                </c:pt>
                <c:pt idx="1">
                  <c:v>Y1</c:v>
                </c:pt>
                <c:pt idx="2">
                  <c:v>Y2</c:v>
                </c:pt>
                <c:pt idx="3">
                  <c:v>Y3</c:v>
                </c:pt>
                <c:pt idx="4">
                  <c:v>Y4</c:v>
                </c:pt>
                <c:pt idx="5">
                  <c:v>Y5</c:v>
                </c:pt>
              </c:strCache>
            </c:strRef>
          </c:cat>
          <c:val>
            <c:numRef>
              <c:f>'Cash Flow Output - Detailed'!$C$43:$H$43</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0F2A-5E4C-83F4-65BBE1B5DD1E}"/>
            </c:ext>
          </c:extLst>
        </c:ser>
        <c:ser>
          <c:idx val="3"/>
          <c:order val="3"/>
          <c:tx>
            <c:strRef>
              <c:f>'Cash Flow Output - Detailed'!$B$44</c:f>
              <c:strCache>
                <c:ptCount val="1"/>
                <c:pt idx="0">
                  <c:v>Azure Costs</c:v>
                </c:pt>
              </c:strCache>
            </c:strRef>
          </c:tx>
          <c:spPr>
            <a:solidFill>
              <a:srgbClr val="0070C0"/>
            </a:solidFill>
            <a:ln>
              <a:noFill/>
            </a:ln>
            <a:effectLst/>
          </c:spPr>
          <c:invertIfNegative val="0"/>
          <c:cat>
            <c:strRef>
              <c:f>'Cash Flow Output - Detailed'!$C$40:$H$40</c:f>
              <c:strCache>
                <c:ptCount val="6"/>
                <c:pt idx="0">
                  <c:v>Baseline</c:v>
                </c:pt>
                <c:pt idx="1">
                  <c:v>Y1</c:v>
                </c:pt>
                <c:pt idx="2">
                  <c:v>Y2</c:v>
                </c:pt>
                <c:pt idx="3">
                  <c:v>Y3</c:v>
                </c:pt>
                <c:pt idx="4">
                  <c:v>Y4</c:v>
                </c:pt>
                <c:pt idx="5">
                  <c:v>Y5</c:v>
                </c:pt>
              </c:strCache>
            </c:strRef>
          </c:cat>
          <c:val>
            <c:numRef>
              <c:f>'Cash Flow Output - Detailed'!$C$44:$H$44</c:f>
              <c:numCache>
                <c:formatCode>"$"#,##0.0,,"M";\("$"#,##0.0,,"M"\)</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0F2A-5E4C-83F4-65BBE1B5DD1E}"/>
            </c:ext>
          </c:extLst>
        </c:ser>
        <c:ser>
          <c:idx val="4"/>
          <c:order val="4"/>
          <c:tx>
            <c:strRef>
              <c:f>'Cash Flow Output - Detailed'!$B$45</c:f>
              <c:strCache>
                <c:ptCount val="1"/>
                <c:pt idx="0">
                  <c:v>Migration Cost</c:v>
                </c:pt>
              </c:strCache>
            </c:strRef>
          </c:tx>
          <c:spPr>
            <a:solidFill>
              <a:srgbClr val="7030A0"/>
            </a:solidFill>
            <a:ln>
              <a:noFill/>
            </a:ln>
            <a:effectLst/>
          </c:spPr>
          <c:invertIfNegative val="0"/>
          <c:cat>
            <c:strRef>
              <c:f>'Cash Flow Output - Detailed'!$C$40:$H$40</c:f>
              <c:strCache>
                <c:ptCount val="6"/>
                <c:pt idx="0">
                  <c:v>Baseline</c:v>
                </c:pt>
                <c:pt idx="1">
                  <c:v>Y1</c:v>
                </c:pt>
                <c:pt idx="2">
                  <c:v>Y2</c:v>
                </c:pt>
                <c:pt idx="3">
                  <c:v>Y3</c:v>
                </c:pt>
                <c:pt idx="4">
                  <c:v>Y4</c:v>
                </c:pt>
                <c:pt idx="5">
                  <c:v>Y5</c:v>
                </c:pt>
              </c:strCache>
            </c:strRef>
          </c:cat>
          <c:val>
            <c:numRef>
              <c:f>'Cash Flow Output - Detailed'!$C$45:$H$45</c:f>
              <c:numCache>
                <c:formatCode>"$"#,##0.0,,"M";\("$"#,##0.0,,"M"\)</c:formatCode>
                <c:ptCount val="6"/>
                <c:pt idx="0">
                  <c:v>0</c:v>
                </c:pt>
                <c:pt idx="1">
                  <c:v>0</c:v>
                </c:pt>
                <c:pt idx="2">
                  <c:v>0</c:v>
                </c:pt>
                <c:pt idx="3">
                  <c:v>0</c:v>
                </c:pt>
                <c:pt idx="4">
                  <c:v>0</c:v>
                </c:pt>
                <c:pt idx="5">
                  <c:v>0</c:v>
                </c:pt>
              </c:numCache>
            </c:numRef>
          </c:val>
          <c:extLst xmlns:c15="http://schemas.microsoft.com/office/drawing/2012/chart">
            <c:ext xmlns:c16="http://schemas.microsoft.com/office/drawing/2014/chart" uri="{C3380CC4-5D6E-409C-BE32-E72D297353CC}">
              <c16:uniqueId val="{00000003-0F2A-5E4C-83F4-65BBE1B5DD1E}"/>
            </c:ext>
          </c:extLst>
        </c:ser>
        <c:ser>
          <c:idx val="8"/>
          <c:order val="8"/>
          <c:tx>
            <c:strRef>
              <c:f>'Cash Flow Output - Detailed'!$B$49</c:f>
              <c:strCache>
                <c:ptCount val="1"/>
                <c:pt idx="0">
                  <c:v>Net Savings</c:v>
                </c:pt>
              </c:strCache>
            </c:strRef>
          </c:tx>
          <c:spPr>
            <a:pattFill prst="ltUpDiag">
              <a:fgClr>
                <a:srgbClr val="00B050"/>
              </a:fgClr>
              <a:bgClr>
                <a:schemeClr val="bg1"/>
              </a:bgClr>
            </a:pattFill>
            <a:ln>
              <a:noFill/>
            </a:ln>
            <a:effectLst/>
          </c:spPr>
          <c:invertIfNegative val="0"/>
          <c:cat>
            <c:strRef>
              <c:f>'Cash Flow Output - Detailed'!$C$40:$H$40</c:f>
              <c:strCache>
                <c:ptCount val="6"/>
                <c:pt idx="0">
                  <c:v>Baseline</c:v>
                </c:pt>
                <c:pt idx="1">
                  <c:v>Y1</c:v>
                </c:pt>
                <c:pt idx="2">
                  <c:v>Y2</c:v>
                </c:pt>
                <c:pt idx="3">
                  <c:v>Y3</c:v>
                </c:pt>
                <c:pt idx="4">
                  <c:v>Y4</c:v>
                </c:pt>
                <c:pt idx="5">
                  <c:v>Y5</c:v>
                </c:pt>
              </c:strCache>
            </c:strRef>
          </c:cat>
          <c:val>
            <c:numRef>
              <c:f>'Cash Flow Output - Detailed'!$C$49:$H$49</c:f>
              <c:numCache>
                <c:formatCode>"$"#,##0.0,,"M";\("$"#,##0.0,,"M"\)</c:formatCode>
                <c:ptCount val="6"/>
                <c:pt idx="1">
                  <c:v>0</c:v>
                </c:pt>
                <c:pt idx="2">
                  <c:v>0</c:v>
                </c:pt>
                <c:pt idx="3">
                  <c:v>0</c:v>
                </c:pt>
                <c:pt idx="4">
                  <c:v>0</c:v>
                </c:pt>
                <c:pt idx="5">
                  <c:v>0</c:v>
                </c:pt>
              </c:numCache>
            </c:numRef>
          </c:val>
          <c:extLst>
            <c:ext xmlns:c16="http://schemas.microsoft.com/office/drawing/2014/chart" uri="{C3380CC4-5D6E-409C-BE32-E72D297353CC}">
              <c16:uniqueId val="{00000004-0F2A-5E4C-83F4-65BBE1B5DD1E}"/>
            </c:ext>
          </c:extLst>
        </c:ser>
        <c:dLbls>
          <c:showLegendKey val="0"/>
          <c:showVal val="0"/>
          <c:showCatName val="0"/>
          <c:showSerName val="0"/>
          <c:showPercent val="0"/>
          <c:showBubbleSize val="0"/>
        </c:dLbls>
        <c:gapWidth val="150"/>
        <c:overlap val="100"/>
        <c:axId val="1684906288"/>
        <c:axId val="1684904368"/>
        <c:extLst/>
      </c:barChart>
      <c:lineChart>
        <c:grouping val="standard"/>
        <c:varyColors val="0"/>
        <c:ser>
          <c:idx val="0"/>
          <c:order val="0"/>
          <c:tx>
            <c:strRef>
              <c:f>'Cash Flow Output - Detailed'!$B$41</c:f>
              <c:strCache>
                <c:ptCount val="1"/>
                <c:pt idx="0">
                  <c:v>On-Prem Total</c:v>
                </c:pt>
              </c:strCache>
            </c:strRef>
          </c:tx>
          <c:spPr>
            <a:ln w="22225" cap="rnd">
              <a:solidFill>
                <a:schemeClr val="accent2"/>
              </a:solidFill>
              <a:prstDash val="dash"/>
              <a:round/>
            </a:ln>
            <a:effectLst/>
          </c:spPr>
          <c:marker>
            <c:symbol val="none"/>
          </c:marker>
          <c:cat>
            <c:strRef>
              <c:f>'Cash Flow Output - Detailed'!$C$40:$H$40</c:f>
              <c:strCache>
                <c:ptCount val="6"/>
                <c:pt idx="0">
                  <c:v>Baseline</c:v>
                </c:pt>
                <c:pt idx="1">
                  <c:v>Y1</c:v>
                </c:pt>
                <c:pt idx="2">
                  <c:v>Y2</c:v>
                </c:pt>
                <c:pt idx="3">
                  <c:v>Y3</c:v>
                </c:pt>
                <c:pt idx="4">
                  <c:v>Y4</c:v>
                </c:pt>
                <c:pt idx="5">
                  <c:v>Y5</c:v>
                </c:pt>
              </c:strCache>
            </c:strRef>
          </c:cat>
          <c:val>
            <c:numRef>
              <c:f>'Cash Flow Output - Detailed'!$C$41:$H$41</c:f>
              <c:numCache>
                <c:formatCode>"$"#,##0.0,,"M";\("$"#,##0.0,,"M"\)</c:formatCode>
                <c:ptCount val="6"/>
                <c:pt idx="0">
                  <c:v>0</c:v>
                </c:pt>
                <c:pt idx="1">
                  <c:v>0</c:v>
                </c:pt>
                <c:pt idx="2">
                  <c:v>0</c:v>
                </c:pt>
                <c:pt idx="3">
                  <c:v>0</c:v>
                </c:pt>
                <c:pt idx="4">
                  <c:v>0</c:v>
                </c:pt>
                <c:pt idx="5">
                  <c:v>0</c:v>
                </c:pt>
              </c:numCache>
            </c:numRef>
          </c:val>
          <c:smooth val="1"/>
          <c:extLst>
            <c:ext xmlns:c16="http://schemas.microsoft.com/office/drawing/2014/chart" uri="{C3380CC4-5D6E-409C-BE32-E72D297353CC}">
              <c16:uniqueId val="{00000005-0F2A-5E4C-83F4-65BBE1B5DD1E}"/>
            </c:ext>
          </c:extLst>
        </c:ser>
        <c:ser>
          <c:idx val="5"/>
          <c:order val="5"/>
          <c:tx>
            <c:strRef>
              <c:f>'Cash Flow Output - Detailed'!$B$46</c:f>
              <c:strCache>
                <c:ptCount val="1"/>
                <c:pt idx="0">
                  <c:v>Cloud Scenario Total</c:v>
                </c:pt>
              </c:strCache>
            </c:strRef>
          </c:tx>
          <c:spPr>
            <a:ln w="19050" cap="rnd">
              <a:solidFill>
                <a:srgbClr val="00B0F0"/>
              </a:solidFill>
              <a:prstDash val="dash"/>
              <a:round/>
            </a:ln>
            <a:effectLst/>
          </c:spPr>
          <c:marker>
            <c:symbol val="none"/>
          </c:marker>
          <c:cat>
            <c:strRef>
              <c:f>'Cash Flow Output - Detailed'!$C$40:$H$40</c:f>
              <c:strCache>
                <c:ptCount val="6"/>
                <c:pt idx="0">
                  <c:v>Baseline</c:v>
                </c:pt>
                <c:pt idx="1">
                  <c:v>Y1</c:v>
                </c:pt>
                <c:pt idx="2">
                  <c:v>Y2</c:v>
                </c:pt>
                <c:pt idx="3">
                  <c:v>Y3</c:v>
                </c:pt>
                <c:pt idx="4">
                  <c:v>Y4</c:v>
                </c:pt>
                <c:pt idx="5">
                  <c:v>Y5</c:v>
                </c:pt>
              </c:strCache>
            </c:strRef>
          </c:cat>
          <c:val>
            <c:numRef>
              <c:f>'Cash Flow Output - Detailed'!$C$46:$H$46</c:f>
              <c:numCache>
                <c:formatCode>"$"#,##0.0,,"M";\("$"#,##0.0,,"M"\)</c:formatCode>
                <c:ptCount val="6"/>
                <c:pt idx="0">
                  <c:v>0</c:v>
                </c:pt>
                <c:pt idx="1">
                  <c:v>0</c:v>
                </c:pt>
                <c:pt idx="2">
                  <c:v>0</c:v>
                </c:pt>
                <c:pt idx="3">
                  <c:v>0</c:v>
                </c:pt>
                <c:pt idx="4">
                  <c:v>0</c:v>
                </c:pt>
                <c:pt idx="5">
                  <c:v>0</c:v>
                </c:pt>
              </c:numCache>
            </c:numRef>
          </c:val>
          <c:smooth val="1"/>
          <c:extLst>
            <c:ext xmlns:c16="http://schemas.microsoft.com/office/drawing/2014/chart" uri="{C3380CC4-5D6E-409C-BE32-E72D297353CC}">
              <c16:uniqueId val="{00000006-0F2A-5E4C-83F4-65BBE1B5DD1E}"/>
            </c:ext>
          </c:extLst>
        </c:ser>
        <c:dLbls>
          <c:showLegendKey val="0"/>
          <c:showVal val="0"/>
          <c:showCatName val="0"/>
          <c:showSerName val="0"/>
          <c:showPercent val="0"/>
          <c:showBubbleSize val="0"/>
        </c:dLbls>
        <c:marker val="1"/>
        <c:smooth val="0"/>
        <c:axId val="1684906288"/>
        <c:axId val="1684904368"/>
        <c:extLst>
          <c:ext xmlns:c15="http://schemas.microsoft.com/office/drawing/2012/chart" uri="{02D57815-91ED-43cb-92C2-25804820EDAC}">
            <c15:filteredLineSeries>
              <c15:ser>
                <c:idx val="6"/>
                <c:order val="6"/>
                <c:tx>
                  <c:strRef>
                    <c:extLst>
                      <c:ext uri="{02D57815-91ED-43cb-92C2-25804820EDAC}">
                        <c15:formulaRef>
                          <c15:sqref>'Cash Flow Output - Detailed'!$B$47</c15:sqref>
                        </c15:formulaRef>
                      </c:ext>
                    </c:extLst>
                    <c:strCache>
                      <c:ptCount val="1"/>
                      <c:pt idx="0">
                        <c:v>Annual Delta (savings)</c:v>
                      </c:pt>
                    </c:strCache>
                  </c:strRef>
                </c:tx>
                <c:spPr>
                  <a:ln w="28575" cap="rnd">
                    <a:solidFill>
                      <a:schemeClr val="accent1">
                        <a:lumMod val="60000"/>
                      </a:schemeClr>
                    </a:solidFill>
                    <a:round/>
                  </a:ln>
                  <a:effectLst/>
                </c:spPr>
                <c:marker>
                  <c:symbol val="none"/>
                </c:marker>
                <c:cat>
                  <c:strRef>
                    <c:extLst>
                      <c:ext uri="{02D57815-91ED-43cb-92C2-25804820EDAC}">
                        <c15:formulaRef>
                          <c15:sqref>'Cash Flow Output - Detailed'!$C$40:$H$40</c15:sqref>
                        </c15:formulaRef>
                      </c:ext>
                    </c:extLst>
                    <c:strCache>
                      <c:ptCount val="6"/>
                      <c:pt idx="0">
                        <c:v>Baseline</c:v>
                      </c:pt>
                      <c:pt idx="1">
                        <c:v>Y1</c:v>
                      </c:pt>
                      <c:pt idx="2">
                        <c:v>Y2</c:v>
                      </c:pt>
                      <c:pt idx="3">
                        <c:v>Y3</c:v>
                      </c:pt>
                      <c:pt idx="4">
                        <c:v>Y4</c:v>
                      </c:pt>
                      <c:pt idx="5">
                        <c:v>Y5</c:v>
                      </c:pt>
                    </c:strCache>
                  </c:strRef>
                </c:cat>
                <c:val>
                  <c:numRef>
                    <c:extLst>
                      <c:ext uri="{02D57815-91ED-43cb-92C2-25804820EDAC}">
                        <c15:formulaRef>
                          <c15:sqref>'Cash Flow Output - Detailed'!$C$47:$H$47</c15:sqref>
                        </c15:formulaRef>
                      </c:ext>
                    </c:extLst>
                    <c:numCache>
                      <c:formatCode>"$"#,##0.0,,"M";\("$"#,##0.0,,"M"\)</c:formatCode>
                      <c:ptCount val="6"/>
                      <c:pt idx="1">
                        <c:v>0</c:v>
                      </c:pt>
                      <c:pt idx="2">
                        <c:v>0</c:v>
                      </c:pt>
                      <c:pt idx="3">
                        <c:v>0</c:v>
                      </c:pt>
                      <c:pt idx="4">
                        <c:v>0</c:v>
                      </c:pt>
                      <c:pt idx="5">
                        <c:v>0</c:v>
                      </c:pt>
                    </c:numCache>
                  </c:numRef>
                </c:val>
                <c:smooth val="0"/>
                <c:extLst>
                  <c:ext xmlns:c16="http://schemas.microsoft.com/office/drawing/2014/chart" uri="{C3380CC4-5D6E-409C-BE32-E72D297353CC}">
                    <c16:uniqueId val="{00000007-0F2A-5E4C-83F4-65BBE1B5DD1E}"/>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'Cash Flow Output - Detailed'!$B$48</c15:sqref>
                        </c15:formulaRef>
                      </c:ext>
                    </c:extLst>
                    <c:strCache>
                      <c:ptCount val="1"/>
                      <c:pt idx="0">
                        <c:v>Cumulative (savings)</c:v>
                      </c:pt>
                    </c:strCache>
                  </c:strRef>
                </c:tx>
                <c:spPr>
                  <a:ln w="28575" cap="rnd">
                    <a:solidFill>
                      <a:schemeClr val="accent2">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'Cash Flow Output - Detailed'!$C$40:$H$40</c15:sqref>
                        </c15:formulaRef>
                      </c:ext>
                    </c:extLst>
                    <c:strCache>
                      <c:ptCount val="6"/>
                      <c:pt idx="0">
                        <c:v>Baseline</c:v>
                      </c:pt>
                      <c:pt idx="1">
                        <c:v>Y1</c:v>
                      </c:pt>
                      <c:pt idx="2">
                        <c:v>Y2</c:v>
                      </c:pt>
                      <c:pt idx="3">
                        <c:v>Y3</c:v>
                      </c:pt>
                      <c:pt idx="4">
                        <c:v>Y4</c:v>
                      </c:pt>
                      <c:pt idx="5">
                        <c:v>Y5</c:v>
                      </c:pt>
                    </c:strCache>
                  </c:strRef>
                </c:cat>
                <c:val>
                  <c:numRef>
                    <c:extLst xmlns:c15="http://schemas.microsoft.com/office/drawing/2012/chart">
                      <c:ext xmlns:c15="http://schemas.microsoft.com/office/drawing/2012/chart" uri="{02D57815-91ED-43cb-92C2-25804820EDAC}">
                        <c15:formulaRef>
                          <c15:sqref>'Cash Flow Output - Detailed'!$C$48:$H$48</c15:sqref>
                        </c15:formulaRef>
                      </c:ext>
                    </c:extLst>
                    <c:numCache>
                      <c:formatCode>"$"#,##0.0,,"M";\("$"#,##0.0,,"M"\)</c:formatCode>
                      <c:ptCount val="6"/>
                      <c:pt idx="1">
                        <c:v>0</c:v>
                      </c:pt>
                      <c:pt idx="2">
                        <c:v>0</c:v>
                      </c:pt>
                      <c:pt idx="3">
                        <c:v>0</c:v>
                      </c:pt>
                      <c:pt idx="4">
                        <c:v>0</c:v>
                      </c:pt>
                      <c:pt idx="5">
                        <c:v>0</c:v>
                      </c:pt>
                    </c:numCache>
                  </c:numRef>
                </c:val>
                <c:smooth val="0"/>
                <c:extLst xmlns:c15="http://schemas.microsoft.com/office/drawing/2012/chart">
                  <c:ext xmlns:c16="http://schemas.microsoft.com/office/drawing/2014/chart" uri="{C3380CC4-5D6E-409C-BE32-E72D297353CC}">
                    <c16:uniqueId val="{00000008-0F2A-5E4C-83F4-65BBE1B5DD1E}"/>
                  </c:ext>
                </c:extLst>
              </c15:ser>
            </c15:filteredLineSeries>
          </c:ext>
        </c:extLst>
      </c:lineChart>
      <c:catAx>
        <c:axId val="1684906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84904368"/>
        <c:crosses val="autoZero"/>
        <c:auto val="1"/>
        <c:lblAlgn val="ctr"/>
        <c:lblOffset val="100"/>
        <c:noMultiLvlLbl val="0"/>
      </c:catAx>
      <c:valAx>
        <c:axId val="1684904368"/>
        <c:scaling>
          <c:orientation val="minMax"/>
        </c:scaling>
        <c:delete val="0"/>
        <c:axPos val="l"/>
        <c:numFmt formatCode="&quot;$&quot;#,##0.0,,&quot;M&quot;;\(&quot;$&quot;#,##0.0,,&quot;M&quot;\)"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84906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8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0</xdr:col>
      <xdr:colOff>21166</xdr:colOff>
      <xdr:row>30</xdr:row>
      <xdr:rowOff>180952</xdr:rowOff>
    </xdr:from>
    <xdr:to>
      <xdr:col>2</xdr:col>
      <xdr:colOff>999066</xdr:colOff>
      <xdr:row>35</xdr:row>
      <xdr:rowOff>132452</xdr:rowOff>
    </xdr:to>
    <xdr:pic>
      <xdr:nvPicPr>
        <xdr:cNvPr id="14" name="Picture 13">
          <a:extLst>
            <a:ext uri="{FF2B5EF4-FFF2-40B4-BE49-F238E27FC236}">
              <a16:creationId xmlns:a16="http://schemas.microsoft.com/office/drawing/2014/main" id="{026F7FD3-DEA8-4508-964D-7D1AFD31718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66" y="5980619"/>
          <a:ext cx="2000250" cy="106275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114300</xdr:colOff>
          <xdr:row>8</xdr:row>
          <xdr:rowOff>203200</xdr:rowOff>
        </xdr:from>
        <xdr:to>
          <xdr:col>2</xdr:col>
          <xdr:colOff>749300</xdr:colOff>
          <xdr:row>11</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Create PPT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137581</xdr:colOff>
      <xdr:row>1</xdr:row>
      <xdr:rowOff>116418</xdr:rowOff>
    </xdr:from>
    <xdr:to>
      <xdr:col>12</xdr:col>
      <xdr:colOff>781464</xdr:colOff>
      <xdr:row>5</xdr:row>
      <xdr:rowOff>2065</xdr:rowOff>
    </xdr:to>
    <xdr:pic>
      <xdr:nvPicPr>
        <xdr:cNvPr id="3" name="Picture 2">
          <a:extLst>
            <a:ext uri="{FF2B5EF4-FFF2-40B4-BE49-F238E27FC236}">
              <a16:creationId xmlns:a16="http://schemas.microsoft.com/office/drawing/2014/main" id="{A79FA6A3-61C4-4B72-AB24-E365B363B0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04498" y="296335"/>
          <a:ext cx="632272" cy="63227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137581</xdr:colOff>
      <xdr:row>1</xdr:row>
      <xdr:rowOff>116418</xdr:rowOff>
    </xdr:from>
    <xdr:to>
      <xdr:col>12</xdr:col>
      <xdr:colOff>769853</xdr:colOff>
      <xdr:row>4</xdr:row>
      <xdr:rowOff>177190</xdr:rowOff>
    </xdr:to>
    <xdr:pic>
      <xdr:nvPicPr>
        <xdr:cNvPr id="3" name="Picture 2">
          <a:extLst>
            <a:ext uri="{FF2B5EF4-FFF2-40B4-BE49-F238E27FC236}">
              <a16:creationId xmlns:a16="http://schemas.microsoft.com/office/drawing/2014/main" id="{4D0C6D97-C7F6-45AC-B2B2-1EBC799889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15081" y="297393"/>
          <a:ext cx="632272" cy="62592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137581</xdr:colOff>
      <xdr:row>1</xdr:row>
      <xdr:rowOff>116418</xdr:rowOff>
    </xdr:from>
    <xdr:to>
      <xdr:col>12</xdr:col>
      <xdr:colOff>773028</xdr:colOff>
      <xdr:row>4</xdr:row>
      <xdr:rowOff>177190</xdr:rowOff>
    </xdr:to>
    <xdr:pic>
      <xdr:nvPicPr>
        <xdr:cNvPr id="3" name="Picture 2">
          <a:extLst>
            <a:ext uri="{FF2B5EF4-FFF2-40B4-BE49-F238E27FC236}">
              <a16:creationId xmlns:a16="http://schemas.microsoft.com/office/drawing/2014/main" id="{EFF5A234-279E-4F1B-B7BA-419C5B5310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15081" y="297393"/>
          <a:ext cx="632272" cy="62592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0</xdr:colOff>
      <xdr:row>14</xdr:row>
      <xdr:rowOff>95249</xdr:rowOff>
    </xdr:from>
    <xdr:to>
      <xdr:col>24</xdr:col>
      <xdr:colOff>434578</xdr:colOff>
      <xdr:row>29</xdr:row>
      <xdr:rowOff>86432</xdr:rowOff>
    </xdr:to>
    <xdr:graphicFrame macro="">
      <xdr:nvGraphicFramePr>
        <xdr:cNvPr id="9" name="Chart 1">
          <a:extLst>
            <a:ext uri="{FF2B5EF4-FFF2-40B4-BE49-F238E27FC236}">
              <a16:creationId xmlns:a16="http://schemas.microsoft.com/office/drawing/2014/main" id="{BF56F1D5-4876-4606-AACC-5C9AC410D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215447</xdr:colOff>
      <xdr:row>31</xdr:row>
      <xdr:rowOff>59531</xdr:rowOff>
    </xdr:from>
    <xdr:to>
      <xdr:col>24</xdr:col>
      <xdr:colOff>480032</xdr:colOff>
      <xdr:row>44</xdr:row>
      <xdr:rowOff>61765</xdr:rowOff>
    </xdr:to>
    <xdr:graphicFrame macro="">
      <xdr:nvGraphicFramePr>
        <xdr:cNvPr id="12" name="Chart 2">
          <a:extLst>
            <a:ext uri="{FF2B5EF4-FFF2-40B4-BE49-F238E27FC236}">
              <a16:creationId xmlns:a16="http://schemas.microsoft.com/office/drawing/2014/main" id="{BE5DF60C-441E-4F6A-8474-E22DAF5639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164330</xdr:colOff>
      <xdr:row>5</xdr:row>
      <xdr:rowOff>25533</xdr:rowOff>
    </xdr:from>
    <xdr:to>
      <xdr:col>3</xdr:col>
      <xdr:colOff>12102</xdr:colOff>
      <xdr:row>6</xdr:row>
      <xdr:rowOff>5949</xdr:rowOff>
    </xdr:to>
    <xdr:sp macro="" textlink="">
      <xdr:nvSpPr>
        <xdr:cNvPr id="4" name="Rectangle 3">
          <a:extLst>
            <a:ext uri="{FF2B5EF4-FFF2-40B4-BE49-F238E27FC236}">
              <a16:creationId xmlns:a16="http://schemas.microsoft.com/office/drawing/2014/main" id="{05DBB7AF-D1E9-4DE1-8D21-D3E63E2B2AA0}"/>
            </a:ext>
          </a:extLst>
        </xdr:cNvPr>
        <xdr:cNvSpPr/>
      </xdr:nvSpPr>
      <xdr:spPr>
        <a:xfrm>
          <a:off x="3376142" y="918214"/>
          <a:ext cx="758859" cy="182880"/>
        </a:xfrm>
        <a:prstGeom prst="rect">
          <a:avLst/>
        </a:prstGeom>
        <a:noFill/>
        <a:ln w="19050">
          <a:solidFill>
            <a:srgbClr val="C0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158775</xdr:colOff>
      <xdr:row>6</xdr:row>
      <xdr:rowOff>8747</xdr:rowOff>
    </xdr:from>
    <xdr:to>
      <xdr:col>3</xdr:col>
      <xdr:colOff>24405</xdr:colOff>
      <xdr:row>6</xdr:row>
      <xdr:rowOff>187716</xdr:rowOff>
    </xdr:to>
    <xdr:sp macro="" textlink="">
      <xdr:nvSpPr>
        <xdr:cNvPr id="5" name="Rectangle 4">
          <a:extLst>
            <a:ext uri="{FF2B5EF4-FFF2-40B4-BE49-F238E27FC236}">
              <a16:creationId xmlns:a16="http://schemas.microsoft.com/office/drawing/2014/main" id="{32736263-4BD9-4776-AEB1-4BF8BDF575B5}"/>
            </a:ext>
          </a:extLst>
        </xdr:cNvPr>
        <xdr:cNvSpPr/>
      </xdr:nvSpPr>
      <xdr:spPr>
        <a:xfrm>
          <a:off x="3370587" y="1103892"/>
          <a:ext cx="776717" cy="178969"/>
        </a:xfrm>
        <a:prstGeom prst="rect">
          <a:avLst/>
        </a:prstGeom>
        <a:noFill/>
        <a:ln w="19050">
          <a:solidFill>
            <a:schemeClr val="accent5">
              <a:lumMod val="7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592183</xdr:colOff>
      <xdr:row>21</xdr:row>
      <xdr:rowOff>127877</xdr:rowOff>
    </xdr:from>
    <xdr:to>
      <xdr:col>24</xdr:col>
      <xdr:colOff>205197</xdr:colOff>
      <xdr:row>22</xdr:row>
      <xdr:rowOff>163105</xdr:rowOff>
    </xdr:to>
    <xdr:sp macro="" textlink="">
      <xdr:nvSpPr>
        <xdr:cNvPr id="2" name="TextBox 1">
          <a:extLst>
            <a:ext uri="{FF2B5EF4-FFF2-40B4-BE49-F238E27FC236}">
              <a16:creationId xmlns:a16="http://schemas.microsoft.com/office/drawing/2014/main" id="{987D09E2-96E4-C294-D43E-BE6E0C9F1A6B}"/>
            </a:ext>
          </a:extLst>
        </xdr:cNvPr>
        <xdr:cNvSpPr txBox="1"/>
      </xdr:nvSpPr>
      <xdr:spPr>
        <a:xfrm>
          <a:off x="19660326" y="4083020"/>
          <a:ext cx="1143061" cy="228752"/>
        </a:xfrm>
        <a:prstGeom prst="rect">
          <a:avLst/>
        </a:prstGeom>
        <a:solidFill>
          <a:schemeClr val="bg1"/>
        </a:solidFill>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r"/>
          <a:r>
            <a:rPr lang="en-US" sz="1100" b="1" kern="1200">
              <a:solidFill>
                <a:srgbClr val="00B0F0"/>
              </a:solidFill>
            </a:rPr>
            <a:t>Azure Scenario</a:t>
          </a:r>
        </a:p>
      </xdr:txBody>
    </xdr:sp>
    <xdr:clientData/>
  </xdr:twoCellAnchor>
  <xdr:twoCellAnchor>
    <xdr:from>
      <xdr:col>23</xdr:col>
      <xdr:colOff>84365</xdr:colOff>
      <xdr:row>38</xdr:row>
      <xdr:rowOff>57149</xdr:rowOff>
    </xdr:from>
    <xdr:to>
      <xdr:col>24</xdr:col>
      <xdr:colOff>250827</xdr:colOff>
      <xdr:row>39</xdr:row>
      <xdr:rowOff>117020</xdr:rowOff>
    </xdr:to>
    <xdr:sp macro="" textlink="">
      <xdr:nvSpPr>
        <xdr:cNvPr id="8" name="TextBox 7">
          <a:extLst>
            <a:ext uri="{FF2B5EF4-FFF2-40B4-BE49-F238E27FC236}">
              <a16:creationId xmlns:a16="http://schemas.microsoft.com/office/drawing/2014/main" id="{D1DCC750-8634-4FD9-9A1F-E04A9458BF04}"/>
            </a:ext>
          </a:extLst>
        </xdr:cNvPr>
        <xdr:cNvSpPr txBox="1"/>
      </xdr:nvSpPr>
      <xdr:spPr>
        <a:xfrm>
          <a:off x="19678651" y="7394120"/>
          <a:ext cx="1069976" cy="255814"/>
        </a:xfrm>
        <a:prstGeom prst="rect">
          <a:avLst/>
        </a:prstGeom>
        <a:solidFill>
          <a:schemeClr val="bg1"/>
        </a:solidFill>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r"/>
          <a:r>
            <a:rPr lang="en-US" sz="1100" b="1" kern="1200">
              <a:solidFill>
                <a:srgbClr val="00B0F0"/>
              </a:solidFill>
            </a:rPr>
            <a:t>Azure Scenario</a:t>
          </a:r>
        </a:p>
      </xdr:txBody>
    </xdr:sp>
    <xdr:clientData/>
  </xdr:twoCellAnchor>
  <xdr:twoCellAnchor>
    <xdr:from>
      <xdr:col>22</xdr:col>
      <xdr:colOff>492578</xdr:colOff>
      <xdr:row>34</xdr:row>
      <xdr:rowOff>95251</xdr:rowOff>
    </xdr:from>
    <xdr:to>
      <xdr:col>24</xdr:col>
      <xdr:colOff>278039</xdr:colOff>
      <xdr:row>35</xdr:row>
      <xdr:rowOff>149681</xdr:rowOff>
    </xdr:to>
    <xdr:sp macro="" textlink="">
      <xdr:nvSpPr>
        <xdr:cNvPr id="10" name="TextBox 1">
          <a:extLst>
            <a:ext uri="{FF2B5EF4-FFF2-40B4-BE49-F238E27FC236}">
              <a16:creationId xmlns:a16="http://schemas.microsoft.com/office/drawing/2014/main" id="{BDC9B3EE-F358-A5A7-862D-CFC62DDB5694}"/>
            </a:ext>
          </a:extLst>
        </xdr:cNvPr>
        <xdr:cNvSpPr txBox="1"/>
      </xdr:nvSpPr>
      <xdr:spPr>
        <a:xfrm>
          <a:off x="19466378" y="6648451"/>
          <a:ext cx="1309461" cy="250373"/>
        </a:xfrm>
        <a:prstGeom prst="rect">
          <a:avLst/>
        </a:prstGeom>
        <a:solidFill>
          <a:schemeClr val="bg1"/>
        </a:solidFill>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r"/>
          <a:r>
            <a:rPr lang="en-US" sz="1100" b="1" i="0" kern="1200">
              <a:solidFill>
                <a:schemeClr val="accent2"/>
              </a:solidFill>
            </a:rPr>
            <a:t>On-prem Scenario</a:t>
          </a:r>
        </a:p>
      </xdr:txBody>
    </xdr:sp>
    <xdr:clientData/>
  </xdr:twoCellAnchor>
  <xdr:twoCellAnchor>
    <xdr:from>
      <xdr:col>2</xdr:col>
      <xdr:colOff>164330</xdr:colOff>
      <xdr:row>5</xdr:row>
      <xdr:rowOff>25533</xdr:rowOff>
    </xdr:from>
    <xdr:to>
      <xdr:col>3</xdr:col>
      <xdr:colOff>12102</xdr:colOff>
      <xdr:row>6</xdr:row>
      <xdr:rowOff>5949</xdr:rowOff>
    </xdr:to>
    <xdr:sp macro="" textlink="">
      <xdr:nvSpPr>
        <xdr:cNvPr id="3" name="Rectangle 2">
          <a:extLst>
            <a:ext uri="{FF2B5EF4-FFF2-40B4-BE49-F238E27FC236}">
              <a16:creationId xmlns:a16="http://schemas.microsoft.com/office/drawing/2014/main" id="{2EA8BC97-0678-AC4E-A1F4-03154400CDF4}"/>
            </a:ext>
          </a:extLst>
        </xdr:cNvPr>
        <xdr:cNvSpPr/>
      </xdr:nvSpPr>
      <xdr:spPr>
        <a:xfrm>
          <a:off x="3669530" y="901833"/>
          <a:ext cx="749472" cy="183616"/>
        </a:xfrm>
        <a:prstGeom prst="rect">
          <a:avLst/>
        </a:prstGeom>
        <a:noFill/>
        <a:ln w="19050">
          <a:solidFill>
            <a:srgbClr val="C0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164330</xdr:colOff>
      <xdr:row>5</xdr:row>
      <xdr:rowOff>25533</xdr:rowOff>
    </xdr:from>
    <xdr:to>
      <xdr:col>4</xdr:col>
      <xdr:colOff>12102</xdr:colOff>
      <xdr:row>6</xdr:row>
      <xdr:rowOff>5949</xdr:rowOff>
    </xdr:to>
    <xdr:sp macro="" textlink="">
      <xdr:nvSpPr>
        <xdr:cNvPr id="7" name="Rectangle 6">
          <a:extLst>
            <a:ext uri="{FF2B5EF4-FFF2-40B4-BE49-F238E27FC236}">
              <a16:creationId xmlns:a16="http://schemas.microsoft.com/office/drawing/2014/main" id="{EDE175EE-9EE9-2941-B277-71AFF79682E1}"/>
            </a:ext>
          </a:extLst>
        </xdr:cNvPr>
        <xdr:cNvSpPr/>
      </xdr:nvSpPr>
      <xdr:spPr>
        <a:xfrm>
          <a:off x="4571230" y="901833"/>
          <a:ext cx="838372" cy="183616"/>
        </a:xfrm>
        <a:prstGeom prst="rect">
          <a:avLst/>
        </a:prstGeom>
        <a:noFill/>
        <a:ln w="19050">
          <a:solidFill>
            <a:srgbClr val="C0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161593</xdr:colOff>
      <xdr:row>6</xdr:row>
      <xdr:rowOff>12982</xdr:rowOff>
    </xdr:from>
    <xdr:to>
      <xdr:col>4</xdr:col>
      <xdr:colOff>27222</xdr:colOff>
      <xdr:row>6</xdr:row>
      <xdr:rowOff>191951</xdr:rowOff>
    </xdr:to>
    <xdr:sp macro="" textlink="">
      <xdr:nvSpPr>
        <xdr:cNvPr id="13" name="Rectangle 12">
          <a:extLst>
            <a:ext uri="{FF2B5EF4-FFF2-40B4-BE49-F238E27FC236}">
              <a16:creationId xmlns:a16="http://schemas.microsoft.com/office/drawing/2014/main" id="{343969AF-24E6-E040-9F9F-CA05096FA64D}"/>
            </a:ext>
          </a:extLst>
        </xdr:cNvPr>
        <xdr:cNvSpPr/>
      </xdr:nvSpPr>
      <xdr:spPr>
        <a:xfrm>
          <a:off x="4663037" y="1071315"/>
          <a:ext cx="853407" cy="178969"/>
        </a:xfrm>
        <a:prstGeom prst="rect">
          <a:avLst/>
        </a:prstGeom>
        <a:noFill/>
        <a:ln w="19050">
          <a:solidFill>
            <a:schemeClr val="accent5">
              <a:lumMod val="7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20682</xdr:colOff>
      <xdr:row>14</xdr:row>
      <xdr:rowOff>90895</xdr:rowOff>
    </xdr:from>
    <xdr:to>
      <xdr:col>36</xdr:col>
      <xdr:colOff>291974</xdr:colOff>
      <xdr:row>29</xdr:row>
      <xdr:rowOff>82078</xdr:rowOff>
    </xdr:to>
    <xdr:graphicFrame macro="">
      <xdr:nvGraphicFramePr>
        <xdr:cNvPr id="6" name="Chart 1">
          <a:extLst>
            <a:ext uri="{FF2B5EF4-FFF2-40B4-BE49-F238E27FC236}">
              <a16:creationId xmlns:a16="http://schemas.microsoft.com/office/drawing/2014/main" id="{58D73D73-5D8F-4120-A6AD-7A77453F4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432072</xdr:colOff>
      <xdr:row>31</xdr:row>
      <xdr:rowOff>76948</xdr:rowOff>
    </xdr:from>
    <xdr:to>
      <xdr:col>36</xdr:col>
      <xdr:colOff>435399</xdr:colOff>
      <xdr:row>44</xdr:row>
      <xdr:rowOff>79182</xdr:rowOff>
    </xdr:to>
    <xdr:graphicFrame macro="">
      <xdr:nvGraphicFramePr>
        <xdr:cNvPr id="11" name="Chart 2">
          <a:extLst>
            <a:ext uri="{FF2B5EF4-FFF2-40B4-BE49-F238E27FC236}">
              <a16:creationId xmlns:a16="http://schemas.microsoft.com/office/drawing/2014/main" id="{CD7F311D-E0CC-4AE1-B8DD-56C927F123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0.13339</cdr:x>
      <cdr:y>0</cdr:y>
    </cdr:from>
    <cdr:to>
      <cdr:x>0.47393</cdr:x>
      <cdr:y>0.1003</cdr:y>
    </cdr:to>
    <cdr:sp macro="" textlink="">
      <cdr:nvSpPr>
        <cdr:cNvPr id="4" name="Rectangle 3">
          <a:extLst xmlns:a="http://schemas.openxmlformats.org/drawingml/2006/main">
            <a:ext uri="{FF2B5EF4-FFF2-40B4-BE49-F238E27FC236}">
              <a16:creationId xmlns:a16="http://schemas.microsoft.com/office/drawing/2014/main" id="{CBB81B2A-B550-4864-9E9C-A2C9774C6577}"/>
            </a:ext>
          </a:extLst>
        </cdr:cNvPr>
        <cdr:cNvSpPr/>
      </cdr:nvSpPr>
      <cdr:spPr>
        <a:xfrm xmlns:a="http://schemas.openxmlformats.org/drawingml/2006/main">
          <a:off x="904871" y="0"/>
          <a:ext cx="2310103" cy="485083"/>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1"/>
        </a:fontRef>
      </cdr:style>
      <cdr:txBody>
        <a:bodyPr xmlns:a="http://schemas.openxmlformats.org/drawingml/2006/main"/>
        <a:lstStyle xmlns:a="http://schemas.openxmlformats.org/drawingml/2006/main">
          <a:lvl1pPr marL="0" indent="0">
            <a:defRPr sz="1100">
              <a:solidFill>
                <a:schemeClr val="accent1"/>
              </a:solidFill>
              <a:latin typeface="+mn-lt"/>
              <a:ea typeface="+mn-ea"/>
              <a:cs typeface="+mn-cs"/>
            </a:defRPr>
          </a:lvl1pPr>
          <a:lvl2pPr marL="457200" indent="0">
            <a:defRPr sz="1100">
              <a:solidFill>
                <a:schemeClr val="accent1"/>
              </a:solidFill>
              <a:latin typeface="+mn-lt"/>
              <a:ea typeface="+mn-ea"/>
              <a:cs typeface="+mn-cs"/>
            </a:defRPr>
          </a:lvl2pPr>
          <a:lvl3pPr marL="914400" indent="0">
            <a:defRPr sz="1100">
              <a:solidFill>
                <a:schemeClr val="accent1"/>
              </a:solidFill>
              <a:latin typeface="+mn-lt"/>
              <a:ea typeface="+mn-ea"/>
              <a:cs typeface="+mn-cs"/>
            </a:defRPr>
          </a:lvl3pPr>
          <a:lvl4pPr marL="1371600" indent="0">
            <a:defRPr sz="1100">
              <a:solidFill>
                <a:schemeClr val="accent1"/>
              </a:solidFill>
              <a:latin typeface="+mn-lt"/>
              <a:ea typeface="+mn-ea"/>
              <a:cs typeface="+mn-cs"/>
            </a:defRPr>
          </a:lvl4pPr>
          <a:lvl5pPr marL="1828800" indent="0">
            <a:defRPr sz="1100">
              <a:solidFill>
                <a:schemeClr val="accent1"/>
              </a:solidFill>
              <a:latin typeface="+mn-lt"/>
              <a:ea typeface="+mn-ea"/>
              <a:cs typeface="+mn-cs"/>
            </a:defRPr>
          </a:lvl5pPr>
          <a:lvl6pPr marL="2286000" indent="0">
            <a:defRPr sz="1100">
              <a:solidFill>
                <a:schemeClr val="accent1"/>
              </a:solidFill>
              <a:latin typeface="+mn-lt"/>
              <a:ea typeface="+mn-ea"/>
              <a:cs typeface="+mn-cs"/>
            </a:defRPr>
          </a:lvl6pPr>
          <a:lvl7pPr marL="2743200" indent="0">
            <a:defRPr sz="1100">
              <a:solidFill>
                <a:schemeClr val="accent1"/>
              </a:solidFill>
              <a:latin typeface="+mn-lt"/>
              <a:ea typeface="+mn-ea"/>
              <a:cs typeface="+mn-cs"/>
            </a:defRPr>
          </a:lvl7pPr>
          <a:lvl8pPr marL="3200400" indent="0">
            <a:defRPr sz="1100">
              <a:solidFill>
                <a:schemeClr val="accent1"/>
              </a:solidFill>
              <a:latin typeface="+mn-lt"/>
              <a:ea typeface="+mn-ea"/>
              <a:cs typeface="+mn-cs"/>
            </a:defRPr>
          </a:lvl8pPr>
          <a:lvl9pPr marL="3657600" indent="0">
            <a:defRPr sz="1100">
              <a:solidFill>
                <a:schemeClr val="accent1"/>
              </a:solidFill>
              <a:latin typeface="+mn-lt"/>
              <a:ea typeface="+mn-ea"/>
              <a:cs typeface="+mn-cs"/>
            </a:defRPr>
          </a:lvl9pPr>
        </a:lstStyle>
        <a:p xmlns:a="http://schemas.openxmlformats.org/drawingml/2006/main">
          <a:endParaRPr lang="en-US">
            <a:solidFill>
              <a:schemeClr val="tx1"/>
            </a:solidFill>
          </a:endParaRPr>
        </a:p>
      </cdr:txBody>
    </cdr:sp>
  </cdr:relSizeAnchor>
  <cdr:relSizeAnchor xmlns:cdr="http://schemas.openxmlformats.org/drawingml/2006/chartDrawing">
    <cdr:from>
      <cdr:x>0.80327</cdr:x>
      <cdr:y>0.15846</cdr:y>
    </cdr:from>
    <cdr:to>
      <cdr:x>0.98724</cdr:x>
      <cdr:y>0.24324</cdr:y>
    </cdr:to>
    <cdr:sp macro="" textlink="">
      <cdr:nvSpPr>
        <cdr:cNvPr id="2" name="TextBox 1">
          <a:extLst xmlns:a="http://schemas.openxmlformats.org/drawingml/2006/main">
            <a:ext uri="{FF2B5EF4-FFF2-40B4-BE49-F238E27FC236}">
              <a16:creationId xmlns:a16="http://schemas.microsoft.com/office/drawing/2014/main" id="{3C471344-16DB-207D-83FF-83200030F0D1}"/>
            </a:ext>
          </a:extLst>
        </cdr:cNvPr>
        <cdr:cNvSpPr txBox="1"/>
      </cdr:nvSpPr>
      <cdr:spPr>
        <a:xfrm xmlns:a="http://schemas.openxmlformats.org/drawingml/2006/main">
          <a:off x="5740100" y="460123"/>
          <a:ext cx="1314637" cy="246179"/>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nchor="ctr"/>
        <a:lstStyle xmlns:a="http://schemas.openxmlformats.org/drawingml/2006/main"/>
        <a:p xmlns:a="http://schemas.openxmlformats.org/drawingml/2006/main">
          <a:pPr algn="r"/>
          <a:r>
            <a:rPr lang="en-US" sz="1100" b="1" kern="1200">
              <a:solidFill>
                <a:schemeClr val="accent2"/>
              </a:solidFill>
            </a:rPr>
            <a:t>On-prem Scenario</a:t>
          </a:r>
        </a:p>
      </cdr:txBody>
    </cdr:sp>
  </cdr:relSizeAnchor>
</c:userShapes>
</file>

<file path=xl/drawings/drawing7.xml><?xml version="1.0" encoding="utf-8"?>
<c:userShapes xmlns:c="http://schemas.openxmlformats.org/drawingml/2006/chart">
  <cdr:relSizeAnchor xmlns:cdr="http://schemas.openxmlformats.org/drawingml/2006/chartDrawing">
    <cdr:from>
      <cdr:x>0.13339</cdr:x>
      <cdr:y>0</cdr:y>
    </cdr:from>
    <cdr:to>
      <cdr:x>0.47393</cdr:x>
      <cdr:y>0.1003</cdr:y>
    </cdr:to>
    <cdr:sp macro="" textlink="">
      <cdr:nvSpPr>
        <cdr:cNvPr id="4" name="Rectangle 3">
          <a:extLst xmlns:a="http://schemas.openxmlformats.org/drawingml/2006/main">
            <a:ext uri="{FF2B5EF4-FFF2-40B4-BE49-F238E27FC236}">
              <a16:creationId xmlns:a16="http://schemas.microsoft.com/office/drawing/2014/main" id="{CBB81B2A-B550-4864-9E9C-A2C9774C6577}"/>
            </a:ext>
          </a:extLst>
        </cdr:cNvPr>
        <cdr:cNvSpPr/>
      </cdr:nvSpPr>
      <cdr:spPr>
        <a:xfrm xmlns:a="http://schemas.openxmlformats.org/drawingml/2006/main">
          <a:off x="904871" y="0"/>
          <a:ext cx="2310103" cy="485083"/>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1"/>
        </a:fontRef>
      </cdr:style>
      <cdr:txBody>
        <a:bodyPr xmlns:a="http://schemas.openxmlformats.org/drawingml/2006/main"/>
        <a:lstStyle xmlns:a="http://schemas.openxmlformats.org/drawingml/2006/main">
          <a:lvl1pPr marL="0" indent="0">
            <a:defRPr sz="1100">
              <a:solidFill>
                <a:schemeClr val="accent1"/>
              </a:solidFill>
              <a:latin typeface="+mn-lt"/>
              <a:ea typeface="+mn-ea"/>
              <a:cs typeface="+mn-cs"/>
            </a:defRPr>
          </a:lvl1pPr>
          <a:lvl2pPr marL="457200" indent="0">
            <a:defRPr sz="1100">
              <a:solidFill>
                <a:schemeClr val="accent1"/>
              </a:solidFill>
              <a:latin typeface="+mn-lt"/>
              <a:ea typeface="+mn-ea"/>
              <a:cs typeface="+mn-cs"/>
            </a:defRPr>
          </a:lvl2pPr>
          <a:lvl3pPr marL="914400" indent="0">
            <a:defRPr sz="1100">
              <a:solidFill>
                <a:schemeClr val="accent1"/>
              </a:solidFill>
              <a:latin typeface="+mn-lt"/>
              <a:ea typeface="+mn-ea"/>
              <a:cs typeface="+mn-cs"/>
            </a:defRPr>
          </a:lvl3pPr>
          <a:lvl4pPr marL="1371600" indent="0">
            <a:defRPr sz="1100">
              <a:solidFill>
                <a:schemeClr val="accent1"/>
              </a:solidFill>
              <a:latin typeface="+mn-lt"/>
              <a:ea typeface="+mn-ea"/>
              <a:cs typeface="+mn-cs"/>
            </a:defRPr>
          </a:lvl4pPr>
          <a:lvl5pPr marL="1828800" indent="0">
            <a:defRPr sz="1100">
              <a:solidFill>
                <a:schemeClr val="accent1"/>
              </a:solidFill>
              <a:latin typeface="+mn-lt"/>
              <a:ea typeface="+mn-ea"/>
              <a:cs typeface="+mn-cs"/>
            </a:defRPr>
          </a:lvl5pPr>
          <a:lvl6pPr marL="2286000" indent="0">
            <a:defRPr sz="1100">
              <a:solidFill>
                <a:schemeClr val="accent1"/>
              </a:solidFill>
              <a:latin typeface="+mn-lt"/>
              <a:ea typeface="+mn-ea"/>
              <a:cs typeface="+mn-cs"/>
            </a:defRPr>
          </a:lvl6pPr>
          <a:lvl7pPr marL="2743200" indent="0">
            <a:defRPr sz="1100">
              <a:solidFill>
                <a:schemeClr val="accent1"/>
              </a:solidFill>
              <a:latin typeface="+mn-lt"/>
              <a:ea typeface="+mn-ea"/>
              <a:cs typeface="+mn-cs"/>
            </a:defRPr>
          </a:lvl7pPr>
          <a:lvl8pPr marL="3200400" indent="0">
            <a:defRPr sz="1100">
              <a:solidFill>
                <a:schemeClr val="accent1"/>
              </a:solidFill>
              <a:latin typeface="+mn-lt"/>
              <a:ea typeface="+mn-ea"/>
              <a:cs typeface="+mn-cs"/>
            </a:defRPr>
          </a:lvl8pPr>
          <a:lvl9pPr marL="3657600" indent="0">
            <a:defRPr sz="1100">
              <a:solidFill>
                <a:schemeClr val="accent1"/>
              </a:solidFill>
              <a:latin typeface="+mn-lt"/>
              <a:ea typeface="+mn-ea"/>
              <a:cs typeface="+mn-cs"/>
            </a:defRPr>
          </a:lvl9pPr>
        </a:lstStyle>
        <a:p xmlns:a="http://schemas.openxmlformats.org/drawingml/2006/main">
          <a:endParaRPr lang="en-US">
            <a:solidFill>
              <a:schemeClr val="tx1"/>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0.13339</cdr:x>
      <cdr:y>0</cdr:y>
    </cdr:from>
    <cdr:to>
      <cdr:x>0.47393</cdr:x>
      <cdr:y>0.1003</cdr:y>
    </cdr:to>
    <cdr:sp macro="" textlink="">
      <cdr:nvSpPr>
        <cdr:cNvPr id="4" name="Rectangle 3">
          <a:extLst xmlns:a="http://schemas.openxmlformats.org/drawingml/2006/main">
            <a:ext uri="{FF2B5EF4-FFF2-40B4-BE49-F238E27FC236}">
              <a16:creationId xmlns:a16="http://schemas.microsoft.com/office/drawing/2014/main" id="{CBB81B2A-B550-4864-9E9C-A2C9774C6577}"/>
            </a:ext>
          </a:extLst>
        </cdr:cNvPr>
        <cdr:cNvSpPr/>
      </cdr:nvSpPr>
      <cdr:spPr>
        <a:xfrm xmlns:a="http://schemas.openxmlformats.org/drawingml/2006/main">
          <a:off x="904871" y="0"/>
          <a:ext cx="2310103" cy="485083"/>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1"/>
        </a:fontRef>
      </cdr:style>
      <cdr:txBody>
        <a:bodyPr xmlns:a="http://schemas.openxmlformats.org/drawingml/2006/main"/>
        <a:lstStyle xmlns:a="http://schemas.openxmlformats.org/drawingml/2006/main">
          <a:lvl1pPr marL="0" indent="0">
            <a:defRPr sz="1100">
              <a:solidFill>
                <a:schemeClr val="accent1"/>
              </a:solidFill>
              <a:latin typeface="+mn-lt"/>
              <a:ea typeface="+mn-ea"/>
              <a:cs typeface="+mn-cs"/>
            </a:defRPr>
          </a:lvl1pPr>
          <a:lvl2pPr marL="457200" indent="0">
            <a:defRPr sz="1100">
              <a:solidFill>
                <a:schemeClr val="accent1"/>
              </a:solidFill>
              <a:latin typeface="+mn-lt"/>
              <a:ea typeface="+mn-ea"/>
              <a:cs typeface="+mn-cs"/>
            </a:defRPr>
          </a:lvl2pPr>
          <a:lvl3pPr marL="914400" indent="0">
            <a:defRPr sz="1100">
              <a:solidFill>
                <a:schemeClr val="accent1"/>
              </a:solidFill>
              <a:latin typeface="+mn-lt"/>
              <a:ea typeface="+mn-ea"/>
              <a:cs typeface="+mn-cs"/>
            </a:defRPr>
          </a:lvl3pPr>
          <a:lvl4pPr marL="1371600" indent="0">
            <a:defRPr sz="1100">
              <a:solidFill>
                <a:schemeClr val="accent1"/>
              </a:solidFill>
              <a:latin typeface="+mn-lt"/>
              <a:ea typeface="+mn-ea"/>
              <a:cs typeface="+mn-cs"/>
            </a:defRPr>
          </a:lvl4pPr>
          <a:lvl5pPr marL="1828800" indent="0">
            <a:defRPr sz="1100">
              <a:solidFill>
                <a:schemeClr val="accent1"/>
              </a:solidFill>
              <a:latin typeface="+mn-lt"/>
              <a:ea typeface="+mn-ea"/>
              <a:cs typeface="+mn-cs"/>
            </a:defRPr>
          </a:lvl5pPr>
          <a:lvl6pPr marL="2286000" indent="0">
            <a:defRPr sz="1100">
              <a:solidFill>
                <a:schemeClr val="accent1"/>
              </a:solidFill>
              <a:latin typeface="+mn-lt"/>
              <a:ea typeface="+mn-ea"/>
              <a:cs typeface="+mn-cs"/>
            </a:defRPr>
          </a:lvl6pPr>
          <a:lvl7pPr marL="2743200" indent="0">
            <a:defRPr sz="1100">
              <a:solidFill>
                <a:schemeClr val="accent1"/>
              </a:solidFill>
              <a:latin typeface="+mn-lt"/>
              <a:ea typeface="+mn-ea"/>
              <a:cs typeface="+mn-cs"/>
            </a:defRPr>
          </a:lvl7pPr>
          <a:lvl8pPr marL="3200400" indent="0">
            <a:defRPr sz="1100">
              <a:solidFill>
                <a:schemeClr val="accent1"/>
              </a:solidFill>
              <a:latin typeface="+mn-lt"/>
              <a:ea typeface="+mn-ea"/>
              <a:cs typeface="+mn-cs"/>
            </a:defRPr>
          </a:lvl8pPr>
          <a:lvl9pPr marL="3657600" indent="0">
            <a:defRPr sz="1100">
              <a:solidFill>
                <a:schemeClr val="accent1"/>
              </a:solidFill>
              <a:latin typeface="+mn-lt"/>
              <a:ea typeface="+mn-ea"/>
              <a:cs typeface="+mn-cs"/>
            </a:defRPr>
          </a:lvl9pPr>
        </a:lstStyle>
        <a:p xmlns:a="http://schemas.openxmlformats.org/drawingml/2006/main">
          <a:endParaRPr lang="en-US">
            <a:solidFill>
              <a:schemeClr val="tx1"/>
            </a:solidFill>
          </a:endParaRPr>
        </a:p>
      </cdr:txBody>
    </cdr:sp>
  </cdr:relSizeAnchor>
  <cdr:relSizeAnchor xmlns:cdr="http://schemas.openxmlformats.org/drawingml/2006/chartDrawing">
    <cdr:from>
      <cdr:x>0.80327</cdr:x>
      <cdr:y>0.15846</cdr:y>
    </cdr:from>
    <cdr:to>
      <cdr:x>0.98724</cdr:x>
      <cdr:y>0.24324</cdr:y>
    </cdr:to>
    <cdr:sp macro="" textlink="">
      <cdr:nvSpPr>
        <cdr:cNvPr id="2" name="TextBox 1">
          <a:extLst xmlns:a="http://schemas.openxmlformats.org/drawingml/2006/main">
            <a:ext uri="{FF2B5EF4-FFF2-40B4-BE49-F238E27FC236}">
              <a16:creationId xmlns:a16="http://schemas.microsoft.com/office/drawing/2014/main" id="{3C471344-16DB-207D-83FF-83200030F0D1}"/>
            </a:ext>
          </a:extLst>
        </cdr:cNvPr>
        <cdr:cNvSpPr txBox="1"/>
      </cdr:nvSpPr>
      <cdr:spPr>
        <a:xfrm xmlns:a="http://schemas.openxmlformats.org/drawingml/2006/main">
          <a:off x="5740100" y="460123"/>
          <a:ext cx="1314637" cy="246179"/>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nchor="ctr"/>
        <a:lstStyle xmlns:a="http://schemas.openxmlformats.org/drawingml/2006/main"/>
        <a:p xmlns:a="http://schemas.openxmlformats.org/drawingml/2006/main">
          <a:pPr algn="r"/>
          <a:r>
            <a:rPr lang="en-US" sz="1100" b="1" kern="1200">
              <a:solidFill>
                <a:schemeClr val="accent2"/>
              </a:solidFill>
            </a:rPr>
            <a:t>On-prem Scenario</a:t>
          </a:r>
        </a:p>
      </cdr:txBody>
    </cdr:sp>
  </cdr:relSizeAnchor>
</c:userShapes>
</file>

<file path=xl/drawings/drawing9.xml><?xml version="1.0" encoding="utf-8"?>
<c:userShapes xmlns:c="http://schemas.openxmlformats.org/drawingml/2006/chart">
  <cdr:relSizeAnchor xmlns:cdr="http://schemas.openxmlformats.org/drawingml/2006/chartDrawing">
    <cdr:from>
      <cdr:x>0.13339</cdr:x>
      <cdr:y>0</cdr:y>
    </cdr:from>
    <cdr:to>
      <cdr:x>0.47393</cdr:x>
      <cdr:y>0.1003</cdr:y>
    </cdr:to>
    <cdr:sp macro="" textlink="">
      <cdr:nvSpPr>
        <cdr:cNvPr id="4" name="Rectangle 3">
          <a:extLst xmlns:a="http://schemas.openxmlformats.org/drawingml/2006/main">
            <a:ext uri="{FF2B5EF4-FFF2-40B4-BE49-F238E27FC236}">
              <a16:creationId xmlns:a16="http://schemas.microsoft.com/office/drawing/2014/main" id="{CBB81B2A-B550-4864-9E9C-A2C9774C6577}"/>
            </a:ext>
          </a:extLst>
        </cdr:cNvPr>
        <cdr:cNvSpPr/>
      </cdr:nvSpPr>
      <cdr:spPr>
        <a:xfrm xmlns:a="http://schemas.openxmlformats.org/drawingml/2006/main">
          <a:off x="904871" y="0"/>
          <a:ext cx="2310103" cy="485083"/>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1"/>
        </a:fontRef>
      </cdr:style>
      <cdr:txBody>
        <a:bodyPr xmlns:a="http://schemas.openxmlformats.org/drawingml/2006/main"/>
        <a:lstStyle xmlns:a="http://schemas.openxmlformats.org/drawingml/2006/main">
          <a:lvl1pPr marL="0" indent="0">
            <a:defRPr sz="1100">
              <a:solidFill>
                <a:schemeClr val="accent1"/>
              </a:solidFill>
              <a:latin typeface="+mn-lt"/>
              <a:ea typeface="+mn-ea"/>
              <a:cs typeface="+mn-cs"/>
            </a:defRPr>
          </a:lvl1pPr>
          <a:lvl2pPr marL="457200" indent="0">
            <a:defRPr sz="1100">
              <a:solidFill>
                <a:schemeClr val="accent1"/>
              </a:solidFill>
              <a:latin typeface="+mn-lt"/>
              <a:ea typeface="+mn-ea"/>
              <a:cs typeface="+mn-cs"/>
            </a:defRPr>
          </a:lvl2pPr>
          <a:lvl3pPr marL="914400" indent="0">
            <a:defRPr sz="1100">
              <a:solidFill>
                <a:schemeClr val="accent1"/>
              </a:solidFill>
              <a:latin typeface="+mn-lt"/>
              <a:ea typeface="+mn-ea"/>
              <a:cs typeface="+mn-cs"/>
            </a:defRPr>
          </a:lvl3pPr>
          <a:lvl4pPr marL="1371600" indent="0">
            <a:defRPr sz="1100">
              <a:solidFill>
                <a:schemeClr val="accent1"/>
              </a:solidFill>
              <a:latin typeface="+mn-lt"/>
              <a:ea typeface="+mn-ea"/>
              <a:cs typeface="+mn-cs"/>
            </a:defRPr>
          </a:lvl4pPr>
          <a:lvl5pPr marL="1828800" indent="0">
            <a:defRPr sz="1100">
              <a:solidFill>
                <a:schemeClr val="accent1"/>
              </a:solidFill>
              <a:latin typeface="+mn-lt"/>
              <a:ea typeface="+mn-ea"/>
              <a:cs typeface="+mn-cs"/>
            </a:defRPr>
          </a:lvl5pPr>
          <a:lvl6pPr marL="2286000" indent="0">
            <a:defRPr sz="1100">
              <a:solidFill>
                <a:schemeClr val="accent1"/>
              </a:solidFill>
              <a:latin typeface="+mn-lt"/>
              <a:ea typeface="+mn-ea"/>
              <a:cs typeface="+mn-cs"/>
            </a:defRPr>
          </a:lvl6pPr>
          <a:lvl7pPr marL="2743200" indent="0">
            <a:defRPr sz="1100">
              <a:solidFill>
                <a:schemeClr val="accent1"/>
              </a:solidFill>
              <a:latin typeface="+mn-lt"/>
              <a:ea typeface="+mn-ea"/>
              <a:cs typeface="+mn-cs"/>
            </a:defRPr>
          </a:lvl7pPr>
          <a:lvl8pPr marL="3200400" indent="0">
            <a:defRPr sz="1100">
              <a:solidFill>
                <a:schemeClr val="accent1"/>
              </a:solidFill>
              <a:latin typeface="+mn-lt"/>
              <a:ea typeface="+mn-ea"/>
              <a:cs typeface="+mn-cs"/>
            </a:defRPr>
          </a:lvl8pPr>
          <a:lvl9pPr marL="3657600" indent="0">
            <a:defRPr sz="1100">
              <a:solidFill>
                <a:schemeClr val="accent1"/>
              </a:solidFill>
              <a:latin typeface="+mn-lt"/>
              <a:ea typeface="+mn-ea"/>
              <a:cs typeface="+mn-cs"/>
            </a:defRPr>
          </a:lvl9pPr>
        </a:lstStyle>
        <a:p xmlns:a="http://schemas.openxmlformats.org/drawingml/2006/main">
          <a:endParaRPr lang="en-US">
            <a:solidFill>
              <a:schemeClr val="tx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9</xdr:col>
      <xdr:colOff>209549</xdr:colOff>
      <xdr:row>4</xdr:row>
      <xdr:rowOff>9526</xdr:rowOff>
    </xdr:from>
    <xdr:to>
      <xdr:col>18</xdr:col>
      <xdr:colOff>146049</xdr:colOff>
      <xdr:row>32</xdr:row>
      <xdr:rowOff>9526</xdr:rowOff>
    </xdr:to>
    <xdr:graphicFrame macro="">
      <xdr:nvGraphicFramePr>
        <xdr:cNvPr id="3" name="Payback">
          <a:extLst>
            <a:ext uri="{FF2B5EF4-FFF2-40B4-BE49-F238E27FC236}">
              <a16:creationId xmlns:a16="http://schemas.microsoft.com/office/drawing/2014/main" id="{4693C371-AF1B-4BA6-9D40-8D1F7CD92F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15</xdr:col>
      <xdr:colOff>486305</xdr:colOff>
      <xdr:row>2</xdr:row>
      <xdr:rowOff>180975</xdr:rowOff>
    </xdr:from>
    <xdr:to>
      <xdr:col>22</xdr:col>
      <xdr:colOff>91016</xdr:colOff>
      <xdr:row>50</xdr:row>
      <xdr:rowOff>0</xdr:rowOff>
    </xdr:to>
    <xdr:graphicFrame macro="">
      <xdr:nvGraphicFramePr>
        <xdr:cNvPr id="2" name="Chart 1">
          <a:extLst>
            <a:ext uri="{FF2B5EF4-FFF2-40B4-BE49-F238E27FC236}">
              <a16:creationId xmlns:a16="http://schemas.microsoft.com/office/drawing/2014/main" id="{45CEEA25-24C5-40E9-87CE-8E9C209312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454024</xdr:colOff>
      <xdr:row>3</xdr:row>
      <xdr:rowOff>0</xdr:rowOff>
    </xdr:from>
    <xdr:to>
      <xdr:col>20</xdr:col>
      <xdr:colOff>312965</xdr:colOff>
      <xdr:row>17</xdr:row>
      <xdr:rowOff>30752</xdr:rowOff>
    </xdr:to>
    <xdr:graphicFrame macro="">
      <xdr:nvGraphicFramePr>
        <xdr:cNvPr id="3" name="Summary">
          <a:extLst>
            <a:ext uri="{FF2B5EF4-FFF2-40B4-BE49-F238E27FC236}">
              <a16:creationId xmlns:a16="http://schemas.microsoft.com/office/drawing/2014/main" id="{10353C03-9FC7-47A3-BB50-0C0BC5DE9B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454023</xdr:colOff>
      <xdr:row>19</xdr:row>
      <xdr:rowOff>0</xdr:rowOff>
    </xdr:from>
    <xdr:to>
      <xdr:col>20</xdr:col>
      <xdr:colOff>360589</xdr:colOff>
      <xdr:row>38</xdr:row>
      <xdr:rowOff>30752</xdr:rowOff>
    </xdr:to>
    <xdr:graphicFrame macro="">
      <xdr:nvGraphicFramePr>
        <xdr:cNvPr id="2" name="Transformation">
          <a:extLst>
            <a:ext uri="{FF2B5EF4-FFF2-40B4-BE49-F238E27FC236}">
              <a16:creationId xmlns:a16="http://schemas.microsoft.com/office/drawing/2014/main" id="{01B8E1CE-4930-407D-A3C1-FFA5256E2C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590550</xdr:colOff>
      <xdr:row>16</xdr:row>
      <xdr:rowOff>28575</xdr:rowOff>
    </xdr:from>
    <xdr:to>
      <xdr:col>16</xdr:col>
      <xdr:colOff>1152525</xdr:colOff>
      <xdr:row>31</xdr:row>
      <xdr:rowOff>57150</xdr:rowOff>
    </xdr:to>
    <xdr:graphicFrame macro="">
      <xdr:nvGraphicFramePr>
        <xdr:cNvPr id="2" name="Chart 1">
          <a:extLst>
            <a:ext uri="{FF2B5EF4-FFF2-40B4-BE49-F238E27FC236}">
              <a16:creationId xmlns:a16="http://schemas.microsoft.com/office/drawing/2014/main" id="{62CED869-7895-4A1B-A243-28E62668B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238125</xdr:colOff>
      <xdr:row>20</xdr:row>
      <xdr:rowOff>38101</xdr:rowOff>
    </xdr:from>
    <xdr:to>
      <xdr:col>15</xdr:col>
      <xdr:colOff>19050</xdr:colOff>
      <xdr:row>38</xdr:row>
      <xdr:rowOff>26988</xdr:rowOff>
    </xdr:to>
    <xdr:graphicFrame macro="">
      <xdr:nvGraphicFramePr>
        <xdr:cNvPr id="4" name="Chart 3">
          <a:extLst>
            <a:ext uri="{FF2B5EF4-FFF2-40B4-BE49-F238E27FC236}">
              <a16:creationId xmlns:a16="http://schemas.microsoft.com/office/drawing/2014/main" id="{77B96D87-18E3-EBEC-7CB1-6F55DAC003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17</xdr:col>
      <xdr:colOff>438943</xdr:colOff>
      <xdr:row>4</xdr:row>
      <xdr:rowOff>74612</xdr:rowOff>
    </xdr:from>
    <xdr:to>
      <xdr:col>29</xdr:col>
      <xdr:colOff>149225</xdr:colOff>
      <xdr:row>18</xdr:row>
      <xdr:rowOff>57150</xdr:rowOff>
    </xdr:to>
    <xdr:graphicFrame macro="">
      <xdr:nvGraphicFramePr>
        <xdr:cNvPr id="2" name="Chart 1">
          <a:extLst>
            <a:ext uri="{FF2B5EF4-FFF2-40B4-BE49-F238E27FC236}">
              <a16:creationId xmlns:a16="http://schemas.microsoft.com/office/drawing/2014/main" id="{F0AF5994-29D9-4B3B-9F6F-CF2D820ED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438943</xdr:colOff>
      <xdr:row>21</xdr:row>
      <xdr:rowOff>168275</xdr:rowOff>
    </xdr:from>
    <xdr:to>
      <xdr:col>29</xdr:col>
      <xdr:colOff>146050</xdr:colOff>
      <xdr:row>35</xdr:row>
      <xdr:rowOff>150813</xdr:rowOff>
    </xdr:to>
    <xdr:graphicFrame macro="">
      <xdr:nvGraphicFramePr>
        <xdr:cNvPr id="3" name="Chart 2">
          <a:extLst>
            <a:ext uri="{FF2B5EF4-FFF2-40B4-BE49-F238E27FC236}">
              <a16:creationId xmlns:a16="http://schemas.microsoft.com/office/drawing/2014/main" id="{322AB174-DD9A-4904-8CEE-B3E85ACCF0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114012</xdr:colOff>
      <xdr:row>1</xdr:row>
      <xdr:rowOff>32904</xdr:rowOff>
    </xdr:from>
    <xdr:to>
      <xdr:col>9</xdr:col>
      <xdr:colOff>165966</xdr:colOff>
      <xdr:row>16</xdr:row>
      <xdr:rowOff>0</xdr:rowOff>
    </xdr:to>
    <xdr:graphicFrame macro="">
      <xdr:nvGraphicFramePr>
        <xdr:cNvPr id="2" name="Chart 3">
          <a:extLst>
            <a:ext uri="{FF2B5EF4-FFF2-40B4-BE49-F238E27FC236}">
              <a16:creationId xmlns:a16="http://schemas.microsoft.com/office/drawing/2014/main" id="{A6E270E1-53F4-4CEF-A0CF-F1BDAB1538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268522</xdr:colOff>
      <xdr:row>1</xdr:row>
      <xdr:rowOff>33002</xdr:rowOff>
    </xdr:from>
    <xdr:to>
      <xdr:col>14</xdr:col>
      <xdr:colOff>19791</xdr:colOff>
      <xdr:row>16</xdr:row>
      <xdr:rowOff>4948</xdr:rowOff>
    </xdr:to>
    <xdr:graphicFrame macro="">
      <xdr:nvGraphicFramePr>
        <xdr:cNvPr id="3" name="Chart 2">
          <a:extLst>
            <a:ext uri="{FF2B5EF4-FFF2-40B4-BE49-F238E27FC236}">
              <a16:creationId xmlns:a16="http://schemas.microsoft.com/office/drawing/2014/main" id="{21D3FC0C-2D63-41EC-A74E-61F8CF4F59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2</xdr:col>
      <xdr:colOff>93618</xdr:colOff>
      <xdr:row>49</xdr:row>
      <xdr:rowOff>79830</xdr:rowOff>
    </xdr:from>
    <xdr:to>
      <xdr:col>12</xdr:col>
      <xdr:colOff>670288</xdr:colOff>
      <xdr:row>66</xdr:row>
      <xdr:rowOff>24827</xdr:rowOff>
    </xdr:to>
    <xdr:graphicFrame macro="">
      <xdr:nvGraphicFramePr>
        <xdr:cNvPr id="2" name="Chart 1">
          <a:extLst>
            <a:ext uri="{FF2B5EF4-FFF2-40B4-BE49-F238E27FC236}">
              <a16:creationId xmlns:a16="http://schemas.microsoft.com/office/drawing/2014/main" id="{8B033B4A-3F3E-4FC2-B4AD-2BA3C067CB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271670</xdr:colOff>
      <xdr:row>49</xdr:row>
      <xdr:rowOff>112644</xdr:rowOff>
    </xdr:from>
    <xdr:to>
      <xdr:col>15</xdr:col>
      <xdr:colOff>4565375</xdr:colOff>
      <xdr:row>66</xdr:row>
      <xdr:rowOff>55432</xdr:rowOff>
    </xdr:to>
    <xdr:graphicFrame macro="">
      <xdr:nvGraphicFramePr>
        <xdr:cNvPr id="4" name="Chart 3">
          <a:extLst>
            <a:ext uri="{FF2B5EF4-FFF2-40B4-BE49-F238E27FC236}">
              <a16:creationId xmlns:a16="http://schemas.microsoft.com/office/drawing/2014/main" id="{4A2B890D-F7B4-7D44-B0B2-FEF9A61BE7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349250</xdr:colOff>
      <xdr:row>0</xdr:row>
      <xdr:rowOff>137583</xdr:rowOff>
    </xdr:from>
    <xdr:to>
      <xdr:col>10</xdr:col>
      <xdr:colOff>772583</xdr:colOff>
      <xdr:row>2</xdr:row>
      <xdr:rowOff>116417</xdr:rowOff>
    </xdr:to>
    <xdr:sp macro="" textlink="">
      <xdr:nvSpPr>
        <xdr:cNvPr id="2" name="Arrow: Down 1">
          <a:extLst>
            <a:ext uri="{FF2B5EF4-FFF2-40B4-BE49-F238E27FC236}">
              <a16:creationId xmlns:a16="http://schemas.microsoft.com/office/drawing/2014/main" id="{0CD30F27-4F3F-EFF6-48F0-2F7FA049BC24}"/>
            </a:ext>
          </a:extLst>
        </xdr:cNvPr>
        <xdr:cNvSpPr/>
      </xdr:nvSpPr>
      <xdr:spPr>
        <a:xfrm>
          <a:off x="13197417" y="137583"/>
          <a:ext cx="423333" cy="370417"/>
        </a:xfrm>
        <a:prstGeom prst="downArrow">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1037166</xdr:colOff>
      <xdr:row>5</xdr:row>
      <xdr:rowOff>95249</xdr:rowOff>
    </xdr:from>
    <xdr:to>
      <xdr:col>1</xdr:col>
      <xdr:colOff>1312333</xdr:colOff>
      <xdr:row>9</xdr:row>
      <xdr:rowOff>10583</xdr:rowOff>
    </xdr:to>
    <xdr:sp macro="" textlink="">
      <xdr:nvSpPr>
        <xdr:cNvPr id="2" name="Right Brace 1">
          <a:extLst>
            <a:ext uri="{FF2B5EF4-FFF2-40B4-BE49-F238E27FC236}">
              <a16:creationId xmlns:a16="http://schemas.microsoft.com/office/drawing/2014/main" id="{FB556BE3-E429-4472-8E5C-0D5C183C3351}"/>
            </a:ext>
          </a:extLst>
        </xdr:cNvPr>
        <xdr:cNvSpPr/>
      </xdr:nvSpPr>
      <xdr:spPr>
        <a:xfrm>
          <a:off x="1100666" y="941916"/>
          <a:ext cx="275167" cy="63500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1</xdr:col>
      <xdr:colOff>1703917</xdr:colOff>
      <xdr:row>267</xdr:row>
      <xdr:rowOff>120650</xdr:rowOff>
    </xdr:from>
    <xdr:to>
      <xdr:col>1</xdr:col>
      <xdr:colOff>1979084</xdr:colOff>
      <xdr:row>271</xdr:row>
      <xdr:rowOff>48684</xdr:rowOff>
    </xdr:to>
    <xdr:sp macro="" textlink="">
      <xdr:nvSpPr>
        <xdr:cNvPr id="3" name="Right Brace 2">
          <a:extLst>
            <a:ext uri="{FF2B5EF4-FFF2-40B4-BE49-F238E27FC236}">
              <a16:creationId xmlns:a16="http://schemas.microsoft.com/office/drawing/2014/main" id="{4C0B11F5-3AED-4FBF-A0C0-5BBA3138449E}"/>
            </a:ext>
          </a:extLst>
        </xdr:cNvPr>
        <xdr:cNvSpPr/>
      </xdr:nvSpPr>
      <xdr:spPr>
        <a:xfrm>
          <a:off x="1767417" y="42263483"/>
          <a:ext cx="275167" cy="732368"/>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wsDr>
</file>

<file path=xl/persons/person.xml><?xml version="1.0" encoding="utf-8"?>
<personList xmlns="http://schemas.microsoft.com/office/spreadsheetml/2018/threadedcomments" xmlns:x="http://schemas.openxmlformats.org/spreadsheetml/2006/main">
  <person displayName="Lauren Bowen" id="{B0B16F86-887B-494B-8CC3-119B45A6C361}" userId="S::laurenbowen@microsoft.com::d6408715-eac2-4770-b1b0-6a966d3a2c6d"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5" dT="2021-08-30T14:16:48.69" personId="{00000000-0000-0000-0000-000000000000}" id="{D960389B-642D-4E9B-813B-15246ED52285}">
    <text>&gt;&gt;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ext>
  </threadedComment>
  <threadedComment ref="C27" dT="2021-08-30T13:08:30.16" personId="{00000000-0000-0000-0000-000000000000}" id="{C0F1DD2D-D6AA-43F6-850A-A48E1BF8F362}">
    <text>&gt;&gt;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ext>
  </threadedComment>
  <threadedComment ref="F162" dT="2021-07-26T11:20:40.13" personId="{00000000-0000-0000-0000-000000000000}" id="{EB3DB1BA-14C3-4C70-9626-2A00EE78289A}">
    <text>Total should be 100%</text>
  </threadedComment>
</ThreadedComments>
</file>

<file path=xl/threadedComments/threadedComment2.xml><?xml version="1.0" encoding="utf-8"?>
<ThreadedComments xmlns="http://schemas.microsoft.com/office/spreadsheetml/2018/threadedcomments" xmlns:x="http://schemas.openxmlformats.org/spreadsheetml/2006/main">
  <threadedComment ref="N3" dT="2021-07-28T07:58:01.91" personId="{00000000-0000-0000-0000-000000000000}" id="{D544BC84-9480-49BC-BFB8-81065912A57C}">
    <text>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ext>
  </threadedComment>
  <threadedComment ref="N4" dT="2021-07-26T09:51:37.89" personId="{00000000-0000-0000-0000-000000000000}" id="{2AACAF1F-3488-4F61-A9F1-E1E06984B1E0}">
    <text>Understand the Consumtion ramp-up if it is not aligned with the Migration ramp-up. Both ramp-ups should be aligned unless there are technical constraintes (ex. AV36 nodes deployment). A misalignment would impact the business case</text>
  </threadedComment>
  <threadedComment ref="D7" dT="2025-05-06T14:10:10.53" personId="{00000000-0000-0000-0000-000000000000}" id="{2BE4650F-BCF3-436F-A9ED-563303DD489E}">
    <text>These cells are used to perform a right-sizing check - take totals from the Azure consumption modeling or from Account team.</text>
  </threadedComment>
  <threadedComment ref="D7" dT="2025-09-19T14:40:11.89" personId="{B0B16F86-887B-494B-8CC3-119B45A6C361}" id="{4A26EE26-A7D6-4B75-A75B-4E34C937D11C}" parentId="{2BE4650F-BCF3-436F-A9ED-563303DD489E}">
    <text>vCPU cell is used to estimate OS licensing costs - ensure appropriate input based on Azure solution (IaaS = vCPU, AVS = pCores)</text>
  </threadedComment>
  <threadedComment ref="G7" dT="2021-07-28T08:06:26.09" personId="{00000000-0000-0000-0000-000000000000}" id="{29BB2B20-BCD1-4882-BCB0-E06445BA2DC9}">
    <text>Pulls "Allocated" values</text>
  </threadedComment>
  <threadedComment ref="J7" dT="2021-07-28T07:59:39.07" personId="{00000000-0000-0000-0000-000000000000}" id="{0FC5CB17-7ADC-4970-93E9-FA874C32D6ED}">
    <text>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ext>
  </threadedComment>
  <threadedComment ref="C38" dT="2021-07-27T12:27:09.82" personId="{00000000-0000-0000-0000-000000000000}" id="{EEF2E3A1-2575-4941-8078-6F0B320FAB5C}">
    <text>If storage capacity for backup is included in the Azure Consumption (Azure scenario), the current costs for backup storage (on-prem or outsourced) will be estimated and inserted in the Status Quo scenario</text>
  </threadedComment>
  <threadedComment ref="C39" dT="2021-07-27T12:27:09.82" personId="{00000000-0000-0000-0000-000000000000}" id="{D76815F6-58AE-44D1-B97E-A89B816EEE25}">
    <text>If storage capacity for backup is included in the Azure Consumption, a software for backup (ex Veeam) is needed. 
In the Azure scenario, the corresponding cost can be either included in the Azure Consumption or retained separately. 
To be comparable, this cost will also be inserted in the Status Quo scenario.</text>
  </threadedComment>
  <threadedComment ref="C45" dT="2021-07-27T12:27:09.82" personId="{00000000-0000-0000-0000-000000000000}" id="{E12E5775-89C8-4520-9034-DE61E804353A}">
    <text>If storage capacity for DR is included in the Azure Consumption (Azure scenario), the current costs for DR storage (on-prem or outsourced) will be estimated and inserted in the Status Quo scenario</text>
  </threadedComment>
  <threadedComment ref="C46" dT="2021-07-27T12:27:09.82" personId="{00000000-0000-0000-0000-000000000000}" id="{D3B512BB-7CD1-4ADE-BAB2-FAB62479623A}">
    <text>If storage capacity for DR is included in the Azure Consumption, a software for DR (ex JetStream) is needed. 
In the Azure scenario, the corresponding cost can be either included in the Azure Consumption or retained separately. 
To be comparable, this cost will also be inserted in the Status Quo scenario.</text>
  </threadedComment>
</ThreadedComments>
</file>

<file path=xl/threadedComments/threadedComment3.xml><?xml version="1.0" encoding="utf-8"?>
<ThreadedComments xmlns="http://schemas.microsoft.com/office/spreadsheetml/2018/threadedcomments" xmlns:x="http://schemas.openxmlformats.org/spreadsheetml/2006/main">
  <threadedComment ref="N3" dT="2021-07-28T07:58:01.91" personId="{00000000-0000-0000-0000-000000000000}" id="{7751CA25-DCA4-48D3-B67C-B7FDA0CD7BA7}">
    <text>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ext>
  </threadedComment>
  <threadedComment ref="N4" dT="2021-07-26T09:51:37.89" personId="{00000000-0000-0000-0000-000000000000}" id="{D8CF1FDD-D375-4AC9-A417-CE8EAA066961}">
    <text>Understand the Consumtion ramp-up if it is not aligned with the Migration ramp-up. Both ramp-ups should be aligned unless there are technical constraintes (ex. AV36 nodes deployment). A misalignment would impact the business case</text>
  </threadedComment>
  <threadedComment ref="G7" dT="2021-07-28T08:06:26.09" personId="{00000000-0000-0000-0000-000000000000}" id="{6115CA25-2E6F-4787-B1D0-6543778C1420}">
    <text>Pulls "Allocated" values</text>
  </threadedComment>
  <threadedComment ref="J7" dT="2021-07-28T07:59:39.07" personId="{00000000-0000-0000-0000-000000000000}" id="{4229141B-9103-4E64-A5C3-F4A1EFFEDD64}">
    <text>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ext>
  </threadedComment>
  <threadedComment ref="C38" dT="2021-07-27T12:27:09.82" personId="{00000000-0000-0000-0000-000000000000}" id="{349909D4-E053-426C-9F47-B1597CC9C4F3}">
    <text>If storage capacity for backup is included in the Azure Consumption (Azure scenario), the current costs for backup storage (on-prem or outsourced) will be estimated and inserted in the Status Quo scenario</text>
  </threadedComment>
  <threadedComment ref="C39" dT="2021-07-27T12:27:09.82" personId="{00000000-0000-0000-0000-000000000000}" id="{5E5C2261-9FE1-427C-A669-45CEE3A9BDF1}">
    <text>If storage capacity for backup is included in the Azure Consumption, a software for backup (ex Veeam) is needed. 
In the Azure scenario, the corresponding cost can be either included in the Azure Consumption or retained separately. 
To be comparable, this cost will also be inserted in the Status Quo scenario.</text>
  </threadedComment>
  <threadedComment ref="C45" dT="2021-07-27T12:27:09.82" personId="{00000000-0000-0000-0000-000000000000}" id="{D2EC14A1-DCAD-4C20-A603-A528BE13D087}">
    <text>If storage capacity for DR is included in the Azure Consumption (Azure scenario), the current costs for DR storage (on-prem or outsourced) will be estimated and inserted in the Status Quo scenario</text>
  </threadedComment>
  <threadedComment ref="C46" dT="2021-07-27T12:27:09.82" personId="{00000000-0000-0000-0000-000000000000}" id="{B781324B-352C-430A-91E8-0D8F9DB79719}">
    <text>If storage capacity for DR is included in the Azure Consumption, a software for DR (ex JetStream) is needed. 
In the Azure scenario, the corresponding cost can be either included in the Azure Consumption or retained separately. 
To be comparable, this cost will also be inserted in the Status Quo scenario.</text>
  </threadedComment>
</ThreadedComments>
</file>

<file path=xl/threadedComments/threadedComment4.xml><?xml version="1.0" encoding="utf-8"?>
<ThreadedComments xmlns="http://schemas.microsoft.com/office/spreadsheetml/2018/threadedcomments" xmlns:x="http://schemas.openxmlformats.org/spreadsheetml/2006/main">
  <threadedComment ref="N3" dT="2021-07-28T07:58:01.91" personId="{00000000-0000-0000-0000-000000000000}" id="{4AA0D03A-F701-4486-9E86-D98826B8BA56}">
    <text>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ext>
  </threadedComment>
  <threadedComment ref="N4" dT="2021-07-26T09:51:37.89" personId="{00000000-0000-0000-0000-000000000000}" id="{E613C3DA-859C-4712-A60C-2796BDCF0EE2}">
    <text>Understand the Consumtion ramp-up if it is not aligned with the Migration ramp-up. Both ramp-ups should be aligned unless there are technical constraintes (ex. AV36 nodes deployment). A misalignment would impact the business case</text>
  </threadedComment>
  <threadedComment ref="G7" dT="2021-07-28T08:06:26.09" personId="{00000000-0000-0000-0000-000000000000}" id="{DDA95441-D99F-4EE6-B55B-8123F4314B12}">
    <text>Pulls "Allocated" values</text>
  </threadedComment>
  <threadedComment ref="J7" dT="2021-07-28T07:59:39.07" personId="{00000000-0000-0000-0000-000000000000}" id="{25C58A28-3CD1-49C9-B7D3-C922136522BF}">
    <text>Compare on-prem workload profile with Azure workload profile. If there is no decrease in Cores/Memory/Storage then understand why. In particular, if you have info about how many Cores/Memory/Storage is Used versus Allocated on-prem, you could expect a decrease to Used + a buffer. If right-sizing is possible it will improve the business case</text>
  </threadedComment>
  <threadedComment ref="C38" dT="2021-07-27T12:27:09.82" personId="{00000000-0000-0000-0000-000000000000}" id="{B7DDB126-1EFB-4B4E-85A5-4F3074F3B5AD}">
    <text>If storage capacity for backup is included in the Azure Consumption (Azure scenario), the current costs for backup storage (on-prem or outsourced) will be estimated and inserted in the Status Quo scenario</text>
  </threadedComment>
  <threadedComment ref="C39" dT="2021-07-27T12:27:09.82" personId="{00000000-0000-0000-0000-000000000000}" id="{91D62315-010E-4816-87FF-4917F9F14CB5}">
    <text>If storage capacity for backup is included in the Azure Consumption, a software for backup (ex Veeam) is needed. 
In the Azure scenario, the corresponding cost can be either included in the Azure Consumption or retained separately. 
To be comparable, this cost will also be inserted in the Status Quo scenario.</text>
  </threadedComment>
  <threadedComment ref="C45" dT="2021-07-27T12:27:09.82" personId="{00000000-0000-0000-0000-000000000000}" id="{3DFB62E0-733A-45FD-9BA3-9F549857A62D}">
    <text>If storage capacity for DR is included in the Azure Consumption (Azure scenario), the current costs for DR storage (on-prem or outsourced) will be estimated and inserted in the Status Quo scenario</text>
  </threadedComment>
  <threadedComment ref="C46" dT="2021-07-27T12:27:09.82" personId="{00000000-0000-0000-0000-000000000000}" id="{E17330D2-3803-4A6B-AF21-A5863FFB3A6B}">
    <text>If storage capacity for DR is included in the Azure Consumption, a software for DR (ex JetStream) is needed. 
In the Azure scenario, the corresponding cost can be either included in the Azure Consumption or retained separately. 
To be comparable, this cost will also be inserted in the Status Quo scenario.</text>
  </threadedComment>
</ThreadedComments>
</file>

<file path=xl/threadedComments/threadedComment5.xml><?xml version="1.0" encoding="utf-8"?>
<ThreadedComments xmlns="http://schemas.microsoft.com/office/spreadsheetml/2018/threadedcomments" xmlns:x="http://schemas.openxmlformats.org/spreadsheetml/2006/main">
  <threadedComment ref="C4" dT="2023-03-20T11:13:22.82" personId="{00000000-0000-0000-0000-000000000000}" id="{E1BFC294-8778-4618-98BE-2917DD9E99A8}">
    <text>Discounted payback method is a capital budgeting technique used to evaluate the profitability of a project based upon the inflows and outflows of cash. Under this technique, we first discount project’s all cash flows to their present value using a preset discount rate and then determine the time period within which the initial investment would be recovered. Since this method takes into account the time value of money, it can be considered as an upgraded variant of the simple payback method.
The discounted payback method tells companies about the time period in which the initial investment in a project is expected to be recovered by the discounted value of total cash inflow. Additionally, it indicates the potential profitability of a certain business venture. For example, if a project indicates that the funds or initial investment will never be recovered by the discounted value of related cash inflows, the project would not be profitable at all. The company should therefore refrain from investing its funds in such project.</text>
    <extLst>
      <x:ext xmlns:xltc2="http://schemas.microsoft.com/office/spreadsheetml/2020/threadedcomments2" uri="{F7C98A9C-CBB3-438F-8F68-D28B6AF4A901}">
        <xltc2:checksum>3256362464</xltc2:checksum>
        <xltc2:hyperlink startIndex="321" length="18" url="https://www.accountingformanagement.org/initial-investment-in-capital-budgeting/"/>
        <xltc2:hyperlink startIndex="473" length="21" url="https://www.accountingformanagement.org/payback-method/"/>
        <xltc2:hyperlink startIndex="512" length="14" url="https://www.accountingformanagement.org/payback-method/"/>
      </x:ext>
    </extLst>
  </threadedComment>
</ThreadedComments>
</file>

<file path=xl/threadedComments/threadedComment6.xml><?xml version="1.0" encoding="utf-8"?>
<ThreadedComments xmlns="http://schemas.microsoft.com/office/spreadsheetml/2018/threadedcomments" xmlns:x="http://schemas.openxmlformats.org/spreadsheetml/2006/main">
  <threadedComment ref="AD5" dT="2022-09-14T09:19:40.18" personId="{00000000-0000-0000-0000-000000000000}" id="{94C13E35-938A-4701-AA7A-7CFD3FB242D5}">
    <text>When customer POV is that benchmarked figures seem reasonable but are slightly too high/low. 
The objective is to increase/decrease benchmarked figures accordingly.
&gt;0 entry results in a decrease.</text>
  </threadedComment>
</ThreadedComments>
</file>

<file path=xl/threadedComments/threadedComment7.xml><?xml version="1.0" encoding="utf-8"?>
<ThreadedComments xmlns="http://schemas.microsoft.com/office/spreadsheetml/2018/threadedcomments" xmlns:x="http://schemas.openxmlformats.org/spreadsheetml/2006/main">
  <threadedComment ref="H18" dT="2022-01-13T09:48:48.36" personId="{00000000-0000-0000-0000-000000000000}" id="{5D97B9B6-BE39-4493-BCE6-45B1A77C047D}">
    <text>Based on "Azure Storage 1200To Cold GRS 3-y RI in West Europe" that is $0.15 per GB per year (as of Dec 21)</text>
  </threadedComment>
  <threadedComment ref="H19" dT="2022-01-13T09:48:48.36" personId="{00000000-0000-0000-0000-000000000000}" id="{39254452-3776-4BC1-BE13-A907382F0595}">
    <text>Based on "Azure Storage 1200To Cold GRS 3-y RI in West Europe" that is $0.15 per GB per year (as of Dec 21)</text>
  </threadedComment>
  <threadedComment ref="K20" dT="2022-01-13T08:55:12.63" personId="{00000000-0000-0000-0000-000000000000}" id="{CB956621-AEE0-41E4-B4CD-3365AE013012}">
    <text>Updated on 13/1/22. Aligned with vmware benchmark data (from Dec 21 analysis)</text>
  </threadedComment>
  <threadedComment ref="K21" dT="2022-01-13T08:55:24.86" personId="{00000000-0000-0000-0000-000000000000}" id="{DF0B6F79-B2DC-449B-99A9-A1E55E6FAA4B}">
    <text>Updated on 13/1/22. Aligned with vmware benchmark data (from Dec 21 analysis)</text>
  </threadedComment>
  <threadedComment ref="K21" dT="2023-03-24T13:48:54.66" personId="{00000000-0000-0000-0000-000000000000}" id="{4C5211EB-0E2D-454C-828D-E99DF0626A0A}" parentId="{DF0B6F79-B2DC-449B-99A9-A1E55E6FAA4B}">
    <text>Updated on 24/3/23. Seemed too high so reduced to 10%</text>
  </threadedComment>
  <threadedComment ref="K35" dT="2022-01-13T08:58:21.07" personId="{00000000-0000-0000-0000-000000000000}" id="{EEA5C6CF-EED4-41AD-9275-E5798A4F1114}">
    <text>Updated on 13/1/22. Aligned with vmware benchmark data (from Dec 21 analysis)</text>
  </threadedComment>
  <threadedComment ref="K35" dT="2023-03-24T13:49:09.01" personId="{00000000-0000-0000-0000-000000000000}" id="{B0D42B7E-266F-4FAE-B578-5BA612BDB484}" parentId="{EEA5C6CF-EED4-41AD-9275-E5798A4F1114}">
    <text>Updated on 24/3/23. Seemed too high so reduced to 10%</text>
  </threadedComment>
  <threadedComment ref="M38" dT="2022-02-24T13:52:02.88" personId="{00000000-0000-0000-0000-000000000000}" id="{2749545A-3816-4D60-9851-693AC8A3B097}">
    <text>Assumes 50% are Standard edition and 50% are Datacenter edition</text>
  </threadedComment>
  <threadedComment ref="M39" dT="2022-02-24T13:52:15.65" personId="{00000000-0000-0000-0000-000000000000}" id="{CE86DC64-C921-4374-9217-D4B374A777F6}">
    <text>Assumes 50% are Standard edition and 50% are Enterprise edition</text>
  </threadedComment>
  <threadedComment ref="M40" dT="2022-02-24T13:52:02.88" personId="{00000000-0000-0000-0000-000000000000}" id="{FFBCA76E-0E9B-48D3-B221-3A8D89F25552}">
    <text>Assumes 50% are Standard edition and 50% are Datacenter edition</text>
  </threadedComment>
  <threadedComment ref="M41" dT="2022-02-24T13:52:15.65" personId="{00000000-0000-0000-0000-000000000000}" id="{DEC0C10B-2191-46B0-9C0F-9E9BDF5253C0}">
    <text>Assumes 50% are Standard edition and 50% are Enterprise edition</text>
  </threadedComment>
  <threadedComment ref="M42" dT="2022-02-24T13:52:02.88" personId="{00000000-0000-0000-0000-000000000000}" id="{7748D773-4261-404A-AE6B-E168D60B5954}">
    <text>Assumes 50% are Standard edition and 50% are Datacenter edition</text>
  </threadedComment>
  <threadedComment ref="M43" dT="2022-02-24T13:52:15.65" personId="{00000000-0000-0000-0000-000000000000}" id="{E42BAAC0-C1F2-4340-892C-64AE20158B12}">
    <text>Assumes 50% are Standard edition and 50% are Enterprise edition</text>
  </threadedComment>
  <threadedComment ref="M44" dT="2022-02-24T13:52:02.88" personId="{00000000-0000-0000-0000-000000000000}" id="{3DFE1D8E-AFEB-4972-A320-11E891863D12}">
    <text>Assumes 50% are Standard edition and 50% are Datacenter edition</text>
  </threadedComment>
  <threadedComment ref="M45" dT="2022-02-24T13:52:15.65" personId="{00000000-0000-0000-0000-000000000000}" id="{2AF92529-FAAC-40DF-979C-F6F9FF7DCEAF}">
    <text>Assumes 50% are Standard edition and 50% are Enterprise edition</text>
  </threadedComment>
  <threadedComment ref="M46" dT="2024-09-10T09:00:02.31" personId="{00000000-0000-0000-0000-000000000000}" id="{73E5E2B7-D4DF-4D5A-8019-90F5736844ED}">
    <text>Based on VMware, Hyper-V, Citrix Hypervisor + others</text>
  </threadedComment>
  <threadedComment ref="M47" dT="2024-09-10T09:00:02.31" personId="{00000000-0000-0000-0000-000000000000}" id="{305FC047-8997-4C25-9D9B-9B1134DD191A}">
    <text>Based on Veritas, Veeam, Commvault + others</text>
  </threadedComment>
  <threadedComment ref="H48" dT="2022-01-13T10:00:06.52" personId="{00000000-0000-0000-0000-000000000000}" id="{1030DD27-8887-4021-93F7-4CC32B35523C}">
    <text>- Gartner "DC Cost model" uses $250 per year per VM.
- Jetstream costs $20 per month per VM &gt;&gt;$240 per year per VM.</text>
  </threadedComment>
  <threadedComment ref="B57" dT="2023-03-21T11:07:28.95" personId="{00000000-0000-0000-0000-000000000000}" id="{435349D1-72A2-41EC-A08F-46F91CD6061A}">
    <text xml:space="preserve">Average load factor = Average power usage / Peak power usage </text>
  </threadedComment>
</ThreadedComments>
</file>

<file path=xl/threadedComments/threadedComment8.xml><?xml version="1.0" encoding="utf-8"?>
<ThreadedComments xmlns="http://schemas.microsoft.com/office/spreadsheetml/2018/threadedcomments" xmlns:x="http://schemas.openxmlformats.org/spreadsheetml/2006/main">
  <threadedComment ref="I35" dT="2021-07-05T14:57:39.94" personId="{00000000-0000-0000-0000-000000000000}" id="{97286962-B041-4F00-8211-8EB7C3A9B3BD}">
    <text>Nb of phys. servers per cabinet (best practice = 16)</text>
  </threadedComment>
  <threadedComment ref="L35" dT="2021-07-05T14:57:49.14" personId="{00000000-0000-0000-0000-000000000000}" id="{E05CA05F-0471-4F02-BC8A-7E4FE06D6098}">
    <text>Based on Nb of DC x Nb of core router per DC (best practice = 2)</text>
  </threadedComment>
  <threadedComment ref="M35" dT="2021-07-05T14:57:57.53" personId="{00000000-0000-0000-0000-000000000000}" id="{AC7274FA-C4C7-4419-8CB8-D68A3D1FD845}">
    <text>Nb of aggregate routers per core router (per survey av. = 3) x Nb of core router</text>
  </threadedComment>
  <threadedComment ref="N35" dT="2021-07-05T14:58:22.18" personId="{00000000-0000-0000-0000-000000000000}" id="{30FA85D9-FC99-4321-8EA8-FA8115FD79A8}">
    <text>Nb of access switch per core router (per survey av. = 13) x Nb of core router</text>
  </threadedComment>
  <threadedComment ref="O35" dT="2021-07-05T15:00:34.56" personId="{00000000-0000-0000-0000-000000000000}" id="{6379A197-1CD5-444F-90D0-9D9BE2B27F38}">
    <text>Nb of load balancer per core router (per survey av. = 2) x Nb of core router</text>
  </threadedComment>
  <threadedComment ref="C39" dT="2021-07-23T10:14:30.30" personId="{00000000-0000-0000-0000-000000000000}" id="{DF9C0448-4B3F-47C8-92BD-C0E4F063C5EC}">
    <text>Subscription model</text>
  </threadedComment>
  <threadedComment ref="H64" dT="2023-03-21T11:13:55.62" personId="{00000000-0000-0000-0000-000000000000}" id="{A4958C81-AB2A-4B54-964F-018935212C66}">
    <text xml:space="preserve">A realistic way to estimate peak consumption is to use a load factor, which is a ratio of average power usage to peak power usage (Load factor = Average power usage / Peak power usage).
For instance if your load factor is 0.5, it means that your average power usage is 50% of your peak power usage.  </text>
  </threadedComment>
  <threadedComment ref="K66" dT="2023-03-21T11:01:54.59" personId="{00000000-0000-0000-0000-000000000000}" id="{5D7AB74C-BB1B-40D7-AFF7-1F4EA2A8267C}">
    <text xml:space="preserve">&gt;&gt; Objective is to calculate "Peak Power Consumption".
The KW capacity of a datacenter is usually based on peak power consumption at a given point in time. This is because datacenters need to ensure that they have enough power supply to meet their highest possible demand, which may vary depending on factors such as workload, seasonality, redundancy and backup systems.
However, peak power consumption does not reflect the actual energy use of a datacenter over a period of time. For that, you need to look at average power consumption or energy consumption (which is power multiplied by time). Average power consumption or energy consumption can be used to calculate metrics such as PUE or carbon footprint.
</text>
  </threadedComment>
  <threadedComment ref="H70" dT="2023-03-21T11:13:55.62" personId="{00000000-0000-0000-0000-000000000000}" id="{ECD04186-115D-4701-B3B2-2D5CD70EC72C}">
    <text>To convert energy consumption into peak consumption, you need to divide energy consumption by time period.</text>
  </threadedComment>
  <threadedComment ref="H71" dT="2023-03-21T11:13:55.62" personId="{00000000-0000-0000-0000-000000000000}" id="{4DEC80DE-E73E-4580-9812-11008ABE3E37}">
    <text xml:space="preserve">A realistic way to estimate peak consumption is to use a load factor, which is a ratio of average power usage to peak power usage (Load factor = Average power usage / Peak power usage).
For instance if your load factor is 0.5, it means that your average power usage is 50% of your peak power usage.  </text>
  </threadedComment>
  <threadedComment ref="H77" dT="2021-07-06T10:42:24.14" personId="{00000000-0000-0000-0000-000000000000}" id="{30B193CA-E7F7-48EC-8187-70D61622599D}">
    <text>Total KW incl. unused</text>
  </threadedComment>
</ThreadedComments>
</file>

<file path=xl/threadedComments/threadedComment9.xml><?xml version="1.0" encoding="utf-8"?>
<ThreadedComments xmlns="http://schemas.microsoft.com/office/spreadsheetml/2018/threadedcomments" xmlns:x="http://schemas.openxmlformats.org/spreadsheetml/2006/main">
  <threadedComment ref="D35" dT="2022-01-14T11:23:52.84" personId="{00000000-0000-0000-0000-000000000000}" id="{07DEE8B2-C740-47AD-B7F8-233C8065592D}">
    <text>Savings realized with a one-year lag</text>
  </threadedComment>
  <threadedComment ref="B53" dT="2021-07-28T09:03:32.91" personId="{00000000-0000-0000-0000-000000000000}" id="{35F3A867-4C5E-4E9A-AC06-7E3E28A181C9}">
    <text>-- Windows Servers Licensing assumes "subscription" model
-- Subscriptions allow to reduce annually the nb of licenses/cores (at the next anniversary)
-- Increase in licenses/cores can happen anytime (and cost increases accordingly from deployment)</text>
  </threadedComment>
  <threadedComment ref="D53" dT="2022-01-14T11:23:52.84" personId="{00000000-0000-0000-0000-000000000000}" id="{DE315264-4937-416A-BCFE-F483F2891E77}">
    <text>Savings realized with a one-year lag</text>
  </threadedComment>
  <threadedComment ref="B68" dT="2021-07-28T09:03:32.91" personId="{00000000-0000-0000-0000-000000000000}" id="{E3BA387A-28DE-4CB3-8905-CA4CA9746E80}">
    <text>-- Windows Servers Licensing assumes "subscription" model
-- Subscriptions allow to reduce annually the nb of licenses/cores (at the next anniversary)
-- Increase in licenses/cores can happen anytime (and cost increases accordingly from deployment)</text>
  </threadedComment>
  <threadedComment ref="D68" dT="2022-01-14T11:23:52.84" personId="{00000000-0000-0000-0000-000000000000}" id="{17E250F3-CB70-40AC-AA24-F0F3FB99E499}">
    <text>Savings realized with a one-year lag</text>
  </threadedComment>
  <threadedComment ref="B83" dT="2021-07-28T09:03:32.91" personId="{00000000-0000-0000-0000-000000000000}" id="{A7C8622D-2E18-4991-A4A5-6E98AB1D78FA}">
    <text>-- Windows Servers Licensing assumes "subscription" model
-- Subscriptions allow to reduce annually the nb of licenses/cores (at the next anniversary)
-- Increase in licenses/cores can happen anytime (and cost increases accordingly from deployment)</text>
  </threadedComment>
  <threadedComment ref="D83" dT="2022-01-14T11:23:52.84" personId="{00000000-0000-0000-0000-000000000000}" id="{99E9C7CE-1893-4F20-BF51-487AD6CC17B7}">
    <text>Savings realized with a one-year lag</text>
  </threadedComment>
  <threadedComment ref="B101" dT="2021-07-28T09:03:32.91" personId="{00000000-0000-0000-0000-000000000000}" id="{67AB85BF-FED3-409D-956F-C63F9AFC8EFD}">
    <text>-- SQL Servers Licensing assumes "subscription" model
-- Subscriptions allow to reduce annually the nb of licenses/cores (at the next anniversary)
-- Increase in licenses/cores can happen anytime (and cost increases accordingly from deployment)</text>
  </threadedComment>
  <threadedComment ref="D101" dT="2022-01-14T11:23:52.84" personId="{00000000-0000-0000-0000-000000000000}" id="{93597E7C-8D5A-42B8-8A35-DE3053A4F7D1}">
    <text>Savings realized with a one-year lag</text>
  </threadedComment>
  <threadedComment ref="B116" dT="2021-07-28T09:03:32.91" personId="{00000000-0000-0000-0000-000000000000}" id="{1BA702BF-E2E0-40B0-99C3-54069FB5A20B}">
    <text>-- SQL Servers Licensing assumes "subscription" model
-- Subscriptions allow to reduce annually the nb of licenses/cores (at the next anniversary)
-- Increase in licenses/cores can happen anytime (and cost increases accordingly from deployment)</text>
  </threadedComment>
  <threadedComment ref="D116" dT="2022-01-14T11:23:52.84" personId="{00000000-0000-0000-0000-000000000000}" id="{5150209C-536D-4C7C-836E-8719D1965E3C}">
    <text>Savings realized with a one-year lag</text>
  </threadedComment>
  <threadedComment ref="B131" dT="2021-07-28T09:03:32.91" personId="{00000000-0000-0000-0000-000000000000}" id="{26A0F6A1-67B2-46CF-905E-CA22EBC0A9F6}">
    <text>-- SQL Servers Licensing assumes "subscription" model
-- Subscriptions allow to reduce annually the nb of licenses/cores (at the next anniversary)
-- Increase in licenses/cores can happen anytime (and cost increases accordingly from deployment)</text>
  </threadedComment>
  <threadedComment ref="D131" dT="2022-01-14T11:23:52.84" personId="{00000000-0000-0000-0000-000000000000}" id="{D2E9B222-9F96-4FB6-B996-E0964D17586C}">
    <text>Savings realized with a one-year lag</text>
  </threadedComment>
  <threadedComment ref="D152" dT="2022-01-14T11:23:52.84" personId="{00000000-0000-0000-0000-000000000000}" id="{C255A772-3571-4EA7-BFFF-D8556FAEA7AE}">
    <text>Savings realized with a one-year lag</text>
  </threadedComment>
  <threadedComment ref="D173" dT="2022-01-14T11:23:52.84" personId="{00000000-0000-0000-0000-000000000000}" id="{843B28D5-11DA-4922-956E-4DA36CB99AB5}">
    <text>Savings realized with a one-year lag</text>
  </threadedComment>
  <threadedComment ref="B190" dT="2021-07-28T09:03:32.91" personId="{00000000-0000-0000-0000-000000000000}" id="{AAEF586E-A66B-417B-B572-DAA86225A431}">
    <text>Assumes that Backup Software contract/cost can be updated every year</text>
  </threadedComment>
  <threadedComment ref="D190" dT="2022-01-14T11:23:52.84" personId="{00000000-0000-0000-0000-000000000000}" id="{2E761686-CFFD-4414-A623-7D3B92220621}">
    <text>Savings realized with a one-year lag</text>
  </threadedComment>
  <threadedComment ref="B204" dT="2021-07-28T09:03:32.91" personId="{00000000-0000-0000-0000-000000000000}" id="{D39D942F-7C08-4467-B56B-9861A5BCF888}">
    <text>Assumes that Backup Software contract/cost can be updated every year</text>
  </threadedComment>
  <threadedComment ref="D204" dT="2022-01-14T11:23:52.84" personId="{00000000-0000-0000-0000-000000000000}" id="{F0F07BF9-1231-43C1-8A7E-275B61DFA87E}">
    <text>Savings realized with a one-year lag</text>
  </threadedComment>
  <threadedComment ref="B218" dT="2021-07-28T09:03:32.91" personId="{00000000-0000-0000-0000-000000000000}" id="{6EA80927-DEA1-40F3-B6C8-E775295CC93B}">
    <text>Assumes that Backup Software contract/cost can be updated every year</text>
  </threadedComment>
  <threadedComment ref="D218" dT="2022-01-14T11:23:52.84" personId="{00000000-0000-0000-0000-000000000000}" id="{820ED14A-D2A9-4F31-8539-682582CCF56F}">
    <text>Savings realized with a one-year lag</text>
  </threadedComment>
  <threadedComment ref="B235" dT="2021-07-28T09:03:32.91" personId="{00000000-0000-0000-0000-000000000000}" id="{86A12F1F-45DB-487F-845D-1F9BA044D913}">
    <text>Assumes that Backup Software contract/cost can be updated every year</text>
  </threadedComment>
  <threadedComment ref="D235" dT="2022-01-14T11:23:52.84" personId="{00000000-0000-0000-0000-000000000000}" id="{4C2FE422-D3B1-40AA-AF0B-B57EACB70645}">
    <text>Savings realized with a one-year lag</text>
  </threadedComment>
  <threadedComment ref="B249" dT="2021-07-28T09:03:32.91" personId="{00000000-0000-0000-0000-000000000000}" id="{A3DC628F-9EF0-4FCC-B9C5-76C04A71DB24}">
    <text>Assumes that Backup Software contract/cost can be updated every year</text>
  </threadedComment>
  <threadedComment ref="D249" dT="2022-01-14T11:23:52.84" personId="{00000000-0000-0000-0000-000000000000}" id="{7BE74017-95A1-476D-A514-E0076366230F}">
    <text>Savings realized with a one-year lag</text>
  </threadedComment>
  <threadedComment ref="B263" dT="2021-07-28T09:03:32.91" personId="{00000000-0000-0000-0000-000000000000}" id="{A967CCB0-0111-409B-9CF4-77C2D176875B}">
    <text>Assumes that Backup Software contract/cost can be updated every year</text>
  </threadedComment>
  <threadedComment ref="D263" dT="2022-01-14T11:23:52.84" personId="{00000000-0000-0000-0000-000000000000}" id="{3AACF2A8-6703-4167-B7E4-274EEDF411B9}">
    <text>Savings realized with a one-year lag</text>
  </threadedComment>
  <threadedComment ref="B287" dT="2021-07-27T12:01:39.13" personId="{00000000-0000-0000-0000-000000000000}" id="{7060DF71-9FC9-4216-BE16-7060044EF742}">
    <text>Assumption: 100% of the costs are maintained until the DC is closed</text>
  </threadedComment>
  <threadedComment ref="D287" dT="2022-01-14T11:23:52.84" personId="{00000000-0000-0000-0000-000000000000}" id="{D9AFD614-F1F9-4818-85D7-7E15FAAC4BE2}">
    <text>Savings realized with a one-year lag</text>
  </threadedComment>
  <threadedComment ref="B288" dT="2021-07-27T12:01:43.99" personId="{00000000-0000-0000-0000-000000000000}" id="{89E77DD6-BBB4-4BCD-A245-DD7CFE848B17}">
    <text>Assumption: 100% of the costs are maintained until the DC is closed</text>
  </threadedComment>
  <threadedComment ref="D288" dT="2022-01-14T11:23:52.84" personId="{00000000-0000-0000-0000-000000000000}" id="{77FA9E1F-D738-4CAF-8FF6-6164E3AAA1B9}">
    <text>Savings realized with a one-year lag</text>
  </threadedComment>
  <threadedComment ref="B293" dT="2021-07-27T12:01:39.13" personId="{00000000-0000-0000-0000-000000000000}" id="{6030E47C-11AE-47C2-99C2-4E68256BB461}">
    <text>Assumption: costs decrease alongside the migration with 1-year lag</text>
  </threadedComment>
  <threadedComment ref="D293" dT="2022-01-14T11:23:52.84" personId="{00000000-0000-0000-0000-000000000000}" id="{A016EA3C-40CA-4A96-9EA1-D1990FE2CBAD}">
    <text>Savings realized with a one-year lag</text>
  </threadedComment>
  <threadedComment ref="B294" dT="2021-07-27T12:01:43.99" personId="{00000000-0000-0000-0000-000000000000}" id="{04448C19-6834-4CAE-9B30-D87406A9BFB0}">
    <text>Assumption: costs decrease alongside the migration with 1-year lag</text>
  </threadedComment>
  <threadedComment ref="D294" dT="2022-01-14T11:23:52.84" personId="{00000000-0000-0000-0000-000000000000}" id="{27C58785-A8C5-470D-ADAF-465EADB2B4E9}">
    <text>Savings realized with a one-year lag</text>
  </threadedComment>
  <threadedComment ref="B295" dT="2024-10-03T10:03:34.70" personId="{00000000-0000-0000-0000-000000000000}" id="{F1CD572E-112C-460F-A1F1-76BE59CD099D}">
    <text>Assumption: costs decrease alongside the migration with 1-year lag</text>
  </threadedComment>
  <threadedComment ref="D295" dT="2022-01-14T11:23:52.84" personId="{00000000-0000-0000-0000-000000000000}" id="{7921E1FA-75EA-4933-93A5-D64CCEFD531F}">
    <text>Savings realized with a one-year lag</text>
  </threadedComment>
  <threadedComment ref="B310" dT="2021-07-27T12:11:56.75" personId="{00000000-0000-0000-0000-000000000000}" id="{10FCF1B0-90FC-4A73-B28F-92FC80752139}">
    <text>Assumption: current backup (on prem or outsourced) is maintained until all the workload has migrated (after that backup is in Azure)</text>
  </threadedComment>
  <threadedComment ref="D310" dT="2022-01-14T11:23:52.84" personId="{00000000-0000-0000-0000-000000000000}" id="{C2999D90-B812-425D-B930-E2F2073AF56E}">
    <text>Savings realized with a one-year lag</text>
  </threadedComment>
  <threadedComment ref="B311" dT="2021-07-27T12:11:56.75" personId="{00000000-0000-0000-0000-000000000000}" id="{1D83295E-90C0-4415-9D8B-03944C9C5D0D}">
    <text>Assumption: current DR (on prem or outsourced) is maintained until all the workload has migrated (after that DR is in Azure)</text>
  </threadedComment>
  <threadedComment ref="D311" dT="2022-01-14T11:23:52.84" personId="{00000000-0000-0000-0000-000000000000}" id="{24D383C2-802A-4EC9-B9CA-2E155A66933C}">
    <text>Savings realized with a one-year lag</text>
  </threadedComment>
  <threadedComment ref="B316" dT="2021-07-27T12:11:56.75" personId="{00000000-0000-0000-0000-000000000000}" id="{5EBE06A4-325C-4264-8337-6DDCE334BA05}">
    <text>Assumption: current backup (on prem or outsourced) is maintained until all the workload has migrated (after that backup is in Azure)</text>
  </threadedComment>
  <threadedComment ref="D316" dT="2022-01-14T11:23:52.84" personId="{00000000-0000-0000-0000-000000000000}" id="{707CE383-6021-41AD-AEB6-847CE3A8B664}">
    <text>Savings realized with a one-year lag</text>
  </threadedComment>
  <threadedComment ref="B317" dT="2021-07-27T12:11:56.75" personId="{00000000-0000-0000-0000-000000000000}" id="{F1F7892E-ECA6-4575-B9AC-2E981F36A1EE}">
    <text>Assumption: current DR (on prem or outsourced) is maintained until all the workload has migrated (after that DR is in Azure)</text>
  </threadedComment>
  <threadedComment ref="D317" dT="2022-01-14T11:23:52.84" personId="{00000000-0000-0000-0000-000000000000}" id="{F6D25A4F-471B-46B2-A32A-66E2D707A109}">
    <text>Savings realized with a one-year lag</text>
  </threadedComment>
  <threadedComment ref="B322" dT="2021-07-27T12:11:56.75" personId="{00000000-0000-0000-0000-000000000000}" id="{6469DAE1-EAC5-456E-B021-B70D7DCADCB8}">
    <text>Assumption: current backup (on prem or outsourced) is maintained until all the workload has migrated (after that backup is in Azure)</text>
  </threadedComment>
  <threadedComment ref="D322" dT="2022-01-14T11:23:52.84" personId="{00000000-0000-0000-0000-000000000000}" id="{3863376A-4038-41CC-ACDE-36AAF1DD7627}">
    <text>Savings realized with a one-year lag</text>
  </threadedComment>
  <threadedComment ref="B323" dT="2021-07-27T12:11:56.75" personId="{00000000-0000-0000-0000-000000000000}" id="{4B0CA291-7BE9-4970-856C-612683BB4C6C}">
    <text>Assumption: current DR (on prem or outsourced) is maintained until all the workload has migrated (after that DR is in Azure)</text>
  </threadedComment>
  <threadedComment ref="D323" dT="2022-01-14T11:23:52.84" personId="{00000000-0000-0000-0000-000000000000}" id="{B8DAF8DF-6B73-4CD9-80FE-3AC79B1A0059}">
    <text>Savings realized with a one-year lag</text>
  </threadedComment>
</ThreadedComments>
</file>

<file path=xl/threadedComments/threadedComment10.xml><?xml version="1.0" encoding="utf-8"?>
<ThreadedComments xmlns="http://schemas.microsoft.com/office/spreadsheetml/2018/threadedcomments" xmlns:x="http://schemas.openxmlformats.org/spreadsheetml/2006/main">
  <threadedComment ref="D10" dT="2021-08-30T14:16:48.69" personId="{00000000-0000-0000-0000-000000000000}" id="{26FEC286-797C-475B-A3FF-62C6942D4285}">
    <text>&gt;&gt;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ext>
  </threadedComment>
  <threadedComment ref="D12" dT="2021-08-30T13:08:30.16" personId="{00000000-0000-0000-0000-000000000000}" id="{BDD23A73-D837-4963-B4FB-228B172D3F70}">
    <text>&gt;&gt;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ext>
  </threadedComment>
  <threadedComment ref="D20" dT="2021-08-27T14:04:46.86" personId="{00000000-0000-0000-0000-000000000000}" id="{192A1A32-18F9-4405-AF83-DD4A50E9C3CB}">
    <text>Depreciation for incremental (i.e. newly acquired) assets</text>
  </threadedComment>
  <threadedComment ref="D22" dT="2021-08-27T14:06:48.98" personId="{00000000-0000-0000-0000-000000000000}" id="{51E8EEC2-EBB6-4459-ABE7-F75D8BA61C01}">
    <text>Depreciation for the entire assets basis</text>
  </threadedComment>
  <threadedComment ref="D35" dT="2021-08-27T14:04:46.86" personId="{00000000-0000-0000-0000-000000000000}" id="{715786E0-33F6-4ABA-AB82-DD929F48C389}">
    <text>Depreciation for incremental (i.e. newly acquired) assets</text>
  </threadedComment>
  <threadedComment ref="D37" dT="2021-08-27T14:06:48.98" personId="{00000000-0000-0000-0000-000000000000}" id="{B1064A59-788D-4D6A-A3C5-806BBD6376F4}">
    <text>Depreciation for the entire assets basis</text>
  </threadedComment>
  <threadedComment ref="D48" dT="2021-08-30T14:16:48.69" personId="{00000000-0000-0000-0000-000000000000}" id="{8D4D244D-C649-49B8-AD42-63DFB08AB60E}">
    <text>&gt;&gt;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ext>
  </threadedComment>
  <threadedComment ref="D50" dT="2021-08-30T13:08:30.16" personId="{00000000-0000-0000-0000-000000000000}" id="{B2E7F1C4-1E10-4215-A215-05620CD6692C}">
    <text>&gt;&gt;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ext>
  </threadedComment>
  <threadedComment ref="D58" dT="2021-08-27T14:04:46.86" personId="{00000000-0000-0000-0000-000000000000}" id="{4E8D53BC-996A-4D57-ACF7-D8ECCA8F341F}">
    <text>Depreciation for incremental (i.e. newly acquired) assets</text>
  </threadedComment>
  <threadedComment ref="D60" dT="2021-08-27T14:06:48.98" personId="{00000000-0000-0000-0000-000000000000}" id="{D96278A7-E091-47D6-87CE-9B8EFDC85513}">
    <text>Depreciation for the entire assets basis</text>
  </threadedComment>
  <threadedComment ref="D73" dT="2021-08-27T14:04:46.86" personId="{00000000-0000-0000-0000-000000000000}" id="{890EFFFA-DB13-4F9A-80EF-CD645135D19E}">
    <text>Depreciation for incremental (i.e. newly acquired) assets</text>
  </threadedComment>
  <threadedComment ref="D75" dT="2021-08-27T14:06:48.98" personId="{00000000-0000-0000-0000-000000000000}" id="{BF684BEE-4F39-4DCD-9D54-C06FB4A30E3C}">
    <text>Depreciation for the entire assets basis</text>
  </threadedComment>
  <threadedComment ref="D88" dT="2021-08-30T14:16:48.69" personId="{00000000-0000-0000-0000-000000000000}" id="{87F17C09-773B-4BE5-B3E7-9BBD32A574F0}">
    <text>&gt;&gt;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ext>
  </threadedComment>
  <threadedComment ref="D90" dT="2021-08-30T13:08:30.16" personId="{00000000-0000-0000-0000-000000000000}" id="{265BFDC5-9740-4326-9D28-91A02CEDCB21}">
    <text>&gt;&gt;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ext>
  </threadedComment>
  <threadedComment ref="D98" dT="2021-08-27T14:04:46.86" personId="{00000000-0000-0000-0000-000000000000}" id="{3C58F1F9-50B2-4BE8-99CB-F6927D8B40A6}">
    <text>Depreciation for incremental (i.e. newly acquired) assets</text>
  </threadedComment>
  <threadedComment ref="D100" dT="2021-08-27T14:06:48.98" personId="{00000000-0000-0000-0000-000000000000}" id="{3EAC96A5-2DBA-40C7-BEE4-81574030E5FA}">
    <text>Depreciation for the entire assets basis</text>
  </threadedComment>
  <threadedComment ref="D113" dT="2021-08-27T14:04:46.86" personId="{00000000-0000-0000-0000-000000000000}" id="{8F5F4396-07B2-4CA3-8B97-F560890A1EFB}">
    <text>Depreciation for incremental (i.e. newly acquired) assets</text>
  </threadedComment>
  <threadedComment ref="D115" dT="2021-08-27T14:06:48.98" personId="{00000000-0000-0000-0000-000000000000}" id="{D28B294C-1087-4850-93E7-A6A5DC4B842F}">
    <text>Depreciation for the entire assets basis</text>
  </threadedComment>
  <threadedComment ref="D126" dT="2021-08-30T14:16:48.69" personId="{00000000-0000-0000-0000-000000000000}" id="{DD430DED-394A-4C82-8669-CA7CBD20A687}">
    <text>&gt;&gt;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ext>
  </threadedComment>
  <threadedComment ref="D128" dT="2021-08-30T13:08:30.16" personId="{00000000-0000-0000-0000-000000000000}" id="{9A6C1D59-B399-4836-A7EE-9A2BC96BCB21}">
    <text>&gt;&gt;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ext>
  </threadedComment>
  <threadedComment ref="D136" dT="2021-08-27T14:04:46.86" personId="{00000000-0000-0000-0000-000000000000}" id="{CB0E0438-0896-4AC1-BC68-DF4D84735CC5}">
    <text>Depreciation for incremental (i.e. newly acquired) assets</text>
  </threadedComment>
  <threadedComment ref="D138" dT="2021-08-27T14:06:48.98" personId="{00000000-0000-0000-0000-000000000000}" id="{43C29338-82A8-4A62-A742-8A0D2499D964}">
    <text>Depreciation for the entire assets basis</text>
  </threadedComment>
  <threadedComment ref="D151" dT="2021-08-27T14:04:46.86" personId="{00000000-0000-0000-0000-000000000000}" id="{BF59EE26-0339-4A47-8DA7-DD27F9B5C035}">
    <text>Depreciation for incremental (i.e. newly acquired) assets</text>
  </threadedComment>
  <threadedComment ref="D153" dT="2021-08-27T14:06:48.98" personId="{00000000-0000-0000-0000-000000000000}" id="{9C021E5E-C7F3-4B88-8535-D6F66FBDF0B0}">
    <text>Depreciation for the entire assets basis</text>
  </threadedComment>
  <threadedComment ref="D166" dT="2021-08-30T14:16:48.69" personId="{00000000-0000-0000-0000-000000000000}" id="{EB0C20EB-607D-4E86-9703-5DC86AEF6160}">
    <text>&gt;&gt;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ext>
  </threadedComment>
  <threadedComment ref="D168" dT="2021-08-30T13:08:30.16" personId="{00000000-0000-0000-0000-000000000000}" id="{7F4566A0-D980-4A24-BDDF-69DB8203A0E2}">
    <text>&gt;&gt;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ext>
  </threadedComment>
  <threadedComment ref="D176" dT="2021-08-27T14:04:46.86" personId="{00000000-0000-0000-0000-000000000000}" id="{F525776C-DD9E-45FB-8248-8E15269A521E}">
    <text>Depreciation for incremental (i.e. newly acquired) assets</text>
  </threadedComment>
  <threadedComment ref="D178" dT="2021-08-27T14:06:48.98" personId="{00000000-0000-0000-0000-000000000000}" id="{CEF466D6-26BC-4B39-980D-3F94DA1BAC43}">
    <text>Depreciation for the entire assets basis</text>
  </threadedComment>
  <threadedComment ref="D191" dT="2021-08-27T14:04:46.86" personId="{00000000-0000-0000-0000-000000000000}" id="{ADC04635-C1B9-447C-AA97-F40100E1E4E5}">
    <text>Depreciation for incremental (i.e. newly acquired) assets</text>
  </threadedComment>
  <threadedComment ref="D193" dT="2021-08-27T14:06:48.98" personId="{00000000-0000-0000-0000-000000000000}" id="{31A706B7-2BB8-4B4F-9B2F-57134463B89D}">
    <text>Depreciation for the entire assets basis</text>
  </threadedComment>
  <threadedComment ref="D204" dT="2021-08-30T14:16:48.69" personId="{00000000-0000-0000-0000-000000000000}" id="{35AF5261-7977-43B9-B2E2-01158E289EF8}">
    <text>&gt;&gt;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ext>
  </threadedComment>
  <threadedComment ref="D206" dT="2021-08-30T13:08:30.16" personId="{00000000-0000-0000-0000-000000000000}" id="{164CF09D-3DE5-406F-9B6D-895C0CC92B0D}">
    <text>&gt;&gt;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ext>
  </threadedComment>
  <threadedComment ref="D214" dT="2021-08-27T14:04:46.86" personId="{00000000-0000-0000-0000-000000000000}" id="{F156A367-26E0-42E7-A42A-7D29F0FAFE7E}">
    <text>Depreciation for incremental (i.e. newly acquired) assets</text>
  </threadedComment>
  <threadedComment ref="D216" dT="2021-08-27T14:06:48.98" personId="{00000000-0000-0000-0000-000000000000}" id="{59C467B2-769B-4D73-BD98-DD615002977D}">
    <text>Depreciation for the entire assets basis</text>
  </threadedComment>
  <threadedComment ref="D229" dT="2021-08-27T14:04:46.86" personId="{00000000-0000-0000-0000-000000000000}" id="{FEDD5E83-5BAF-4308-9A28-1C3B5C2ADDDE}">
    <text>Depreciation for incremental (i.e. newly acquired) assets</text>
  </threadedComment>
  <threadedComment ref="D231" dT="2021-08-27T14:06:48.98" personId="{00000000-0000-0000-0000-000000000000}" id="{72606F46-FFCE-4DF3-BAF8-1C5C3CDEFBC2}">
    <text>Depreciation for the entire assets basis</text>
  </threadedComment>
  <threadedComment ref="D244" dT="2021-08-30T14:16:48.69" personId="{00000000-0000-0000-0000-000000000000}" id="{26761FD4-DEB6-4124-B352-D9E3D1226732}">
    <text>&gt;&gt; Impacts Acquisitions for Status Quo Scenario only
-- Allows capturing effect of hardware consistently used longer than its depreciation life (for instance hardware is depreciated over 4 years but, in reality, it is always used for 5 years before it is being renewed)
-- By default, we assume hardware usage is aligned with the depreciation life</text>
  </threadedComment>
  <threadedComment ref="D246" dT="2021-08-30T13:08:30.16" personId="{00000000-0000-0000-0000-000000000000}" id="{FC522482-4829-426A-94AE-F8582909A620}">
    <text>&gt;&gt; Impacts Acquisitions for Azure Scenario only
-- 100% would mean that all hardware for which the workload has not yet been moved to Azure is renewed (for instance if 20% of the workload has been moved to Azure, then 80% of the yearly hardware refresh will still happen). 
-- Default proposal is 10% assuming reduced acquisition only (i.e. client only buys things that are about to break or having issues)</text>
  </threadedComment>
  <threadedComment ref="D254" dT="2021-08-27T14:04:46.86" personId="{00000000-0000-0000-0000-000000000000}" id="{DF85F8E7-BA7F-4EF8-8FF0-29375CFF9732}">
    <text>Depreciation for incremental (i.e. newly acquired) assets</text>
  </threadedComment>
  <threadedComment ref="D256" dT="2021-08-27T14:06:48.98" personId="{00000000-0000-0000-0000-000000000000}" id="{65BFE540-FB9C-4DA8-B139-A5C00AC01672}">
    <text>Depreciation for the entire assets basis</text>
  </threadedComment>
  <threadedComment ref="D264" dT="2021-08-30T10:48:41.34" personId="{00000000-0000-0000-0000-000000000000}" id="{4A541CDF-BD24-4D50-9696-53891E792977}">
    <text>Use of fastest migration ramp-up among 3 workloads (impact is on yearly acquisition that consequently slow down faster)</text>
  </threadedComment>
  <threadedComment ref="D269" dT="2021-08-27T14:04:46.86" personId="{00000000-0000-0000-0000-000000000000}" id="{24AB2303-33D9-4477-808C-F6574AB2CA81}">
    <text>Depreciation for incremental (i.e. newly acquired) assets</text>
  </threadedComment>
  <threadedComment ref="D271" dT="2021-08-27T14:06:48.98" personId="{00000000-0000-0000-0000-000000000000}" id="{7E27592F-CB6D-4B28-B25C-4823241FFC90}">
    <text>Depreciation for the entire assets basis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AzureDealsFinance@microsoft.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6.bin"/><Relationship Id="rId4" Type="http://schemas.microsoft.com/office/2017/10/relationships/threadedComment" Target="../threadedComments/threadedComment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microsoft.com/office/2017/10/relationships/threadedComment" Target="../threadedComments/threadedComment9.xml"/><Relationship Id="rId4" Type="http://schemas.openxmlformats.org/officeDocument/2006/relationships/comments" Target="../comments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C28C9-96F8-4791-AC3F-AFC2B4494323}">
  <sheetPr codeName="Sheet1">
    <tabColor rgb="FFFF0000"/>
    <pageSetUpPr fitToPage="1"/>
  </sheetPr>
  <dimension ref="A1:AA36"/>
  <sheetViews>
    <sheetView showGridLines="0" zoomScale="90" zoomScaleNormal="90" workbookViewId="0">
      <selection activeCell="Q39" sqref="Q39"/>
    </sheetView>
  </sheetViews>
  <sheetFormatPr baseColWidth="10" defaultColWidth="9" defaultRowHeight="16" x14ac:dyDescent="0.2"/>
  <cols>
    <col min="1" max="1" width="2" style="16" customWidth="1"/>
    <col min="2" max="2" width="13" style="16" customWidth="1"/>
    <col min="3" max="3" width="16.83203125" style="16" customWidth="1"/>
    <col min="4" max="4" width="2.83203125" style="16" customWidth="1"/>
    <col min="5" max="8" width="13" style="30" customWidth="1"/>
    <col min="9" max="9" width="2.83203125" style="30" customWidth="1"/>
    <col min="10" max="15" width="13" style="30" customWidth="1"/>
    <col min="16" max="16" width="2.83203125" style="30" customWidth="1"/>
    <col min="17" max="18" width="13" style="30" customWidth="1"/>
    <col min="19" max="23" width="13" style="16" customWidth="1"/>
    <col min="24" max="24" width="2.83203125" style="16" customWidth="1"/>
    <col min="25" max="26" width="13" style="16" customWidth="1"/>
    <col min="27" max="16384" width="9" style="16"/>
  </cols>
  <sheetData>
    <row r="1" spans="1:27" ht="17.25" customHeight="1" x14ac:dyDescent="0.2">
      <c r="A1" s="11"/>
      <c r="B1" s="11"/>
      <c r="C1" s="11"/>
      <c r="D1" s="12"/>
      <c r="E1" s="4"/>
      <c r="F1" s="4"/>
      <c r="G1" s="4"/>
      <c r="H1" s="4"/>
      <c r="I1" s="13"/>
      <c r="J1" s="5"/>
      <c r="K1" s="6"/>
      <c r="L1" s="14"/>
      <c r="M1" s="14"/>
      <c r="N1" s="14"/>
      <c r="O1" s="14"/>
      <c r="P1" s="14"/>
      <c r="Q1" s="14"/>
      <c r="R1" s="14"/>
      <c r="S1" s="15"/>
      <c r="T1" s="15"/>
      <c r="U1" s="15"/>
      <c r="V1" s="15"/>
      <c r="W1" s="15"/>
      <c r="X1" s="15"/>
    </row>
    <row r="2" spans="1:27" ht="17.25" customHeight="1" x14ac:dyDescent="0.2">
      <c r="A2" s="11"/>
      <c r="B2" s="11"/>
      <c r="C2" s="11"/>
      <c r="D2" s="12"/>
      <c r="E2" s="32" t="s">
        <v>0</v>
      </c>
      <c r="F2" s="17"/>
      <c r="G2" s="9"/>
      <c r="H2" s="9"/>
      <c r="I2" s="13"/>
      <c r="J2" s="32" t="s">
        <v>1</v>
      </c>
      <c r="K2" s="10"/>
      <c r="L2" s="17"/>
      <c r="M2" s="17"/>
      <c r="N2" s="17"/>
      <c r="O2" s="17"/>
      <c r="P2" s="14"/>
      <c r="Q2" s="32" t="s">
        <v>2</v>
      </c>
      <c r="R2" s="17"/>
      <c r="S2" s="38"/>
      <c r="T2" s="18"/>
      <c r="U2" s="18"/>
      <c r="V2" s="18"/>
      <c r="W2" s="18"/>
      <c r="X2" s="15"/>
      <c r="Y2" s="40"/>
    </row>
    <row r="3" spans="1:27" ht="17.25" customHeight="1" x14ac:dyDescent="0.2">
      <c r="A3" s="11"/>
      <c r="B3" s="11"/>
      <c r="C3" s="11"/>
      <c r="D3" s="12"/>
      <c r="E3" s="787" t="s">
        <v>3</v>
      </c>
      <c r="F3" s="787"/>
      <c r="G3" s="787"/>
      <c r="H3" s="787"/>
      <c r="I3" s="13"/>
      <c r="J3" s="19" t="s">
        <v>4</v>
      </c>
      <c r="K3" s="10"/>
      <c r="L3" s="17"/>
      <c r="M3" s="17"/>
      <c r="N3" s="17"/>
      <c r="O3" s="17"/>
      <c r="P3" s="14"/>
      <c r="Q3" s="19" t="s">
        <v>5</v>
      </c>
      <c r="R3" s="22"/>
      <c r="S3" s="22"/>
      <c r="T3" s="22"/>
      <c r="U3" s="22"/>
      <c r="V3" s="22"/>
      <c r="W3" s="22"/>
      <c r="X3" s="15"/>
      <c r="Y3" s="38"/>
      <c r="Z3" s="22"/>
      <c r="AA3" s="22"/>
    </row>
    <row r="4" spans="1:27" ht="17.25" customHeight="1" x14ac:dyDescent="0.2">
      <c r="A4" s="11"/>
      <c r="B4" s="8" t="s">
        <v>6</v>
      </c>
      <c r="C4" s="11"/>
      <c r="D4" s="12"/>
      <c r="E4" s="787"/>
      <c r="F4" s="787"/>
      <c r="G4" s="787"/>
      <c r="H4" s="787"/>
      <c r="I4" s="14"/>
      <c r="J4" s="19" t="s">
        <v>7</v>
      </c>
      <c r="K4" s="17"/>
      <c r="L4" s="17"/>
      <c r="M4" s="17"/>
      <c r="N4" s="17"/>
      <c r="O4" s="17"/>
      <c r="P4" s="14"/>
      <c r="Q4" s="38"/>
      <c r="R4" s="38"/>
      <c r="S4" s="38"/>
      <c r="T4" s="38"/>
      <c r="U4" s="22"/>
      <c r="V4" s="22"/>
      <c r="W4" s="22"/>
      <c r="X4" s="15"/>
      <c r="Y4" s="38"/>
      <c r="Z4" s="38"/>
      <c r="AA4" s="38"/>
    </row>
    <row r="5" spans="1:27" ht="17.25" customHeight="1" x14ac:dyDescent="0.2">
      <c r="A5" s="11"/>
      <c r="B5" s="7" t="s">
        <v>8</v>
      </c>
      <c r="C5" s="21"/>
      <c r="D5" s="14"/>
      <c r="E5" s="787"/>
      <c r="F5" s="787"/>
      <c r="G5" s="787"/>
      <c r="H5" s="787"/>
      <c r="I5" s="14"/>
      <c r="J5" s="22"/>
      <c r="K5" s="17"/>
      <c r="L5" s="17"/>
      <c r="M5" s="17"/>
      <c r="N5" s="17"/>
      <c r="O5" s="17"/>
      <c r="P5" s="14"/>
      <c r="Q5" s="38"/>
      <c r="R5" s="38"/>
      <c r="S5" s="38"/>
      <c r="T5" s="38"/>
      <c r="U5" s="22"/>
      <c r="V5" s="22"/>
      <c r="W5" s="22"/>
      <c r="X5" s="15"/>
      <c r="Y5" s="38"/>
      <c r="Z5" s="38"/>
      <c r="AA5" s="38"/>
    </row>
    <row r="6" spans="1:27" ht="17.25" customHeight="1" x14ac:dyDescent="0.2">
      <c r="A6" s="11"/>
      <c r="B6" s="7" t="s">
        <v>9</v>
      </c>
      <c r="C6" s="23"/>
      <c r="D6" s="24"/>
      <c r="E6" s="787"/>
      <c r="F6" s="787"/>
      <c r="G6" s="787"/>
      <c r="H6" s="787"/>
      <c r="I6" s="14"/>
      <c r="J6" s="22" t="s">
        <v>10</v>
      </c>
      <c r="K6" s="17"/>
      <c r="L6" s="17"/>
      <c r="M6" s="17"/>
      <c r="N6" s="17"/>
      <c r="O6" s="25"/>
      <c r="P6" s="14"/>
      <c r="Q6" s="39"/>
      <c r="R6" s="38"/>
      <c r="S6" s="38"/>
      <c r="T6" s="38"/>
      <c r="U6" s="22"/>
      <c r="V6" s="22"/>
      <c r="W6" s="22"/>
      <c r="X6" s="15"/>
      <c r="Y6" s="39"/>
      <c r="Z6" s="38"/>
      <c r="AA6" s="38"/>
    </row>
    <row r="7" spans="1:27" ht="17.25" customHeight="1" x14ac:dyDescent="0.2">
      <c r="A7" s="11"/>
      <c r="B7" s="7" t="s">
        <v>11</v>
      </c>
      <c r="C7" s="23"/>
      <c r="D7" s="24"/>
      <c r="E7" s="787"/>
      <c r="F7" s="787"/>
      <c r="G7" s="787"/>
      <c r="H7" s="787"/>
      <c r="I7" s="14"/>
      <c r="J7" s="31" t="s">
        <v>12</v>
      </c>
      <c r="K7" s="17"/>
      <c r="L7" s="17"/>
      <c r="M7" s="17"/>
      <c r="N7" s="17"/>
      <c r="O7" s="26"/>
      <c r="P7" s="14"/>
      <c r="Q7" s="39"/>
      <c r="R7" s="38"/>
      <c r="S7" s="38"/>
      <c r="T7" s="38"/>
      <c r="U7" s="22"/>
      <c r="V7" s="22"/>
      <c r="W7" s="22"/>
      <c r="X7" s="15"/>
      <c r="Y7" s="39"/>
      <c r="Z7" s="38"/>
      <c r="AA7" s="38"/>
    </row>
    <row r="8" spans="1:27" ht="17.25" customHeight="1" x14ac:dyDescent="0.2">
      <c r="A8" s="11"/>
      <c r="B8" s="7"/>
      <c r="C8" s="23"/>
      <c r="D8" s="27"/>
      <c r="E8" s="787"/>
      <c r="F8" s="787"/>
      <c r="G8" s="787"/>
      <c r="H8" s="787"/>
      <c r="I8" s="14"/>
      <c r="J8" s="31" t="s">
        <v>13</v>
      </c>
      <c r="K8" s="17"/>
      <c r="L8" s="17"/>
      <c r="M8" s="17"/>
      <c r="N8" s="17"/>
      <c r="O8" s="28"/>
      <c r="P8" s="14"/>
      <c r="Q8" s="39"/>
      <c r="R8" s="38"/>
      <c r="S8" s="38"/>
      <c r="T8" s="38"/>
      <c r="U8" s="22"/>
      <c r="V8" s="22"/>
      <c r="W8" s="22"/>
      <c r="X8" s="15"/>
      <c r="Y8" s="39"/>
      <c r="Z8" s="38"/>
      <c r="AA8" s="38"/>
    </row>
    <row r="9" spans="1:27" ht="17.25" customHeight="1" x14ac:dyDescent="0.2">
      <c r="A9" s="21"/>
      <c r="B9" s="21"/>
      <c r="C9" s="23"/>
      <c r="D9" s="27"/>
      <c r="E9" s="787"/>
      <c r="F9" s="787"/>
      <c r="G9" s="787"/>
      <c r="H9" s="787"/>
      <c r="I9" s="14"/>
      <c r="J9" s="31" t="s">
        <v>14</v>
      </c>
      <c r="K9" s="17"/>
      <c r="L9" s="17"/>
      <c r="M9" s="17"/>
      <c r="N9" s="17"/>
      <c r="O9" s="17"/>
      <c r="P9" s="14"/>
      <c r="Q9" s="39"/>
      <c r="R9" s="38"/>
      <c r="S9" s="38"/>
      <c r="T9" s="38"/>
      <c r="U9" s="22"/>
      <c r="V9" s="22"/>
      <c r="W9" s="22"/>
      <c r="X9" s="15"/>
      <c r="Y9" s="30"/>
      <c r="Z9" s="38"/>
      <c r="AA9" s="38"/>
    </row>
    <row r="10" spans="1:27" ht="17.25" customHeight="1" x14ac:dyDescent="0.2">
      <c r="A10" s="11"/>
      <c r="B10" s="21"/>
      <c r="C10" s="23"/>
      <c r="D10" s="27"/>
      <c r="E10" s="787"/>
      <c r="F10" s="787"/>
      <c r="G10" s="787"/>
      <c r="H10" s="787"/>
      <c r="I10" s="14"/>
      <c r="J10" s="17"/>
      <c r="K10" s="17"/>
      <c r="L10" s="17"/>
      <c r="M10" s="17"/>
      <c r="N10" s="17"/>
      <c r="O10" s="17"/>
      <c r="P10" s="14"/>
      <c r="Q10" s="38"/>
      <c r="R10" s="38"/>
      <c r="S10" s="38"/>
      <c r="T10" s="38"/>
      <c r="U10" s="22"/>
      <c r="V10" s="22"/>
      <c r="W10" s="22"/>
      <c r="X10" s="15"/>
      <c r="Y10" s="38"/>
      <c r="Z10" s="38"/>
      <c r="AA10" s="38"/>
    </row>
    <row r="11" spans="1:27" ht="17.25" customHeight="1" x14ac:dyDescent="0.2">
      <c r="A11" s="11"/>
      <c r="B11" s="21"/>
      <c r="C11" s="23"/>
      <c r="D11" s="27"/>
      <c r="E11" s="787"/>
      <c r="F11" s="787"/>
      <c r="G11" s="787"/>
      <c r="H11" s="787"/>
      <c r="I11" s="14"/>
      <c r="J11" s="34" t="s">
        <v>15</v>
      </c>
      <c r="K11" s="17"/>
      <c r="L11" s="17"/>
      <c r="M11" s="17"/>
      <c r="N11" s="17"/>
      <c r="O11" s="17"/>
      <c r="P11" s="14"/>
      <c r="Q11" s="39"/>
      <c r="R11" s="38"/>
      <c r="S11" s="38"/>
      <c r="T11" s="38"/>
      <c r="U11" s="22"/>
      <c r="V11" s="22"/>
      <c r="W11" s="22"/>
      <c r="X11" s="15"/>
      <c r="Y11" s="39"/>
      <c r="Z11" s="38"/>
      <c r="AA11" s="38"/>
    </row>
    <row r="12" spans="1:27" ht="17.25" customHeight="1" x14ac:dyDescent="0.2">
      <c r="A12" s="11"/>
      <c r="B12" s="11"/>
      <c r="C12" s="23"/>
      <c r="D12" s="27"/>
      <c r="E12" s="787"/>
      <c r="F12" s="787"/>
      <c r="G12" s="787"/>
      <c r="H12" s="787"/>
      <c r="I12" s="14"/>
      <c r="J12" s="31" t="s">
        <v>16</v>
      </c>
      <c r="K12" s="17"/>
      <c r="L12" s="17"/>
      <c r="M12" s="17"/>
      <c r="N12" s="17"/>
      <c r="O12" s="17"/>
      <c r="P12" s="14"/>
      <c r="Q12" s="38"/>
      <c r="R12" s="38"/>
      <c r="S12" s="38"/>
      <c r="T12" s="38"/>
      <c r="U12" s="22"/>
      <c r="V12" s="22"/>
      <c r="W12" s="22"/>
      <c r="X12" s="15"/>
      <c r="Y12" s="38"/>
      <c r="Z12" s="38"/>
      <c r="AA12" s="38"/>
    </row>
    <row r="13" spans="1:27" ht="17.25" customHeight="1" x14ac:dyDescent="0.2">
      <c r="A13" s="11"/>
      <c r="B13" s="11"/>
      <c r="C13" s="23"/>
      <c r="D13" s="27"/>
      <c r="E13" s="787"/>
      <c r="F13" s="787"/>
      <c r="G13" s="787"/>
      <c r="H13" s="787"/>
      <c r="I13" s="14"/>
      <c r="J13" s="31" t="s">
        <v>17</v>
      </c>
      <c r="K13" s="17"/>
      <c r="L13" s="17"/>
      <c r="M13" s="17"/>
      <c r="N13" s="17"/>
      <c r="O13" s="17"/>
      <c r="P13" s="14"/>
      <c r="Q13" s="38"/>
      <c r="R13" s="38"/>
      <c r="S13" s="22"/>
      <c r="T13" s="22"/>
      <c r="U13" s="22"/>
      <c r="V13" s="22"/>
      <c r="W13" s="22"/>
      <c r="X13" s="15"/>
      <c r="Y13" s="38"/>
      <c r="Z13" s="38"/>
      <c r="AA13" s="22"/>
    </row>
    <row r="14" spans="1:27" ht="17.25" customHeight="1" x14ac:dyDescent="0.2">
      <c r="A14" s="11"/>
      <c r="B14" s="11"/>
      <c r="C14" s="11"/>
      <c r="D14" s="12"/>
      <c r="E14" s="787"/>
      <c r="F14" s="787"/>
      <c r="G14" s="787"/>
      <c r="H14" s="787"/>
      <c r="I14" s="14"/>
      <c r="J14" s="19"/>
      <c r="K14" s="17"/>
      <c r="L14" s="17"/>
      <c r="M14" s="17"/>
      <c r="N14" s="17"/>
      <c r="O14" s="17"/>
      <c r="P14" s="14"/>
      <c r="Q14" s="27"/>
      <c r="R14" s="27"/>
      <c r="S14" s="29"/>
      <c r="T14" s="29"/>
      <c r="U14" s="29"/>
      <c r="V14" s="29"/>
      <c r="W14" s="14"/>
      <c r="X14" s="15"/>
      <c r="Y14" s="18"/>
      <c r="AA14" s="18"/>
    </row>
    <row r="15" spans="1:27" ht="17.25" customHeight="1" x14ac:dyDescent="0.2">
      <c r="A15" s="11"/>
      <c r="B15" s="11"/>
      <c r="C15" s="11"/>
      <c r="D15" s="12"/>
      <c r="E15" s="787"/>
      <c r="F15" s="787"/>
      <c r="G15" s="787"/>
      <c r="H15" s="787"/>
      <c r="I15" s="14"/>
      <c r="J15" s="17" t="s">
        <v>18</v>
      </c>
      <c r="K15" s="17"/>
      <c r="L15" s="17"/>
      <c r="M15" s="17"/>
      <c r="N15" s="17"/>
      <c r="O15" s="17"/>
      <c r="P15" s="14"/>
      <c r="Q15" s="32" t="s">
        <v>19</v>
      </c>
      <c r="R15" s="17"/>
      <c r="S15" s="18"/>
      <c r="T15" s="18"/>
      <c r="U15" s="18"/>
      <c r="V15" s="18"/>
      <c r="W15" s="18"/>
      <c r="X15" s="15"/>
      <c r="Y15" s="18"/>
      <c r="AA15" s="18"/>
    </row>
    <row r="16" spans="1:27" ht="17.25" customHeight="1" x14ac:dyDescent="0.2">
      <c r="A16" s="11"/>
      <c r="B16" s="11"/>
      <c r="C16" s="11"/>
      <c r="D16" s="12"/>
      <c r="E16" s="787"/>
      <c r="F16" s="787"/>
      <c r="G16" s="787"/>
      <c r="H16" s="787"/>
      <c r="I16" s="14"/>
      <c r="J16" s="17" t="s">
        <v>20</v>
      </c>
      <c r="K16" s="17"/>
      <c r="L16" s="17"/>
      <c r="M16" s="17"/>
      <c r="N16" s="17"/>
      <c r="O16" s="17"/>
      <c r="P16" s="14"/>
      <c r="Q16" s="787" t="s">
        <v>21</v>
      </c>
      <c r="R16" s="787"/>
      <c r="S16" s="787"/>
      <c r="T16" s="787"/>
      <c r="U16" s="787"/>
      <c r="V16" s="787"/>
      <c r="W16" s="787"/>
      <c r="X16" s="15"/>
      <c r="Y16" s="18"/>
      <c r="AA16" s="18"/>
    </row>
    <row r="17" spans="1:27" ht="17.25" customHeight="1" x14ac:dyDescent="0.2">
      <c r="A17" s="11"/>
      <c r="B17" s="11"/>
      <c r="C17" s="11"/>
      <c r="D17" s="12"/>
      <c r="E17" s="787"/>
      <c r="F17" s="787"/>
      <c r="G17" s="787"/>
      <c r="H17" s="787"/>
      <c r="I17" s="14"/>
      <c r="J17" s="17"/>
      <c r="K17" s="17"/>
      <c r="L17" s="17"/>
      <c r="M17" s="17"/>
      <c r="N17" s="17"/>
      <c r="O17" s="17"/>
      <c r="P17" s="14"/>
      <c r="Q17" s="787"/>
      <c r="R17" s="787"/>
      <c r="S17" s="787"/>
      <c r="T17" s="787"/>
      <c r="U17" s="787"/>
      <c r="V17" s="787"/>
      <c r="W17" s="787"/>
      <c r="X17" s="15"/>
      <c r="Y17" s="18"/>
      <c r="AA17" s="18"/>
    </row>
    <row r="18" spans="1:27" ht="17.25" customHeight="1" x14ac:dyDescent="0.2">
      <c r="A18" s="11"/>
      <c r="B18" s="11"/>
      <c r="C18" s="11"/>
      <c r="D18" s="12"/>
      <c r="E18" s="787"/>
      <c r="F18" s="787"/>
      <c r="G18" s="787"/>
      <c r="H18" s="787"/>
      <c r="I18" s="14"/>
      <c r="J18" s="56" t="s">
        <v>22</v>
      </c>
      <c r="P18" s="14"/>
      <c r="Q18" s="787"/>
      <c r="R18" s="787"/>
      <c r="S18" s="787"/>
      <c r="T18" s="787"/>
      <c r="U18" s="787"/>
      <c r="V18" s="787"/>
      <c r="W18" s="787"/>
      <c r="X18" s="15"/>
      <c r="Y18" s="18"/>
      <c r="AA18" s="18"/>
    </row>
    <row r="19" spans="1:27" ht="17.25" customHeight="1" x14ac:dyDescent="0.2">
      <c r="A19" s="11"/>
      <c r="B19" s="11"/>
      <c r="C19" s="11"/>
      <c r="D19" s="12"/>
      <c r="E19" s="787"/>
      <c r="F19" s="787"/>
      <c r="G19" s="787"/>
      <c r="H19" s="787"/>
      <c r="I19" s="14"/>
      <c r="J19" s="31" t="s">
        <v>23</v>
      </c>
      <c r="K19" s="17"/>
      <c r="L19" s="17"/>
      <c r="M19" s="17"/>
      <c r="N19" s="17"/>
      <c r="O19" s="17"/>
      <c r="P19" s="14"/>
      <c r="Q19" s="787"/>
      <c r="R19" s="787"/>
      <c r="S19" s="787"/>
      <c r="T19" s="787"/>
      <c r="U19" s="787"/>
      <c r="V19" s="787"/>
      <c r="W19" s="787"/>
      <c r="X19" s="15"/>
      <c r="Y19" s="18"/>
      <c r="AA19" s="18"/>
    </row>
    <row r="20" spans="1:27" ht="17.25" customHeight="1" x14ac:dyDescent="0.2">
      <c r="A20" s="11"/>
      <c r="B20" s="11"/>
      <c r="C20" s="11"/>
      <c r="D20" s="12"/>
      <c r="E20" s="787"/>
      <c r="F20" s="787"/>
      <c r="G20" s="787"/>
      <c r="H20" s="787"/>
      <c r="I20" s="14"/>
      <c r="J20" s="31" t="s">
        <v>24</v>
      </c>
      <c r="K20" s="17"/>
      <c r="L20" s="17"/>
      <c r="M20" s="17"/>
      <c r="N20" s="17"/>
      <c r="O20" s="17"/>
      <c r="P20" s="14"/>
      <c r="Q20" s="787"/>
      <c r="R20" s="787"/>
      <c r="S20" s="787"/>
      <c r="T20" s="787"/>
      <c r="U20" s="787"/>
      <c r="V20" s="787"/>
      <c r="W20" s="787"/>
      <c r="X20" s="15"/>
      <c r="Y20" s="18"/>
      <c r="AA20" s="18"/>
    </row>
    <row r="21" spans="1:27" ht="17.25" customHeight="1" x14ac:dyDescent="0.2">
      <c r="A21" s="11"/>
      <c r="B21" s="11"/>
      <c r="C21" s="11"/>
      <c r="D21" s="12"/>
      <c r="E21" s="787"/>
      <c r="F21" s="787"/>
      <c r="G21" s="787"/>
      <c r="H21" s="787"/>
      <c r="I21" s="14"/>
      <c r="J21" s="31" t="s">
        <v>25</v>
      </c>
      <c r="K21" s="17"/>
      <c r="L21" s="17"/>
      <c r="M21" s="17"/>
      <c r="N21" s="17"/>
      <c r="O21" s="17"/>
      <c r="P21" s="14"/>
      <c r="Q21" s="787"/>
      <c r="R21" s="787"/>
      <c r="S21" s="787"/>
      <c r="T21" s="787"/>
      <c r="U21" s="787"/>
      <c r="V21" s="787"/>
      <c r="W21" s="787"/>
      <c r="X21" s="15"/>
      <c r="Y21" s="18"/>
    </row>
    <row r="22" spans="1:27" ht="17.25" customHeight="1" x14ac:dyDescent="0.2">
      <c r="A22" s="11"/>
      <c r="B22" s="11"/>
      <c r="C22" s="11"/>
      <c r="D22" s="12"/>
      <c r="E22" s="787"/>
      <c r="F22" s="787"/>
      <c r="G22" s="787"/>
      <c r="H22" s="787"/>
      <c r="I22" s="14"/>
      <c r="J22" s="31" t="s">
        <v>26</v>
      </c>
      <c r="K22" s="17"/>
      <c r="L22" s="17"/>
      <c r="M22" s="17"/>
      <c r="N22" s="17"/>
      <c r="O22" s="17"/>
      <c r="P22" s="14"/>
      <c r="Q22" s="787"/>
      <c r="R22" s="787"/>
      <c r="S22" s="787"/>
      <c r="T22" s="787"/>
      <c r="U22" s="787"/>
      <c r="V22" s="787"/>
      <c r="W22" s="787"/>
      <c r="X22" s="15"/>
      <c r="Y22" s="18"/>
    </row>
    <row r="23" spans="1:27" ht="17.25" customHeight="1" x14ac:dyDescent="0.2">
      <c r="A23" s="11"/>
      <c r="B23" s="11"/>
      <c r="C23" s="11"/>
      <c r="D23" s="12"/>
      <c r="E23" s="787"/>
      <c r="F23" s="787"/>
      <c r="G23" s="787"/>
      <c r="H23" s="787"/>
      <c r="I23" s="14"/>
      <c r="J23" s="31" t="s">
        <v>27</v>
      </c>
      <c r="K23" s="17"/>
      <c r="L23" s="17"/>
      <c r="M23" s="17"/>
      <c r="N23" s="17"/>
      <c r="O23" s="17"/>
      <c r="P23" s="14"/>
      <c r="Q23" s="787"/>
      <c r="R23" s="787"/>
      <c r="S23" s="787"/>
      <c r="T23" s="787"/>
      <c r="U23" s="787"/>
      <c r="V23" s="787"/>
      <c r="W23" s="787"/>
      <c r="X23" s="15"/>
      <c r="Y23" s="18"/>
    </row>
    <row r="24" spans="1:27" ht="17.25" customHeight="1" x14ac:dyDescent="0.2">
      <c r="A24" s="11"/>
      <c r="B24" s="11"/>
      <c r="C24" s="11"/>
      <c r="D24" s="12"/>
      <c r="E24" s="787"/>
      <c r="F24" s="787"/>
      <c r="G24" s="787"/>
      <c r="H24" s="787"/>
      <c r="I24" s="14"/>
      <c r="J24" s="31" t="s">
        <v>28</v>
      </c>
      <c r="K24" s="17"/>
      <c r="L24" s="17"/>
      <c r="M24" s="17"/>
      <c r="N24" s="17"/>
      <c r="O24" s="17"/>
      <c r="P24" s="14"/>
      <c r="Q24" s="787"/>
      <c r="R24" s="787"/>
      <c r="S24" s="787"/>
      <c r="T24" s="787"/>
      <c r="U24" s="787"/>
      <c r="V24" s="787"/>
      <c r="W24" s="787"/>
      <c r="X24" s="15"/>
      <c r="Y24" s="18"/>
    </row>
    <row r="25" spans="1:27" ht="17.25" customHeight="1" x14ac:dyDescent="0.2">
      <c r="A25" s="11"/>
      <c r="B25" s="11"/>
      <c r="C25" s="11"/>
      <c r="D25" s="12"/>
      <c r="E25" s="787"/>
      <c r="F25" s="787"/>
      <c r="G25" s="787"/>
      <c r="H25" s="787"/>
      <c r="I25" s="14"/>
      <c r="J25" s="31" t="s">
        <v>29</v>
      </c>
      <c r="K25" s="17"/>
      <c r="L25" s="17"/>
      <c r="M25" s="17"/>
      <c r="N25" s="17"/>
      <c r="O25" s="17"/>
      <c r="P25" s="14"/>
      <c r="Q25" s="787"/>
      <c r="R25" s="787"/>
      <c r="S25" s="787"/>
      <c r="T25" s="787"/>
      <c r="U25" s="787"/>
      <c r="V25" s="787"/>
      <c r="W25" s="787"/>
      <c r="X25" s="15"/>
      <c r="Y25" s="18"/>
    </row>
    <row r="26" spans="1:27" ht="17.25" customHeight="1" x14ac:dyDescent="0.2">
      <c r="A26" s="11"/>
      <c r="B26" s="11"/>
      <c r="C26" s="11"/>
      <c r="D26" s="12"/>
      <c r="E26" s="787"/>
      <c r="F26" s="787"/>
      <c r="G26" s="787"/>
      <c r="H26" s="787"/>
      <c r="I26" s="14"/>
      <c r="J26" s="31" t="s">
        <v>30</v>
      </c>
      <c r="K26" s="17"/>
      <c r="L26" s="17"/>
      <c r="M26" s="17"/>
      <c r="N26" s="17"/>
      <c r="O26" s="17"/>
      <c r="P26" s="14"/>
      <c r="Q26" s="787"/>
      <c r="R26" s="787"/>
      <c r="S26" s="787"/>
      <c r="T26" s="787"/>
      <c r="U26" s="787"/>
      <c r="V26" s="787"/>
      <c r="W26" s="787"/>
      <c r="X26" s="15"/>
      <c r="Y26" s="18"/>
    </row>
    <row r="27" spans="1:27" ht="17.25" customHeight="1" x14ac:dyDescent="0.2">
      <c r="A27" s="11"/>
      <c r="B27" s="11"/>
      <c r="C27" s="11"/>
      <c r="D27" s="12"/>
      <c r="E27" s="787"/>
      <c r="F27" s="787"/>
      <c r="G27" s="787"/>
      <c r="H27" s="787"/>
      <c r="I27" s="14"/>
      <c r="J27" s="17" t="s">
        <v>31</v>
      </c>
      <c r="K27" s="17"/>
      <c r="L27" s="17"/>
      <c r="M27" s="17"/>
      <c r="N27" s="17"/>
      <c r="O27" s="17"/>
      <c r="P27" s="14"/>
      <c r="Q27" s="787"/>
      <c r="R27" s="787"/>
      <c r="S27" s="787"/>
      <c r="T27" s="787"/>
      <c r="U27" s="787"/>
      <c r="V27" s="787"/>
      <c r="W27" s="787"/>
      <c r="X27" s="15"/>
      <c r="Y27" s="18"/>
    </row>
    <row r="28" spans="1:27" ht="17.25" customHeight="1" x14ac:dyDescent="0.2">
      <c r="A28" s="11"/>
      <c r="B28" s="11"/>
      <c r="C28" s="11"/>
      <c r="D28" s="12"/>
      <c r="E28" s="787"/>
      <c r="F28" s="787"/>
      <c r="G28" s="787"/>
      <c r="H28" s="787"/>
      <c r="I28" s="14"/>
      <c r="J28" s="31"/>
      <c r="K28" s="17"/>
      <c r="L28" s="17"/>
      <c r="M28" s="17"/>
      <c r="N28" s="17"/>
      <c r="O28" s="17"/>
      <c r="P28" s="14"/>
      <c r="Q28" s="787"/>
      <c r="R28" s="787"/>
      <c r="S28" s="787"/>
      <c r="T28" s="787"/>
      <c r="U28" s="787"/>
      <c r="V28" s="787"/>
      <c r="W28" s="787"/>
      <c r="X28" s="15"/>
      <c r="Y28" s="18"/>
    </row>
    <row r="29" spans="1:27" ht="17.25" customHeight="1" x14ac:dyDescent="0.2">
      <c r="A29" s="11"/>
      <c r="B29" s="11"/>
      <c r="C29" s="11"/>
      <c r="D29" s="12"/>
      <c r="E29" s="14"/>
      <c r="F29" s="14"/>
      <c r="G29" s="14"/>
      <c r="H29" s="14"/>
      <c r="I29" s="14"/>
      <c r="J29" s="34" t="s">
        <v>32</v>
      </c>
      <c r="K29" s="17"/>
      <c r="L29" s="17"/>
      <c r="M29" s="17"/>
      <c r="N29" s="17"/>
      <c r="O29" s="17"/>
      <c r="P29" s="14"/>
      <c r="Q29" s="787"/>
      <c r="R29" s="787"/>
      <c r="S29" s="787"/>
      <c r="T29" s="787"/>
      <c r="U29" s="787"/>
      <c r="V29" s="787"/>
      <c r="W29" s="787"/>
      <c r="X29" s="15"/>
      <c r="Y29" s="18"/>
    </row>
    <row r="30" spans="1:27" ht="17.25" customHeight="1" x14ac:dyDescent="0.2">
      <c r="A30" s="11"/>
      <c r="B30" s="11"/>
      <c r="C30" s="11"/>
      <c r="D30" s="12"/>
      <c r="E30" s="32" t="s">
        <v>33</v>
      </c>
      <c r="F30" s="17"/>
      <c r="G30" s="17"/>
      <c r="H30" s="17"/>
      <c r="I30" s="14"/>
      <c r="J30" s="31" t="s">
        <v>34</v>
      </c>
      <c r="K30" s="17"/>
      <c r="L30" s="17"/>
      <c r="M30" s="17"/>
      <c r="N30" s="17"/>
      <c r="O30" s="17"/>
      <c r="P30" s="14"/>
      <c r="Q30" s="787"/>
      <c r="R30" s="787"/>
      <c r="S30" s="787"/>
      <c r="T30" s="787"/>
      <c r="U30" s="787"/>
      <c r="V30" s="787"/>
      <c r="W30" s="787"/>
      <c r="X30" s="15"/>
      <c r="Y30" s="18"/>
    </row>
    <row r="31" spans="1:27" ht="17.25" customHeight="1" x14ac:dyDescent="0.2">
      <c r="A31" s="11"/>
      <c r="B31" s="11"/>
      <c r="C31" s="11"/>
      <c r="D31" s="12"/>
      <c r="E31" s="19" t="s">
        <v>35</v>
      </c>
      <c r="F31" s="17"/>
      <c r="G31" s="35" t="s">
        <v>36</v>
      </c>
      <c r="H31" s="55" t="s">
        <v>37</v>
      </c>
      <c r="I31" s="14"/>
      <c r="J31" s="31" t="s">
        <v>38</v>
      </c>
      <c r="K31" s="17"/>
      <c r="L31" s="17"/>
      <c r="M31" s="17"/>
      <c r="N31" s="17"/>
      <c r="O31" s="17"/>
      <c r="P31" s="14"/>
      <c r="Q31" s="787"/>
      <c r="R31" s="787"/>
      <c r="S31" s="787"/>
      <c r="T31" s="787"/>
      <c r="U31" s="787"/>
      <c r="V31" s="787"/>
      <c r="W31" s="787"/>
      <c r="X31" s="15"/>
      <c r="Y31" s="18"/>
    </row>
    <row r="32" spans="1:27" ht="17.25" customHeight="1" x14ac:dyDescent="0.2">
      <c r="A32" s="11"/>
      <c r="B32" s="11"/>
      <c r="C32" s="11"/>
      <c r="D32" s="12"/>
      <c r="E32" s="36"/>
      <c r="F32" s="14"/>
      <c r="G32" s="14"/>
      <c r="H32" s="14"/>
      <c r="I32" s="14"/>
      <c r="J32" s="31" t="s">
        <v>39</v>
      </c>
      <c r="K32" s="17"/>
      <c r="L32" s="17"/>
      <c r="M32" s="17"/>
      <c r="N32" s="17"/>
      <c r="O32" s="17"/>
      <c r="P32" s="14"/>
      <c r="Q32" s="22"/>
      <c r="R32" s="17"/>
      <c r="S32" s="18"/>
      <c r="T32" s="18"/>
      <c r="U32" s="18"/>
      <c r="V32" s="18"/>
      <c r="W32" s="18"/>
      <c r="X32" s="15"/>
      <c r="Y32" s="18"/>
    </row>
    <row r="33" spans="1:25" ht="17.25" customHeight="1" x14ac:dyDescent="0.2">
      <c r="A33" s="11"/>
      <c r="B33" s="11"/>
      <c r="C33" s="11"/>
      <c r="D33" s="12"/>
      <c r="E33" s="32" t="s">
        <v>40</v>
      </c>
      <c r="F33" s="17"/>
      <c r="G33" s="18"/>
      <c r="H33" s="18"/>
      <c r="I33" s="14"/>
      <c r="J33" s="31" t="s">
        <v>41</v>
      </c>
      <c r="K33" s="17"/>
      <c r="L33" s="17"/>
      <c r="M33" s="17"/>
      <c r="N33" s="17"/>
      <c r="O33" s="17"/>
      <c r="P33" s="14"/>
      <c r="Q33" s="37"/>
      <c r="R33" s="17"/>
      <c r="S33" s="18"/>
      <c r="T33" s="18"/>
      <c r="U33" s="18"/>
      <c r="V33" s="18"/>
      <c r="W33" s="18"/>
      <c r="X33" s="15"/>
      <c r="Y33" s="18"/>
    </row>
    <row r="34" spans="1:25" ht="17.25" customHeight="1" x14ac:dyDescent="0.2">
      <c r="A34" s="11"/>
      <c r="B34" s="11"/>
      <c r="C34" s="11"/>
      <c r="D34" s="12"/>
      <c r="E34" s="20" t="s">
        <v>42</v>
      </c>
      <c r="F34" s="17"/>
      <c r="G34" s="18"/>
      <c r="H34" s="18"/>
      <c r="I34" s="14"/>
      <c r="J34" s="17"/>
      <c r="K34" s="17"/>
      <c r="L34" s="17"/>
      <c r="M34" s="17"/>
      <c r="N34" s="17"/>
      <c r="O34" s="17"/>
      <c r="P34" s="14"/>
      <c r="Q34" s="17"/>
      <c r="R34" s="17"/>
      <c r="S34" s="18"/>
      <c r="T34" s="18"/>
      <c r="U34" s="18"/>
      <c r="V34" s="18"/>
      <c r="W34" s="18"/>
      <c r="X34" s="15"/>
      <c r="Y34" s="18"/>
    </row>
    <row r="35" spans="1:25" ht="17.25" customHeight="1" x14ac:dyDescent="0.2">
      <c r="A35" s="11"/>
      <c r="B35" s="11"/>
      <c r="C35" s="11"/>
      <c r="D35" s="12"/>
      <c r="E35" s="33" t="s">
        <v>43</v>
      </c>
      <c r="F35" s="17"/>
      <c r="G35" s="18"/>
      <c r="H35" s="18"/>
      <c r="I35" s="14"/>
      <c r="J35" s="17" t="s">
        <v>44</v>
      </c>
      <c r="K35" s="17"/>
      <c r="L35" s="17"/>
      <c r="M35" s="17"/>
      <c r="N35" s="17"/>
      <c r="O35" s="17"/>
      <c r="P35" s="14"/>
      <c r="Q35" s="17"/>
      <c r="R35" s="17"/>
      <c r="S35" s="18"/>
      <c r="T35" s="18"/>
      <c r="U35" s="18"/>
      <c r="V35" s="18"/>
      <c r="W35" s="18"/>
      <c r="X35" s="15"/>
      <c r="Y35" s="18"/>
    </row>
    <row r="36" spans="1:25" ht="17.25" customHeight="1" x14ac:dyDescent="0.2">
      <c r="A36" s="11"/>
      <c r="B36" s="11"/>
      <c r="C36" s="11"/>
      <c r="D36" s="12"/>
      <c r="E36" s="14"/>
      <c r="F36" s="14"/>
      <c r="G36" s="14"/>
      <c r="H36" s="14"/>
      <c r="I36" s="14"/>
      <c r="J36" s="14"/>
      <c r="K36" s="14"/>
      <c r="L36" s="14"/>
      <c r="M36" s="14"/>
      <c r="N36" s="14"/>
      <c r="O36" s="14"/>
      <c r="P36" s="14"/>
      <c r="Q36" s="14"/>
      <c r="R36" s="14"/>
      <c r="S36" s="15"/>
      <c r="T36" s="15"/>
      <c r="U36" s="15"/>
      <c r="V36" s="15"/>
      <c r="W36" s="15"/>
      <c r="X36" s="15"/>
    </row>
  </sheetData>
  <mergeCells count="2">
    <mergeCell ref="E3:H28"/>
    <mergeCell ref="Q16:W31"/>
  </mergeCells>
  <hyperlinks>
    <hyperlink ref="E35" r:id="rId1" xr:uid="{4562D058-6FA2-4CD1-89C9-7A21C06AFA9A}"/>
  </hyperlinks>
  <pageMargins left="0.7" right="0.7" top="0.75" bottom="0.75" header="0.3" footer="0.3"/>
  <pageSetup paperSize="9" scale="43"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LaunchFlow">
                <anchor moveWithCells="1" sizeWithCells="1">
                  <from>
                    <xdr:col>1</xdr:col>
                    <xdr:colOff>114300</xdr:colOff>
                    <xdr:row>8</xdr:row>
                    <xdr:rowOff>203200</xdr:rowOff>
                  </from>
                  <to>
                    <xdr:col>2</xdr:col>
                    <xdr:colOff>749300</xdr:colOff>
                    <xdr:row>11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0D83F-4EEC-48F9-9C91-D0CCE1D538E9}">
  <sheetPr codeName="Sheet2">
    <tabColor rgb="FFFFFF00"/>
  </sheetPr>
  <dimension ref="C1:Q228"/>
  <sheetViews>
    <sheetView showGridLines="0" zoomScale="110" zoomScaleNormal="110" workbookViewId="0">
      <pane ySplit="5" topLeftCell="A42" activePane="bottomLeft" state="frozen"/>
      <selection activeCell="H37" sqref="H37"/>
      <selection pane="bottomLeft" activeCell="D67" sqref="D67"/>
    </sheetView>
  </sheetViews>
  <sheetFormatPr baseColWidth="10" defaultColWidth="9" defaultRowHeight="14" x14ac:dyDescent="0.2"/>
  <cols>
    <col min="1" max="2" width="2.83203125" style="65" customWidth="1"/>
    <col min="3" max="3" width="44.5" style="65" customWidth="1"/>
    <col min="4" max="4" width="11.83203125" style="65" customWidth="1"/>
    <col min="5" max="5" width="2" style="65" customWidth="1"/>
    <col min="6" max="6" width="36.83203125" style="65" customWidth="1"/>
    <col min="7" max="8" width="9" style="65"/>
    <col min="9" max="9" width="11.83203125" style="65" customWidth="1"/>
    <col min="10" max="12" width="9" style="65"/>
    <col min="13" max="13" width="10.5" style="65" bestFit="1" customWidth="1"/>
    <col min="14" max="16384" width="9" style="65"/>
  </cols>
  <sheetData>
    <row r="1" spans="3:8" x14ac:dyDescent="0.2">
      <c r="C1" s="705" t="s">
        <v>45</v>
      </c>
    </row>
    <row r="2" spans="3:8" ht="15" x14ac:dyDescent="0.2">
      <c r="C2" s="59" t="s">
        <v>46</v>
      </c>
      <c r="F2" s="254" t="s">
        <v>47</v>
      </c>
      <c r="G2" s="700" t="s">
        <v>48</v>
      </c>
    </row>
    <row r="3" spans="3:8" ht="15.75" customHeight="1" x14ac:dyDescent="0.2">
      <c r="C3" s="59"/>
      <c r="G3" s="162"/>
      <c r="H3" s="65" t="s">
        <v>49</v>
      </c>
    </row>
    <row r="4" spans="3:8" ht="15.75" customHeight="1" x14ac:dyDescent="0.2">
      <c r="C4" s="59"/>
      <c r="G4" s="255"/>
      <c r="H4" s="65" t="s">
        <v>50</v>
      </c>
    </row>
    <row r="5" spans="3:8" ht="15.75" customHeight="1" x14ac:dyDescent="0.2">
      <c r="C5" s="59"/>
      <c r="G5" s="75"/>
      <c r="H5" s="65" t="s">
        <v>51</v>
      </c>
    </row>
    <row r="7" spans="3:8" s="68" customFormat="1" x14ac:dyDescent="0.2">
      <c r="C7" s="133" t="s">
        <v>52</v>
      </c>
    </row>
    <row r="8" spans="3:8" ht="4.5" customHeight="1" x14ac:dyDescent="0.2"/>
    <row r="9" spans="3:8" x14ac:dyDescent="0.2">
      <c r="C9" s="65" t="s">
        <v>53</v>
      </c>
      <c r="D9" s="256" t="s">
        <v>54</v>
      </c>
      <c r="E9" s="257"/>
      <c r="F9" s="258" t="s">
        <v>55</v>
      </c>
    </row>
    <row r="10" spans="3:8" x14ac:dyDescent="0.2">
      <c r="C10" s="65" t="s">
        <v>56</v>
      </c>
      <c r="D10" s="256" t="s">
        <v>57</v>
      </c>
      <c r="E10" s="257"/>
      <c r="F10" s="258" t="s">
        <v>55</v>
      </c>
    </row>
    <row r="11" spans="3:8" x14ac:dyDescent="0.2">
      <c r="C11" s="65" t="s">
        <v>58</v>
      </c>
      <c r="D11" s="629">
        <v>1</v>
      </c>
      <c r="E11" s="257"/>
      <c r="F11" s="258" t="s">
        <v>59</v>
      </c>
    </row>
    <row r="12" spans="3:8" x14ac:dyDescent="0.2">
      <c r="D12" s="260"/>
      <c r="E12" s="257"/>
      <c r="F12" s="258"/>
    </row>
    <row r="13" spans="3:8" x14ac:dyDescent="0.2">
      <c r="C13" s="65" t="s">
        <v>60</v>
      </c>
      <c r="D13" s="259" t="s">
        <v>61</v>
      </c>
      <c r="E13" s="257"/>
      <c r="F13" s="258" t="s">
        <v>62</v>
      </c>
    </row>
    <row r="14" spans="3:8" x14ac:dyDescent="0.2">
      <c r="C14" s="65" t="s">
        <v>63</v>
      </c>
      <c r="D14" s="259" t="s">
        <v>61</v>
      </c>
      <c r="E14" s="257"/>
      <c r="F14" s="258" t="s">
        <v>62</v>
      </c>
    </row>
    <row r="15" spans="3:8" x14ac:dyDescent="0.2">
      <c r="D15" s="91"/>
      <c r="E15" s="60"/>
      <c r="F15" s="60"/>
    </row>
    <row r="16" spans="3:8" x14ac:dyDescent="0.2">
      <c r="C16" s="261" t="s">
        <v>64</v>
      </c>
    </row>
    <row r="17" spans="3:17" ht="4.5" customHeight="1" x14ac:dyDescent="0.2"/>
    <row r="18" spans="3:17" x14ac:dyDescent="0.2">
      <c r="C18" s="65" t="s">
        <v>65</v>
      </c>
      <c r="D18" s="296">
        <v>0</v>
      </c>
      <c r="E18" s="257"/>
      <c r="F18" s="258" t="s">
        <v>66</v>
      </c>
    </row>
    <row r="19" spans="3:17" x14ac:dyDescent="0.2">
      <c r="C19" s="65" t="s">
        <v>67</v>
      </c>
      <c r="D19" s="263" t="s">
        <v>68</v>
      </c>
      <c r="E19" s="257"/>
      <c r="F19" s="60" t="s">
        <v>69</v>
      </c>
      <c r="Q19" s="700" t="s">
        <v>70</v>
      </c>
    </row>
    <row r="20" spans="3:17" x14ac:dyDescent="0.2">
      <c r="C20" s="65" t="s">
        <v>71</v>
      </c>
      <c r="D20" s="296">
        <v>0</v>
      </c>
      <c r="E20" s="257"/>
      <c r="F20" s="258" t="s">
        <v>72</v>
      </c>
    </row>
    <row r="21" spans="3:17" x14ac:dyDescent="0.2">
      <c r="D21" s="91"/>
      <c r="E21" s="60"/>
    </row>
    <row r="22" spans="3:17" x14ac:dyDescent="0.2">
      <c r="C22" s="261" t="s">
        <v>73</v>
      </c>
    </row>
    <row r="23" spans="3:17" ht="4.5" customHeight="1" x14ac:dyDescent="0.2"/>
    <row r="24" spans="3:17" x14ac:dyDescent="0.2">
      <c r="C24" s="65" t="s">
        <v>74</v>
      </c>
      <c r="D24" s="262">
        <v>5</v>
      </c>
      <c r="E24" s="257"/>
      <c r="F24" s="258" t="s">
        <v>75</v>
      </c>
    </row>
    <row r="25" spans="3:17" x14ac:dyDescent="0.2">
      <c r="C25" s="65" t="s">
        <v>76</v>
      </c>
      <c r="D25" s="262">
        <v>5</v>
      </c>
      <c r="E25" s="257"/>
      <c r="F25" s="258" t="s">
        <v>75</v>
      </c>
    </row>
    <row r="26" spans="3:17" x14ac:dyDescent="0.2">
      <c r="C26" s="65" t="s">
        <v>77</v>
      </c>
      <c r="D26" s="427">
        <v>0.1</v>
      </c>
      <c r="E26" s="257"/>
      <c r="F26" s="258" t="s">
        <v>78</v>
      </c>
    </row>
    <row r="27" spans="3:17" x14ac:dyDescent="0.2">
      <c r="C27" s="136" t="s">
        <v>79</v>
      </c>
      <c r="D27" s="264">
        <v>0.1</v>
      </c>
      <c r="F27" s="258" t="s">
        <v>80</v>
      </c>
    </row>
    <row r="28" spans="3:17" x14ac:dyDescent="0.2">
      <c r="D28" s="91"/>
      <c r="E28" s="60"/>
      <c r="F28" s="60"/>
    </row>
    <row r="29" spans="3:17" x14ac:dyDescent="0.2">
      <c r="C29" s="261" t="s">
        <v>81</v>
      </c>
    </row>
    <row r="30" spans="3:17" ht="4.5" customHeight="1" x14ac:dyDescent="0.2"/>
    <row r="31" spans="3:17" x14ac:dyDescent="0.2">
      <c r="C31" s="65" t="s">
        <v>82</v>
      </c>
      <c r="D31" s="567" t="s">
        <v>83</v>
      </c>
      <c r="E31" s="257"/>
      <c r="F31" s="258"/>
    </row>
    <row r="32" spans="3:17" x14ac:dyDescent="0.2">
      <c r="D32" s="91"/>
      <c r="E32" s="60"/>
      <c r="F32" s="60"/>
    </row>
    <row r="33" spans="3:17" s="68" customFormat="1" x14ac:dyDescent="0.2">
      <c r="C33" s="133" t="s">
        <v>84</v>
      </c>
    </row>
    <row r="34" spans="3:17" ht="4.5" customHeight="1" x14ac:dyDescent="0.2">
      <c r="D34" s="91"/>
      <c r="E34" s="60"/>
      <c r="F34" s="60"/>
    </row>
    <row r="35" spans="3:17" x14ac:dyDescent="0.2">
      <c r="C35" s="65" t="s">
        <v>85</v>
      </c>
      <c r="D35" s="256" t="s">
        <v>86</v>
      </c>
      <c r="E35" s="257"/>
      <c r="F35" s="258" t="s">
        <v>55</v>
      </c>
    </row>
    <row r="36" spans="3:17" ht="4.5" customHeight="1" x14ac:dyDescent="0.2">
      <c r="D36" s="91"/>
      <c r="E36" s="60"/>
      <c r="F36" s="60"/>
    </row>
    <row r="37" spans="3:17" x14ac:dyDescent="0.2">
      <c r="C37" s="266" t="s">
        <v>87</v>
      </c>
      <c r="D37" s="91"/>
      <c r="E37" s="60"/>
      <c r="F37" s="60"/>
      <c r="J37" s="85"/>
      <c r="Q37" s="701" t="s">
        <v>88</v>
      </c>
    </row>
    <row r="38" spans="3:17" ht="5.5" customHeight="1" x14ac:dyDescent="0.2">
      <c r="C38" s="80"/>
      <c r="D38" s="91"/>
      <c r="E38" s="60"/>
      <c r="F38" s="60"/>
      <c r="Q38" s="700"/>
    </row>
    <row r="39" spans="3:17" x14ac:dyDescent="0.2">
      <c r="C39" s="65" t="s">
        <v>89</v>
      </c>
      <c r="D39" s="267"/>
      <c r="E39" s="60"/>
      <c r="F39" s="60"/>
      <c r="J39" s="85"/>
      <c r="Q39" s="700" t="s">
        <v>90</v>
      </c>
    </row>
    <row r="40" spans="3:17" x14ac:dyDescent="0.2">
      <c r="C40" s="65" t="s">
        <v>91</v>
      </c>
      <c r="D40" s="267"/>
      <c r="E40" s="60"/>
      <c r="F40" s="60"/>
      <c r="J40" s="85"/>
      <c r="Q40" s="700"/>
    </row>
    <row r="41" spans="3:17" x14ac:dyDescent="0.2">
      <c r="C41" s="65" t="s">
        <v>92</v>
      </c>
      <c r="D41" s="75">
        <f>SUM(D39:D40)</f>
        <v>0</v>
      </c>
      <c r="E41" s="60"/>
      <c r="F41" s="62" t="s">
        <v>93</v>
      </c>
      <c r="J41" s="85"/>
      <c r="Q41" s="700"/>
    </row>
    <row r="42" spans="3:17" x14ac:dyDescent="0.2">
      <c r="C42" s="65" t="s">
        <v>94</v>
      </c>
      <c r="D42" s="262">
        <f>D39/'Benchmark Assumptions'!$K$11+D40</f>
        <v>0</v>
      </c>
      <c r="E42" s="60"/>
      <c r="F42" s="60" t="s">
        <v>95</v>
      </c>
      <c r="J42" s="85"/>
      <c r="Q42" s="700" t="s">
        <v>96</v>
      </c>
    </row>
    <row r="43" spans="3:17" x14ac:dyDescent="0.2">
      <c r="D43" s="268"/>
      <c r="E43" s="60"/>
      <c r="F43" s="60"/>
      <c r="J43" s="85" t="s">
        <v>97</v>
      </c>
      <c r="Q43" s="700"/>
    </row>
    <row r="44" spans="3:17" x14ac:dyDescent="0.2">
      <c r="C44" s="65" t="s">
        <v>98</v>
      </c>
      <c r="D44" s="267"/>
      <c r="E44" s="60"/>
      <c r="F44" s="60"/>
      <c r="J44" s="269">
        <f>IF($D$39=0,0,D44/$D$39)</f>
        <v>0</v>
      </c>
      <c r="K44" s="65" t="s">
        <v>99</v>
      </c>
      <c r="Q44" s="700" t="s">
        <v>100</v>
      </c>
    </row>
    <row r="45" spans="3:17" x14ac:dyDescent="0.2">
      <c r="C45" s="65" t="s">
        <v>101</v>
      </c>
      <c r="D45" s="267"/>
      <c r="E45" s="60"/>
      <c r="F45" s="60"/>
      <c r="J45" s="269">
        <f>IF($D$40=0,0,D45/$D$40)</f>
        <v>0</v>
      </c>
      <c r="K45" s="65" t="s">
        <v>102</v>
      </c>
      <c r="Q45" s="700"/>
    </row>
    <row r="46" spans="3:17" x14ac:dyDescent="0.2">
      <c r="C46" s="65" t="s">
        <v>103</v>
      </c>
      <c r="D46" s="75">
        <f>SUM(D44:D45)</f>
        <v>0</v>
      </c>
      <c r="E46" s="60"/>
      <c r="F46" s="62" t="s">
        <v>93</v>
      </c>
      <c r="J46" s="85"/>
      <c r="Q46" s="700"/>
    </row>
    <row r="47" spans="3:17" x14ac:dyDescent="0.2">
      <c r="C47" s="65" t="s">
        <v>104</v>
      </c>
      <c r="D47" s="262" t="e">
        <f>D44/'Benchmark Assumptions'!$K$12+D45</f>
        <v>#DIV/0!</v>
      </c>
      <c r="E47" s="60"/>
      <c r="F47" s="60" t="s">
        <v>105</v>
      </c>
      <c r="J47" s="269">
        <f>IF($D$42=0,0,D47/$D$42)</f>
        <v>0</v>
      </c>
      <c r="K47" s="65" t="s">
        <v>106</v>
      </c>
      <c r="Q47" s="700" t="s">
        <v>107</v>
      </c>
    </row>
    <row r="48" spans="3:17" x14ac:dyDescent="0.2">
      <c r="D48" s="268"/>
      <c r="E48" s="60"/>
      <c r="F48" s="60"/>
      <c r="J48" s="85"/>
      <c r="Q48" s="700"/>
    </row>
    <row r="49" spans="3:17" x14ac:dyDescent="0.2">
      <c r="C49" s="65" t="s">
        <v>108</v>
      </c>
      <c r="D49" s="267"/>
      <c r="E49" s="60"/>
      <c r="F49" s="60"/>
      <c r="J49" s="269">
        <f>IF($D$39=0,0,D49/$D$39)</f>
        <v>0</v>
      </c>
      <c r="K49" s="65" t="s">
        <v>109</v>
      </c>
      <c r="Q49" s="700" t="s">
        <v>110</v>
      </c>
    </row>
    <row r="50" spans="3:17" x14ac:dyDescent="0.2">
      <c r="C50" s="65" t="s">
        <v>111</v>
      </c>
      <c r="D50" s="267"/>
      <c r="E50" s="60"/>
      <c r="F50" s="60"/>
      <c r="J50" s="269">
        <f>IF($D$40=0,0,D50/$D$40)</f>
        <v>0</v>
      </c>
      <c r="K50" s="65" t="s">
        <v>112</v>
      </c>
      <c r="Q50" s="700"/>
    </row>
    <row r="51" spans="3:17" x14ac:dyDescent="0.2">
      <c r="C51" s="65" t="s">
        <v>113</v>
      </c>
      <c r="D51" s="75">
        <f>SUM(D49:D50)</f>
        <v>0</v>
      </c>
      <c r="E51" s="60"/>
      <c r="F51" s="62" t="s">
        <v>93</v>
      </c>
      <c r="J51" s="85"/>
      <c r="Q51" s="700"/>
    </row>
    <row r="52" spans="3:17" x14ac:dyDescent="0.2">
      <c r="C52" s="65" t="s">
        <v>114</v>
      </c>
      <c r="D52" s="262">
        <f>D49/'Benchmark Assumptions'!$K$13+D50</f>
        <v>0</v>
      </c>
      <c r="E52" s="60"/>
      <c r="F52" s="60" t="s">
        <v>115</v>
      </c>
      <c r="J52" s="269">
        <f>IF($D$42=0,0,D52/$D$42)</f>
        <v>0</v>
      </c>
      <c r="K52" s="65" t="s">
        <v>116</v>
      </c>
      <c r="Q52" s="700" t="s">
        <v>117</v>
      </c>
    </row>
    <row r="53" spans="3:17" x14ac:dyDescent="0.2">
      <c r="C53" s="79"/>
      <c r="D53" s="91"/>
      <c r="E53" s="60"/>
      <c r="F53" s="60"/>
      <c r="J53" s="270"/>
      <c r="Q53" s="700"/>
    </row>
    <row r="54" spans="3:17" x14ac:dyDescent="0.2">
      <c r="C54" s="65" t="s">
        <v>118</v>
      </c>
      <c r="D54" s="271"/>
      <c r="E54" s="60"/>
      <c r="F54" s="60"/>
      <c r="J54" s="269">
        <f>IF(D42=0,0,D54/D42)</f>
        <v>0</v>
      </c>
      <c r="K54" s="65" t="s">
        <v>119</v>
      </c>
      <c r="Q54" s="700" t="s">
        <v>120</v>
      </c>
    </row>
    <row r="55" spans="3:17" ht="4.5" customHeight="1" x14ac:dyDescent="0.2">
      <c r="D55" s="91"/>
      <c r="E55" s="60"/>
      <c r="F55" s="60"/>
      <c r="Q55" s="700"/>
    </row>
    <row r="56" spans="3:17" x14ac:dyDescent="0.2">
      <c r="C56" s="266" t="s">
        <v>121</v>
      </c>
      <c r="D56" s="91"/>
      <c r="E56" s="60"/>
      <c r="F56" s="60"/>
      <c r="Q56" s="700"/>
    </row>
    <row r="57" spans="3:17" ht="5.5" customHeight="1" x14ac:dyDescent="0.2">
      <c r="C57" s="80"/>
      <c r="D57" s="91"/>
      <c r="E57" s="60"/>
      <c r="F57" s="60"/>
      <c r="Q57" s="700"/>
    </row>
    <row r="58" spans="3:17" x14ac:dyDescent="0.2">
      <c r="C58" s="65" t="s">
        <v>122</v>
      </c>
      <c r="D58" s="262"/>
      <c r="F58" s="60" t="s">
        <v>123</v>
      </c>
      <c r="J58" s="270"/>
      <c r="M58" s="119"/>
      <c r="Q58" s="700"/>
    </row>
    <row r="59" spans="3:17" x14ac:dyDescent="0.2">
      <c r="C59" s="65" t="s">
        <v>124</v>
      </c>
      <c r="D59" s="262">
        <f>IF('2a-Consumption Plan Wk1'!E35="Yes",D41,0)</f>
        <v>0</v>
      </c>
      <c r="F59" s="60" t="s">
        <v>125</v>
      </c>
      <c r="J59" s="270"/>
      <c r="M59" s="119"/>
      <c r="Q59" s="700"/>
    </row>
    <row r="60" spans="3:17" x14ac:dyDescent="0.2">
      <c r="C60" s="65" t="s">
        <v>126</v>
      </c>
      <c r="D60" s="262"/>
      <c r="F60" s="60" t="s">
        <v>127</v>
      </c>
      <c r="J60" s="270"/>
      <c r="M60" s="119"/>
      <c r="Q60" s="700"/>
    </row>
    <row r="61" spans="3:17" x14ac:dyDescent="0.2">
      <c r="C61" s="65" t="s">
        <v>128</v>
      </c>
      <c r="D61" s="262">
        <f>IF('2a-Consumption Plan Wk1'!E42="Yes",D41,0)</f>
        <v>0</v>
      </c>
      <c r="F61" s="60" t="s">
        <v>129</v>
      </c>
      <c r="J61" s="270"/>
      <c r="M61" s="119"/>
      <c r="Q61" s="700"/>
    </row>
    <row r="62" spans="3:17" ht="4.5" customHeight="1" x14ac:dyDescent="0.2">
      <c r="D62" s="91"/>
      <c r="E62" s="60"/>
      <c r="F62" s="60"/>
      <c r="Q62" s="700"/>
    </row>
    <row r="63" spans="3:17" x14ac:dyDescent="0.2">
      <c r="C63" s="266" t="s">
        <v>130</v>
      </c>
      <c r="D63" s="91"/>
      <c r="E63" s="60"/>
      <c r="F63" s="60"/>
      <c r="Q63" s="700"/>
    </row>
    <row r="64" spans="3:17" x14ac:dyDescent="0.2">
      <c r="C64" s="65" t="s">
        <v>131</v>
      </c>
      <c r="D64" s="262" t="e">
        <f>D44/'Benchmark Assumptions'!$K$12</f>
        <v>#DIV/0!</v>
      </c>
      <c r="F64" s="60" t="s">
        <v>105</v>
      </c>
      <c r="J64" s="69" t="e">
        <f>IF(D47=0,0,D64/D47)</f>
        <v>#DIV/0!</v>
      </c>
      <c r="K64" s="65" t="s">
        <v>132</v>
      </c>
      <c r="Q64" s="700"/>
    </row>
    <row r="65" spans="3:17" x14ac:dyDescent="0.2">
      <c r="C65" s="65" t="s">
        <v>133</v>
      </c>
      <c r="D65" s="265" t="s">
        <v>134</v>
      </c>
      <c r="F65" s="60"/>
      <c r="J65" s="69"/>
      <c r="Q65" s="700"/>
    </row>
    <row r="66" spans="3:17" x14ac:dyDescent="0.2">
      <c r="C66" s="65" t="s">
        <v>135</v>
      </c>
      <c r="D66" s="697"/>
      <c r="F66" s="60" t="s">
        <v>928</v>
      </c>
      <c r="J66" s="70"/>
      <c r="Q66" s="700" t="s">
        <v>136</v>
      </c>
    </row>
    <row r="67" spans="3:17" x14ac:dyDescent="0.2">
      <c r="C67" s="65" t="s">
        <v>137</v>
      </c>
      <c r="D67" s="271"/>
      <c r="F67" s="60" t="s">
        <v>138</v>
      </c>
      <c r="J67" s="69" t="e">
        <f>IF(D47=0,0,D67/D47)</f>
        <v>#DIV/0!</v>
      </c>
      <c r="K67" s="65" t="s">
        <v>132</v>
      </c>
      <c r="Q67" s="700" t="s">
        <v>139</v>
      </c>
    </row>
    <row r="68" spans="3:17" x14ac:dyDescent="0.2">
      <c r="C68" s="252" t="s">
        <v>140</v>
      </c>
      <c r="D68" s="272"/>
      <c r="F68" s="60" t="s">
        <v>138</v>
      </c>
      <c r="J68" s="70"/>
      <c r="Q68" s="700" t="s">
        <v>141</v>
      </c>
    </row>
    <row r="69" spans="3:17" x14ac:dyDescent="0.2">
      <c r="D69" s="91"/>
      <c r="F69" s="60"/>
      <c r="J69" s="70"/>
      <c r="Q69" s="700"/>
    </row>
    <row r="70" spans="3:17" x14ac:dyDescent="0.2">
      <c r="C70" s="65" t="s">
        <v>142</v>
      </c>
      <c r="D70" s="262">
        <f>D67*0.1</f>
        <v>0</v>
      </c>
      <c r="F70" s="60" t="s">
        <v>138</v>
      </c>
      <c r="J70" s="69" t="e">
        <f>IF(D47=0,0,D70/D47)</f>
        <v>#DIV/0!</v>
      </c>
      <c r="K70" s="65" t="s">
        <v>132</v>
      </c>
      <c r="Q70" s="700" t="s">
        <v>143</v>
      </c>
    </row>
    <row r="71" spans="3:17" x14ac:dyDescent="0.2">
      <c r="C71" s="252" t="s">
        <v>140</v>
      </c>
      <c r="D71" s="262">
        <f>D68*0.1</f>
        <v>0</v>
      </c>
      <c r="F71" s="60" t="s">
        <v>138</v>
      </c>
      <c r="J71" s="70"/>
      <c r="Q71" s="700" t="s">
        <v>144</v>
      </c>
    </row>
    <row r="73" spans="3:17" s="68" customFormat="1" hidden="1" x14ac:dyDescent="0.2">
      <c r="C73" s="133" t="s">
        <v>145</v>
      </c>
    </row>
    <row r="74" spans="3:17" ht="4.5" hidden="1" customHeight="1" x14ac:dyDescent="0.2">
      <c r="D74" s="91"/>
      <c r="E74" s="60"/>
      <c r="F74" s="60"/>
    </row>
    <row r="75" spans="3:17" hidden="1" x14ac:dyDescent="0.2">
      <c r="C75" s="65" t="s">
        <v>85</v>
      </c>
      <c r="D75" s="256"/>
      <c r="E75" s="257"/>
      <c r="F75" s="258" t="s">
        <v>55</v>
      </c>
    </row>
    <row r="76" spans="3:17" ht="4.5" hidden="1" customHeight="1" x14ac:dyDescent="0.2">
      <c r="D76" s="91"/>
      <c r="E76" s="60"/>
      <c r="F76" s="60"/>
    </row>
    <row r="77" spans="3:17" hidden="1" x14ac:dyDescent="0.2">
      <c r="C77" s="266" t="s">
        <v>87</v>
      </c>
      <c r="D77" s="91"/>
      <c r="E77" s="60"/>
      <c r="F77" s="60"/>
    </row>
    <row r="78" spans="3:17" ht="5.5" hidden="1" customHeight="1" x14ac:dyDescent="0.2">
      <c r="C78" s="80"/>
      <c r="D78" s="91"/>
      <c r="E78" s="60"/>
      <c r="F78" s="60"/>
    </row>
    <row r="79" spans="3:17" hidden="1" x14ac:dyDescent="0.2">
      <c r="C79" s="65" t="s">
        <v>89</v>
      </c>
      <c r="D79" s="267"/>
      <c r="E79" s="60"/>
      <c r="F79" s="60"/>
      <c r="J79" s="85"/>
    </row>
    <row r="80" spans="3:17" hidden="1" x14ac:dyDescent="0.2">
      <c r="C80" s="65" t="s">
        <v>91</v>
      </c>
      <c r="D80" s="267"/>
      <c r="E80" s="60"/>
      <c r="F80" s="60"/>
      <c r="J80" s="85"/>
    </row>
    <row r="81" spans="3:11" hidden="1" x14ac:dyDescent="0.2">
      <c r="C81" s="65" t="s">
        <v>92</v>
      </c>
      <c r="D81" s="75">
        <f>SUM(D79:D80)</f>
        <v>0</v>
      </c>
      <c r="E81" s="60"/>
      <c r="F81" s="62" t="s">
        <v>93</v>
      </c>
      <c r="J81" s="85"/>
    </row>
    <row r="82" spans="3:11" hidden="1" x14ac:dyDescent="0.2">
      <c r="C82" s="65" t="s">
        <v>94</v>
      </c>
      <c r="D82" s="262">
        <f>D79/'Benchmark Assumptions'!$K$11+D80</f>
        <v>0</v>
      </c>
      <c r="E82" s="60"/>
      <c r="F82" s="60" t="s">
        <v>95</v>
      </c>
      <c r="J82" s="85"/>
    </row>
    <row r="83" spans="3:11" hidden="1" x14ac:dyDescent="0.2">
      <c r="D83" s="268"/>
      <c r="E83" s="60"/>
      <c r="F83" s="60"/>
      <c r="J83" s="85" t="s">
        <v>97</v>
      </c>
    </row>
    <row r="84" spans="3:11" hidden="1" x14ac:dyDescent="0.2">
      <c r="C84" s="65" t="s">
        <v>98</v>
      </c>
      <c r="D84" s="267"/>
      <c r="E84" s="60"/>
      <c r="F84" s="60"/>
      <c r="J84" s="269">
        <f>IF($D$79=0,0,D84/$D$79)</f>
        <v>0</v>
      </c>
      <c r="K84" s="65" t="s">
        <v>99</v>
      </c>
    </row>
    <row r="85" spans="3:11" hidden="1" x14ac:dyDescent="0.2">
      <c r="C85" s="65" t="s">
        <v>101</v>
      </c>
      <c r="D85" s="267"/>
      <c r="E85" s="60"/>
      <c r="F85" s="60"/>
      <c r="J85" s="269">
        <f>IF($D$80=0,0,D85/$D$80)</f>
        <v>0</v>
      </c>
      <c r="K85" s="65" t="s">
        <v>102</v>
      </c>
    </row>
    <row r="86" spans="3:11" hidden="1" x14ac:dyDescent="0.2">
      <c r="C86" s="65" t="s">
        <v>103</v>
      </c>
      <c r="D86" s="75">
        <f>SUM(D84:D85)</f>
        <v>0</v>
      </c>
      <c r="E86" s="60"/>
      <c r="F86" s="62" t="s">
        <v>93</v>
      </c>
      <c r="J86" s="85"/>
    </row>
    <row r="87" spans="3:11" hidden="1" x14ac:dyDescent="0.2">
      <c r="C87" s="65" t="s">
        <v>104</v>
      </c>
      <c r="D87" s="262" t="e">
        <f>D84/'Benchmark Assumptions'!$K$12+D85</f>
        <v>#DIV/0!</v>
      </c>
      <c r="E87" s="60"/>
      <c r="F87" s="60" t="s">
        <v>105</v>
      </c>
      <c r="J87" s="269">
        <f>IF($D$82=0,0,D87/$D$82)</f>
        <v>0</v>
      </c>
      <c r="K87" s="65" t="s">
        <v>106</v>
      </c>
    </row>
    <row r="88" spans="3:11" hidden="1" x14ac:dyDescent="0.2">
      <c r="D88" s="91"/>
      <c r="E88" s="60"/>
      <c r="F88" s="60"/>
      <c r="J88" s="270"/>
    </row>
    <row r="89" spans="3:11" hidden="1" x14ac:dyDescent="0.2">
      <c r="C89" s="65" t="s">
        <v>108</v>
      </c>
      <c r="D89" s="267"/>
      <c r="E89" s="60"/>
      <c r="F89" s="60"/>
      <c r="J89" s="269">
        <f>IF($D$79=0,0,D89/$D$79)</f>
        <v>0</v>
      </c>
      <c r="K89" s="65" t="s">
        <v>109</v>
      </c>
    </row>
    <row r="90" spans="3:11" hidden="1" x14ac:dyDescent="0.2">
      <c r="C90" s="65" t="s">
        <v>111</v>
      </c>
      <c r="D90" s="267"/>
      <c r="E90" s="60"/>
      <c r="F90" s="60"/>
      <c r="J90" s="269">
        <f>IF($D$80=0,0,D90/$D$80)</f>
        <v>0</v>
      </c>
      <c r="K90" s="65" t="s">
        <v>112</v>
      </c>
    </row>
    <row r="91" spans="3:11" hidden="1" x14ac:dyDescent="0.2">
      <c r="C91" s="65" t="s">
        <v>113</v>
      </c>
      <c r="D91" s="75">
        <f>SUM(D89:D90)</f>
        <v>0</v>
      </c>
      <c r="E91" s="60"/>
      <c r="F91" s="62" t="s">
        <v>93</v>
      </c>
      <c r="J91" s="85"/>
    </row>
    <row r="92" spans="3:11" hidden="1" x14ac:dyDescent="0.2">
      <c r="C92" s="65" t="s">
        <v>114</v>
      </c>
      <c r="D92" s="262">
        <f>D89/'Benchmark Assumptions'!$K$13+D90</f>
        <v>0</v>
      </c>
      <c r="E92" s="60"/>
      <c r="F92" s="60" t="s">
        <v>115</v>
      </c>
      <c r="J92" s="269">
        <f>IF($D$82=0,0,D92/$D$82)</f>
        <v>0</v>
      </c>
      <c r="K92" s="65" t="s">
        <v>116</v>
      </c>
    </row>
    <row r="93" spans="3:11" hidden="1" x14ac:dyDescent="0.2">
      <c r="D93" s="91"/>
      <c r="E93" s="60"/>
      <c r="F93" s="60"/>
      <c r="J93" s="270"/>
    </row>
    <row r="94" spans="3:11" hidden="1" x14ac:dyDescent="0.2">
      <c r="C94" s="65" t="s">
        <v>118</v>
      </c>
      <c r="D94" s="271"/>
      <c r="E94" s="60"/>
      <c r="F94" s="60"/>
      <c r="J94" s="269">
        <f>IF(D82=0,0,D94/D82)</f>
        <v>0</v>
      </c>
      <c r="K94" s="65" t="s">
        <v>119</v>
      </c>
    </row>
    <row r="95" spans="3:11" ht="4.5" hidden="1" customHeight="1" x14ac:dyDescent="0.2">
      <c r="D95" s="91"/>
      <c r="E95" s="60"/>
      <c r="F95" s="60"/>
    </row>
    <row r="96" spans="3:11" hidden="1" x14ac:dyDescent="0.2">
      <c r="C96" s="266" t="s">
        <v>121</v>
      </c>
      <c r="D96" s="91"/>
      <c r="E96" s="60"/>
      <c r="F96" s="60"/>
    </row>
    <row r="97" spans="3:13" ht="5.5" hidden="1" customHeight="1" x14ac:dyDescent="0.2">
      <c r="C97" s="80"/>
      <c r="D97" s="91"/>
      <c r="E97" s="60"/>
      <c r="F97" s="60"/>
    </row>
    <row r="98" spans="3:13" hidden="1" x14ac:dyDescent="0.2">
      <c r="C98" s="65" t="s">
        <v>122</v>
      </c>
      <c r="D98" s="262"/>
      <c r="F98" s="60" t="s">
        <v>123</v>
      </c>
      <c r="J98" s="270"/>
      <c r="M98" s="119"/>
    </row>
    <row r="99" spans="3:13" hidden="1" x14ac:dyDescent="0.2">
      <c r="C99" s="65" t="s">
        <v>124</v>
      </c>
      <c r="D99" s="262">
        <f>IF('2b-Consumption Plan Wk2'!E35="Yes",D81,0)</f>
        <v>0</v>
      </c>
      <c r="F99" s="60" t="s">
        <v>125</v>
      </c>
      <c r="J99" s="270"/>
      <c r="M99" s="119"/>
    </row>
    <row r="100" spans="3:13" hidden="1" x14ac:dyDescent="0.2">
      <c r="C100" s="65" t="s">
        <v>126</v>
      </c>
      <c r="D100" s="262"/>
      <c r="F100" s="60" t="s">
        <v>127</v>
      </c>
      <c r="J100" s="270"/>
      <c r="M100" s="119"/>
    </row>
    <row r="101" spans="3:13" hidden="1" x14ac:dyDescent="0.2">
      <c r="C101" s="65" t="s">
        <v>128</v>
      </c>
      <c r="D101" s="262">
        <f>IF('2b-Consumption Plan Wk2'!E42="Yes",D81,0)</f>
        <v>0</v>
      </c>
      <c r="F101" s="60" t="s">
        <v>129</v>
      </c>
      <c r="J101" s="270"/>
      <c r="M101" s="119"/>
    </row>
    <row r="102" spans="3:13" ht="4.5" hidden="1" customHeight="1" x14ac:dyDescent="0.2">
      <c r="D102" s="91"/>
      <c r="E102" s="60"/>
      <c r="F102" s="60"/>
    </row>
    <row r="103" spans="3:13" hidden="1" x14ac:dyDescent="0.2">
      <c r="C103" s="266" t="s">
        <v>130</v>
      </c>
      <c r="D103" s="91"/>
      <c r="E103" s="60"/>
      <c r="F103" s="60"/>
    </row>
    <row r="104" spans="3:13" hidden="1" x14ac:dyDescent="0.2">
      <c r="C104" s="65" t="s">
        <v>131</v>
      </c>
      <c r="D104" s="262" t="e">
        <f>D84/'Benchmark Assumptions'!$K$12</f>
        <v>#DIV/0!</v>
      </c>
      <c r="F104" s="60" t="s">
        <v>105</v>
      </c>
      <c r="J104" s="69" t="e">
        <f>IF(D87=0,0,D104/D87)</f>
        <v>#DIV/0!</v>
      </c>
      <c r="K104" s="65" t="s">
        <v>132</v>
      </c>
    </row>
    <row r="105" spans="3:13" hidden="1" x14ac:dyDescent="0.2">
      <c r="D105" s="91"/>
      <c r="F105" s="60"/>
      <c r="J105" s="70"/>
    </row>
    <row r="106" spans="3:13" hidden="1" x14ac:dyDescent="0.2">
      <c r="C106" s="65" t="s">
        <v>137</v>
      </c>
      <c r="D106" s="271"/>
      <c r="F106" s="60" t="s">
        <v>138</v>
      </c>
      <c r="J106" s="69" t="e">
        <f>IF(D87=0,0,D106/D87)</f>
        <v>#DIV/0!</v>
      </c>
      <c r="K106" s="65" t="s">
        <v>132</v>
      </c>
    </row>
    <row r="107" spans="3:13" hidden="1" x14ac:dyDescent="0.2">
      <c r="C107" s="252" t="s">
        <v>140</v>
      </c>
      <c r="D107" s="272"/>
      <c r="F107" s="60" t="s">
        <v>138</v>
      </c>
      <c r="J107" s="70"/>
    </row>
    <row r="108" spans="3:13" hidden="1" x14ac:dyDescent="0.2">
      <c r="D108" s="91"/>
      <c r="F108" s="60"/>
      <c r="J108" s="70"/>
    </row>
    <row r="109" spans="3:13" hidden="1" x14ac:dyDescent="0.2">
      <c r="C109" s="65" t="s">
        <v>142</v>
      </c>
      <c r="D109" s="271"/>
      <c r="F109" s="60" t="s">
        <v>138</v>
      </c>
      <c r="J109" s="69" t="e">
        <f>IF(D87=0,0,D109/D87)</f>
        <v>#DIV/0!</v>
      </c>
      <c r="K109" s="65" t="s">
        <v>132</v>
      </c>
    </row>
    <row r="110" spans="3:13" hidden="1" x14ac:dyDescent="0.2">
      <c r="C110" s="252" t="s">
        <v>140</v>
      </c>
      <c r="D110" s="272"/>
      <c r="F110" s="60" t="s">
        <v>138</v>
      </c>
      <c r="J110" s="70"/>
    </row>
    <row r="111" spans="3:13" hidden="1" x14ac:dyDescent="0.2"/>
    <row r="112" spans="3:13" s="68" customFormat="1" hidden="1" x14ac:dyDescent="0.2">
      <c r="C112" s="133" t="s">
        <v>146</v>
      </c>
    </row>
    <row r="113" spans="3:11" ht="4.5" hidden="1" customHeight="1" x14ac:dyDescent="0.2">
      <c r="D113" s="91"/>
      <c r="E113" s="60"/>
      <c r="F113" s="60"/>
    </row>
    <row r="114" spans="3:11" hidden="1" x14ac:dyDescent="0.2">
      <c r="C114" s="65" t="s">
        <v>85</v>
      </c>
      <c r="D114" s="256"/>
      <c r="E114" s="257"/>
      <c r="F114" s="258" t="s">
        <v>55</v>
      </c>
    </row>
    <row r="115" spans="3:11" ht="4.5" hidden="1" customHeight="1" x14ac:dyDescent="0.2">
      <c r="D115" s="91"/>
      <c r="E115" s="60"/>
      <c r="F115" s="60"/>
    </row>
    <row r="116" spans="3:11" hidden="1" x14ac:dyDescent="0.2">
      <c r="C116" s="266" t="s">
        <v>87</v>
      </c>
      <c r="D116" s="91"/>
      <c r="E116" s="60"/>
      <c r="F116" s="60"/>
    </row>
    <row r="117" spans="3:11" ht="5.5" hidden="1" customHeight="1" x14ac:dyDescent="0.2">
      <c r="C117" s="80"/>
      <c r="D117" s="91"/>
      <c r="E117" s="60"/>
      <c r="F117" s="60"/>
    </row>
    <row r="118" spans="3:11" hidden="1" x14ac:dyDescent="0.2">
      <c r="C118" s="65" t="s">
        <v>89</v>
      </c>
      <c r="D118" s="267"/>
      <c r="E118" s="60"/>
      <c r="F118" s="60"/>
      <c r="J118" s="85"/>
    </row>
    <row r="119" spans="3:11" hidden="1" x14ac:dyDescent="0.2">
      <c r="C119" s="65" t="s">
        <v>91</v>
      </c>
      <c r="D119" s="267"/>
      <c r="E119" s="60"/>
      <c r="F119" s="60"/>
      <c r="J119" s="85"/>
    </row>
    <row r="120" spans="3:11" hidden="1" x14ac:dyDescent="0.2">
      <c r="C120" s="65" t="s">
        <v>92</v>
      </c>
      <c r="D120" s="75">
        <f>SUM(D118:D119)</f>
        <v>0</v>
      </c>
      <c r="E120" s="60"/>
      <c r="F120" s="62" t="s">
        <v>93</v>
      </c>
      <c r="J120" s="85"/>
    </row>
    <row r="121" spans="3:11" hidden="1" x14ac:dyDescent="0.2">
      <c r="C121" s="65" t="s">
        <v>94</v>
      </c>
      <c r="D121" s="262">
        <f>D118/'Benchmark Assumptions'!$K$11+D119</f>
        <v>0</v>
      </c>
      <c r="E121" s="60"/>
      <c r="F121" s="60" t="s">
        <v>95</v>
      </c>
      <c r="J121" s="85"/>
    </row>
    <row r="122" spans="3:11" hidden="1" x14ac:dyDescent="0.2">
      <c r="D122" s="268"/>
      <c r="E122" s="60"/>
      <c r="F122" s="60"/>
      <c r="J122" s="85" t="s">
        <v>97</v>
      </c>
    </row>
    <row r="123" spans="3:11" hidden="1" x14ac:dyDescent="0.2">
      <c r="C123" s="65" t="s">
        <v>98</v>
      </c>
      <c r="D123" s="267"/>
      <c r="E123" s="60"/>
      <c r="F123" s="60"/>
      <c r="J123" s="269">
        <f>IF($D$118=0,0,D123/$D$118)</f>
        <v>0</v>
      </c>
      <c r="K123" s="65" t="s">
        <v>99</v>
      </c>
    </row>
    <row r="124" spans="3:11" hidden="1" x14ac:dyDescent="0.2">
      <c r="C124" s="65" t="s">
        <v>101</v>
      </c>
      <c r="D124" s="267"/>
      <c r="E124" s="60"/>
      <c r="F124" s="60"/>
      <c r="J124" s="269">
        <f>IF($D$119=0,0,D124/$D$119)</f>
        <v>0</v>
      </c>
      <c r="K124" s="65" t="s">
        <v>102</v>
      </c>
    </row>
    <row r="125" spans="3:11" hidden="1" x14ac:dyDescent="0.2">
      <c r="C125" s="65" t="s">
        <v>103</v>
      </c>
      <c r="D125" s="75">
        <f>SUM(D123:D124)</f>
        <v>0</v>
      </c>
      <c r="E125" s="60"/>
      <c r="F125" s="62" t="s">
        <v>93</v>
      </c>
      <c r="J125" s="85"/>
    </row>
    <row r="126" spans="3:11" hidden="1" x14ac:dyDescent="0.2">
      <c r="C126" s="65" t="s">
        <v>104</v>
      </c>
      <c r="D126" s="262" t="e">
        <f>D123/'Benchmark Assumptions'!$K$12+D124</f>
        <v>#DIV/0!</v>
      </c>
      <c r="E126" s="60"/>
      <c r="F126" s="60" t="s">
        <v>105</v>
      </c>
      <c r="J126" s="269">
        <f>IF($D$121=0,0,D126/$D$121)</f>
        <v>0</v>
      </c>
      <c r="K126" s="65" t="s">
        <v>106</v>
      </c>
    </row>
    <row r="127" spans="3:11" hidden="1" x14ac:dyDescent="0.2">
      <c r="D127" s="91"/>
      <c r="E127" s="60"/>
      <c r="F127" s="60"/>
      <c r="J127" s="270"/>
    </row>
    <row r="128" spans="3:11" hidden="1" x14ac:dyDescent="0.2">
      <c r="C128" s="65" t="s">
        <v>108</v>
      </c>
      <c r="D128" s="267"/>
      <c r="E128" s="60"/>
      <c r="F128" s="60"/>
      <c r="J128" s="269">
        <f>IF($D$118=0,0,D128/$D$118)</f>
        <v>0</v>
      </c>
      <c r="K128" s="65" t="s">
        <v>109</v>
      </c>
    </row>
    <row r="129" spans="3:13" hidden="1" x14ac:dyDescent="0.2">
      <c r="C129" s="65" t="s">
        <v>111</v>
      </c>
      <c r="D129" s="267"/>
      <c r="E129" s="60"/>
      <c r="F129" s="60"/>
      <c r="J129" s="269">
        <f>IF($D$119=0,0,D129/$D$119)</f>
        <v>0</v>
      </c>
      <c r="K129" s="65" t="s">
        <v>112</v>
      </c>
    </row>
    <row r="130" spans="3:13" hidden="1" x14ac:dyDescent="0.2">
      <c r="C130" s="65" t="s">
        <v>113</v>
      </c>
      <c r="D130" s="75">
        <f>SUM(D128:D129)</f>
        <v>0</v>
      </c>
      <c r="E130" s="60"/>
      <c r="F130" s="62" t="s">
        <v>93</v>
      </c>
      <c r="J130" s="85"/>
    </row>
    <row r="131" spans="3:13" hidden="1" x14ac:dyDescent="0.2">
      <c r="C131" s="65" t="s">
        <v>114</v>
      </c>
      <c r="D131" s="262">
        <f>D128/'Benchmark Assumptions'!$K$13+D129</f>
        <v>0</v>
      </c>
      <c r="E131" s="60"/>
      <c r="F131" s="60" t="s">
        <v>115</v>
      </c>
      <c r="J131" s="269">
        <f>IF($D$121=0,0,D131/$D$121)</f>
        <v>0</v>
      </c>
      <c r="K131" s="65" t="s">
        <v>116</v>
      </c>
    </row>
    <row r="132" spans="3:13" hidden="1" x14ac:dyDescent="0.2">
      <c r="D132" s="91"/>
      <c r="E132" s="60"/>
      <c r="F132" s="60"/>
      <c r="J132" s="270"/>
    </row>
    <row r="133" spans="3:13" hidden="1" x14ac:dyDescent="0.2">
      <c r="C133" s="65" t="s">
        <v>118</v>
      </c>
      <c r="D133" s="271"/>
      <c r="E133" s="60"/>
      <c r="F133" s="60"/>
      <c r="J133" s="269">
        <f>IF(D121=0,0,D133/D121)</f>
        <v>0</v>
      </c>
      <c r="K133" s="65" t="s">
        <v>119</v>
      </c>
    </row>
    <row r="134" spans="3:13" ht="4.5" hidden="1" customHeight="1" x14ac:dyDescent="0.2">
      <c r="D134" s="91"/>
      <c r="E134" s="60"/>
      <c r="F134" s="60"/>
    </row>
    <row r="135" spans="3:13" hidden="1" x14ac:dyDescent="0.2">
      <c r="C135" s="266" t="s">
        <v>121</v>
      </c>
      <c r="D135" s="91"/>
      <c r="E135" s="60"/>
      <c r="F135" s="60"/>
    </row>
    <row r="136" spans="3:13" ht="5.5" hidden="1" customHeight="1" x14ac:dyDescent="0.2">
      <c r="C136" s="80"/>
      <c r="D136" s="91"/>
      <c r="E136" s="60"/>
      <c r="F136" s="60"/>
    </row>
    <row r="137" spans="3:13" hidden="1" x14ac:dyDescent="0.2">
      <c r="C137" s="65" t="s">
        <v>122</v>
      </c>
      <c r="D137" s="262"/>
      <c r="F137" s="60" t="s">
        <v>123</v>
      </c>
      <c r="J137" s="270"/>
      <c r="M137" s="119"/>
    </row>
    <row r="138" spans="3:13" hidden="1" x14ac:dyDescent="0.2">
      <c r="C138" s="65" t="s">
        <v>124</v>
      </c>
      <c r="D138" s="262">
        <f>IF('2c-Consumption Plan Wk3'!E35="Yes",D120,0)</f>
        <v>0</v>
      </c>
      <c r="F138" s="60" t="s">
        <v>125</v>
      </c>
      <c r="J138" s="270"/>
      <c r="M138" s="119"/>
    </row>
    <row r="139" spans="3:13" hidden="1" x14ac:dyDescent="0.2">
      <c r="C139" s="65" t="s">
        <v>126</v>
      </c>
      <c r="D139" s="262"/>
      <c r="F139" s="60" t="s">
        <v>127</v>
      </c>
      <c r="J139" s="270"/>
      <c r="M139" s="119"/>
    </row>
    <row r="140" spans="3:13" hidden="1" x14ac:dyDescent="0.2">
      <c r="C140" s="65" t="s">
        <v>128</v>
      </c>
      <c r="D140" s="262">
        <f>IF('2c-Consumption Plan Wk3'!E42="Yes",D120,0)</f>
        <v>0</v>
      </c>
      <c r="F140" s="60" t="s">
        <v>129</v>
      </c>
      <c r="J140" s="270"/>
      <c r="M140" s="119"/>
    </row>
    <row r="141" spans="3:13" ht="4.5" hidden="1" customHeight="1" x14ac:dyDescent="0.2">
      <c r="D141" s="91"/>
      <c r="E141" s="60"/>
      <c r="F141" s="60"/>
    </row>
    <row r="142" spans="3:13" hidden="1" x14ac:dyDescent="0.2">
      <c r="C142" s="266" t="s">
        <v>130</v>
      </c>
      <c r="D142" s="91"/>
      <c r="E142" s="60"/>
      <c r="F142" s="60"/>
    </row>
    <row r="143" spans="3:13" hidden="1" x14ac:dyDescent="0.2">
      <c r="C143" s="65" t="s">
        <v>131</v>
      </c>
      <c r="D143" s="262" t="e">
        <f>D123/'Benchmark Assumptions'!$K$12</f>
        <v>#DIV/0!</v>
      </c>
      <c r="F143" s="60" t="s">
        <v>105</v>
      </c>
      <c r="J143" s="69" t="e">
        <f>IF(D126=0,0,D143/D126)</f>
        <v>#DIV/0!</v>
      </c>
      <c r="K143" s="65" t="s">
        <v>132</v>
      </c>
    </row>
    <row r="144" spans="3:13" hidden="1" x14ac:dyDescent="0.2">
      <c r="D144" s="91"/>
      <c r="F144" s="60"/>
      <c r="J144" s="70"/>
    </row>
    <row r="145" spans="3:17" hidden="1" x14ac:dyDescent="0.2">
      <c r="C145" s="65" t="s">
        <v>137</v>
      </c>
      <c r="D145" s="271"/>
      <c r="F145" s="60" t="s">
        <v>138</v>
      </c>
      <c r="J145" s="69" t="e">
        <f>IF(D126=0,0,D145/D126)</f>
        <v>#DIV/0!</v>
      </c>
      <c r="K145" s="65" t="s">
        <v>132</v>
      </c>
    </row>
    <row r="146" spans="3:17" hidden="1" x14ac:dyDescent="0.2">
      <c r="C146" s="252" t="s">
        <v>140</v>
      </c>
      <c r="D146" s="272"/>
      <c r="F146" s="60" t="s">
        <v>138</v>
      </c>
      <c r="J146" s="70"/>
    </row>
    <row r="147" spans="3:17" hidden="1" x14ac:dyDescent="0.2">
      <c r="D147" s="91"/>
      <c r="F147" s="60"/>
      <c r="J147" s="70"/>
    </row>
    <row r="148" spans="3:17" hidden="1" x14ac:dyDescent="0.2">
      <c r="C148" s="65" t="s">
        <v>142</v>
      </c>
      <c r="D148" s="271"/>
      <c r="F148" s="60" t="s">
        <v>138</v>
      </c>
      <c r="J148" s="69" t="e">
        <f>IF(D126=0,0,D148/D126)</f>
        <v>#DIV/0!</v>
      </c>
      <c r="K148" s="65" t="s">
        <v>132</v>
      </c>
    </row>
    <row r="149" spans="3:17" hidden="1" x14ac:dyDescent="0.2">
      <c r="C149" s="252" t="s">
        <v>140</v>
      </c>
      <c r="D149" s="272"/>
      <c r="F149" s="60" t="s">
        <v>138</v>
      </c>
      <c r="J149" s="70"/>
    </row>
    <row r="151" spans="3:17" s="68" customFormat="1" x14ac:dyDescent="0.2">
      <c r="C151" s="133" t="s">
        <v>147</v>
      </c>
    </row>
    <row r="153" spans="3:17" x14ac:dyDescent="0.2">
      <c r="C153" s="65" t="s">
        <v>148</v>
      </c>
      <c r="D153" s="273" t="s">
        <v>134</v>
      </c>
      <c r="F153" s="60" t="s">
        <v>149</v>
      </c>
      <c r="Q153" s="700" t="s">
        <v>150</v>
      </c>
    </row>
    <row r="155" spans="3:17" x14ac:dyDescent="0.2">
      <c r="C155" s="80" t="s">
        <v>151</v>
      </c>
    </row>
    <row r="156" spans="3:17" x14ac:dyDescent="0.2">
      <c r="C156" s="65" t="s">
        <v>152</v>
      </c>
      <c r="D156" s="274"/>
      <c r="Q156" s="700" t="s">
        <v>153</v>
      </c>
    </row>
    <row r="157" spans="3:17" x14ac:dyDescent="0.2">
      <c r="C157" s="65" t="s">
        <v>154</v>
      </c>
      <c r="D157" s="274"/>
      <c r="F157" s="60" t="s">
        <v>155</v>
      </c>
    </row>
    <row r="159" spans="3:17" x14ac:dyDescent="0.2">
      <c r="C159" s="80" t="s">
        <v>156</v>
      </c>
    </row>
    <row r="160" spans="3:17" x14ac:dyDescent="0.2">
      <c r="C160" s="65" t="s">
        <v>157</v>
      </c>
      <c r="D160" s="275"/>
      <c r="F160" s="60"/>
    </row>
    <row r="162" spans="3:6" x14ac:dyDescent="0.2">
      <c r="C162" s="80" t="s">
        <v>158</v>
      </c>
      <c r="D162" s="276" t="str">
        <f>IF(SUM(D163:D166)=1,"","Check Mix")</f>
        <v>Check Mix</v>
      </c>
      <c r="F162" s="277" t="s">
        <v>159</v>
      </c>
    </row>
    <row r="163" spans="3:6" x14ac:dyDescent="0.2">
      <c r="C163" s="65" t="s">
        <v>160</v>
      </c>
      <c r="D163" s="274"/>
    </row>
    <row r="164" spans="3:6" x14ac:dyDescent="0.2">
      <c r="C164" s="65" t="s">
        <v>161</v>
      </c>
      <c r="D164" s="274"/>
    </row>
    <row r="165" spans="3:6" x14ac:dyDescent="0.2">
      <c r="C165" s="65" t="s">
        <v>162</v>
      </c>
      <c r="D165" s="274"/>
    </row>
    <row r="166" spans="3:6" x14ac:dyDescent="0.2">
      <c r="C166" s="65" t="s">
        <v>163</v>
      </c>
      <c r="D166" s="274"/>
    </row>
    <row r="178" spans="3:4" x14ac:dyDescent="0.2">
      <c r="D178" s="74"/>
    </row>
    <row r="183" spans="3:4" x14ac:dyDescent="0.2">
      <c r="C183" s="116">
        <f>'1-Client Variables'!D59</f>
        <v>0</v>
      </c>
    </row>
    <row r="228" spans="3:3" x14ac:dyDescent="0.2">
      <c r="C228" s="116">
        <f>'1-Client Variables'!D41</f>
        <v>0</v>
      </c>
    </row>
  </sheetData>
  <conditionalFormatting sqref="D162">
    <cfRule type="cellIs" dxfId="70" priority="1" operator="equal">
      <formula>"Check Mix"</formula>
    </cfRule>
  </conditionalFormatting>
  <dataValidations count="4">
    <dataValidation type="list" allowBlank="1" showInputMessage="1" showErrorMessage="1" sqref="D19" xr:uid="{41FF4A2B-B971-45CE-BCF2-64F6DF30A99D}">
      <formula1>"Static, Proportional"</formula1>
    </dataValidation>
    <dataValidation type="list" allowBlank="1" showInputMessage="1" showErrorMessage="1" sqref="D153" xr:uid="{74C07590-6816-4B92-A556-631D1204F106}">
      <formula1>"Yes, No"</formula1>
    </dataValidation>
    <dataValidation type="list" allowBlank="1" showInputMessage="1" showErrorMessage="1" sqref="D13:D14" xr:uid="{6325F490-1250-4F60-B17C-D0865567124D}">
      <formula1>"B,D"</formula1>
    </dataValidation>
    <dataValidation type="list" allowBlank="1" showInputMessage="1" showErrorMessage="1" sqref="D31 D65" xr:uid="{1149F5BC-9C2E-40E3-B110-8112CC6D79C8}">
      <formula1>"No,Yes"</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757F6-C618-4882-A22E-BEBCE503555D}">
  <sheetPr codeName="Sheet3">
    <tabColor rgb="FFFFFF00"/>
  </sheetPr>
  <dimension ref="A1:R88"/>
  <sheetViews>
    <sheetView showGridLines="0" tabSelected="1" zoomScaleNormal="100" workbookViewId="0">
      <pane ySplit="5" topLeftCell="A6" activePane="bottomLeft" state="frozen"/>
      <selection activeCell="H51" sqref="H51"/>
      <selection pane="bottomLeft" activeCell="G11" sqref="G11"/>
    </sheetView>
  </sheetViews>
  <sheetFormatPr baseColWidth="10" defaultColWidth="9" defaultRowHeight="15" x14ac:dyDescent="0.2"/>
  <cols>
    <col min="1" max="2" width="2.83203125" style="65" customWidth="1"/>
    <col min="3" max="3" width="42.5" style="58" customWidth="1"/>
    <col min="4" max="4" width="13" style="58" customWidth="1"/>
    <col min="5" max="5" width="14.83203125" style="58" customWidth="1"/>
    <col min="6" max="7" width="13.83203125" style="58" customWidth="1"/>
    <col min="8" max="8" width="17" style="58" customWidth="1"/>
    <col min="9" max="14" width="13.83203125" style="58" customWidth="1"/>
    <col min="15" max="15" width="20.5" style="58" customWidth="1"/>
    <col min="16" max="18" width="12.83203125" style="58" customWidth="1"/>
    <col min="19" max="16384" width="9" style="58"/>
  </cols>
  <sheetData>
    <row r="1" spans="3:18" s="65" customFormat="1" thickBot="1" x14ac:dyDescent="0.25">
      <c r="F1" s="254" t="s">
        <v>47</v>
      </c>
      <c r="G1" s="700" t="s">
        <v>48</v>
      </c>
    </row>
    <row r="2" spans="3:18" s="65" customFormat="1" ht="16" thickBot="1" x14ac:dyDescent="0.25">
      <c r="C2" s="59" t="s">
        <v>164</v>
      </c>
      <c r="G2" s="699"/>
      <c r="H2" s="65" t="s">
        <v>165</v>
      </c>
      <c r="M2" s="71"/>
      <c r="N2" s="704" t="s">
        <v>166</v>
      </c>
      <c r="O2" s="71"/>
      <c r="P2" s="71"/>
      <c r="Q2" s="71"/>
      <c r="R2" s="71"/>
    </row>
    <row r="3" spans="3:18" s="65" customFormat="1" x14ac:dyDescent="0.2">
      <c r="C3" s="280" t="s">
        <v>167</v>
      </c>
      <c r="G3" s="162"/>
      <c r="H3" s="65" t="s">
        <v>49</v>
      </c>
      <c r="M3" s="71"/>
      <c r="N3" s="71" t="s">
        <v>168</v>
      </c>
      <c r="O3" s="71"/>
      <c r="P3" s="71"/>
      <c r="Q3" s="71"/>
      <c r="R3" s="71"/>
    </row>
    <row r="4" spans="3:18" s="65" customFormat="1" x14ac:dyDescent="0.2">
      <c r="C4" s="281" t="str">
        <f>'1-Client Variables'!D35</f>
        <v>DC Move</v>
      </c>
      <c r="G4" s="255"/>
      <c r="H4" s="65" t="s">
        <v>50</v>
      </c>
      <c r="M4" s="71"/>
      <c r="N4" s="71" t="s">
        <v>169</v>
      </c>
      <c r="O4" s="71"/>
      <c r="P4" s="71"/>
      <c r="Q4" s="71"/>
      <c r="R4" s="71"/>
    </row>
    <row r="5" spans="3:18" s="65" customFormat="1" x14ac:dyDescent="0.2">
      <c r="C5" s="59"/>
      <c r="G5" s="75"/>
      <c r="H5" s="65" t="s">
        <v>51</v>
      </c>
      <c r="M5" s="71"/>
      <c r="N5" s="71"/>
      <c r="O5" s="71"/>
      <c r="P5" s="71"/>
      <c r="Q5" s="71"/>
      <c r="R5" s="71"/>
    </row>
    <row r="6" spans="3:18" ht="16" thickBot="1" x14ac:dyDescent="0.25">
      <c r="C6" s="707" t="s">
        <v>170</v>
      </c>
      <c r="L6" s="707" t="s">
        <v>171</v>
      </c>
    </row>
    <row r="7" spans="3:18" x14ac:dyDescent="0.2">
      <c r="D7" s="706" t="s">
        <v>172</v>
      </c>
      <c r="E7" s="64"/>
      <c r="F7" s="64"/>
      <c r="G7" s="64" t="s">
        <v>173</v>
      </c>
      <c r="H7" s="64" t="s">
        <v>174</v>
      </c>
      <c r="I7" s="283" t="s">
        <v>175</v>
      </c>
      <c r="J7" s="284" t="s">
        <v>176</v>
      </c>
      <c r="M7" s="764"/>
      <c r="N7" s="706" t="s">
        <v>57</v>
      </c>
      <c r="O7" s="706" t="str">
        <f>"Local Currency: "&amp;'1-Client Variables'!D10&amp;", "&amp;'1-Client Variables'!D11</f>
        <v>Local Currency: USD, 1</v>
      </c>
    </row>
    <row r="8" spans="3:18" x14ac:dyDescent="0.2">
      <c r="C8" s="65" t="s">
        <v>177</v>
      </c>
      <c r="D8" s="271"/>
      <c r="E8" s="60" t="s">
        <v>138</v>
      </c>
      <c r="F8" s="60"/>
      <c r="G8" s="75">
        <f>'1-Client Variables'!D46</f>
        <v>0</v>
      </c>
      <c r="H8" s="75">
        <f>D8-G8</f>
        <v>0</v>
      </c>
      <c r="I8" s="285">
        <f>IF(G8=0,0,H8/G8)</f>
        <v>0</v>
      </c>
      <c r="M8" s="765" t="s">
        <v>178</v>
      </c>
      <c r="N8" s="265">
        <v>800</v>
      </c>
      <c r="O8" s="265">
        <f>N$8*'1-Client Variables'!$D$11</f>
        <v>800</v>
      </c>
    </row>
    <row r="9" spans="3:18" x14ac:dyDescent="0.2">
      <c r="C9" s="65" t="s">
        <v>179</v>
      </c>
      <c r="D9" s="271"/>
      <c r="E9" s="60" t="s">
        <v>138</v>
      </c>
      <c r="F9" s="60"/>
      <c r="G9" s="75">
        <f>'1-Client Variables'!D51</f>
        <v>0</v>
      </c>
      <c r="H9" s="75">
        <f>D9-G9</f>
        <v>0</v>
      </c>
      <c r="I9" s="285">
        <f t="shared" ref="I9:I10" si="0">IF(G9=0,0,H9/G9)</f>
        <v>0</v>
      </c>
      <c r="L9" s="64"/>
      <c r="M9" s="765" t="s">
        <v>180</v>
      </c>
      <c r="N9" s="265">
        <v>1500</v>
      </c>
      <c r="O9" s="265">
        <f>N$9*'1-Client Variables'!$D$11</f>
        <v>1500</v>
      </c>
    </row>
    <row r="10" spans="3:18" ht="16" thickBot="1" x14ac:dyDescent="0.25">
      <c r="C10" s="65" t="s">
        <v>181</v>
      </c>
      <c r="D10" s="271"/>
      <c r="E10" s="60" t="s">
        <v>138</v>
      </c>
      <c r="F10" s="60"/>
      <c r="G10" s="75">
        <f>'1-Client Variables'!$D$54</f>
        <v>0</v>
      </c>
      <c r="H10" s="75">
        <f>D10-G10</f>
        <v>0</v>
      </c>
      <c r="I10" s="286">
        <f t="shared" si="0"/>
        <v>0</v>
      </c>
    </row>
    <row r="12" spans="3:18" x14ac:dyDescent="0.2">
      <c r="C12" s="707" t="s">
        <v>182</v>
      </c>
    </row>
    <row r="13" spans="3:18" ht="6.75" customHeight="1" x14ac:dyDescent="0.2"/>
    <row r="14" spans="3:18" x14ac:dyDescent="0.2">
      <c r="C14" s="65" t="s">
        <v>183</v>
      </c>
      <c r="D14" s="265">
        <v>1500</v>
      </c>
      <c r="E14" s="763" t="s">
        <v>184</v>
      </c>
      <c r="F14" s="288"/>
      <c r="G14" s="288"/>
      <c r="H14" s="288"/>
      <c r="I14" s="288"/>
      <c r="J14" s="288"/>
      <c r="K14" s="288"/>
      <c r="L14" s="288"/>
      <c r="M14" s="288"/>
      <c r="N14" s="288"/>
    </row>
    <row r="15" spans="3:18" x14ac:dyDescent="0.2">
      <c r="C15" s="80"/>
      <c r="D15" s="64"/>
      <c r="E15" s="288"/>
      <c r="F15" s="288"/>
      <c r="G15" s="288"/>
      <c r="H15" s="288"/>
      <c r="I15" s="288"/>
      <c r="J15" s="288"/>
      <c r="K15" s="288"/>
      <c r="L15" s="288"/>
      <c r="M15" s="288"/>
      <c r="N15" s="288"/>
    </row>
    <row r="16" spans="3:18" x14ac:dyDescent="0.2">
      <c r="C16" s="80"/>
      <c r="D16" s="64" t="s">
        <v>185</v>
      </c>
      <c r="E16" s="63">
        <v>1</v>
      </c>
      <c r="F16" s="63">
        <f>E16+1</f>
        <v>2</v>
      </c>
      <c r="G16" s="63">
        <f t="shared" ref="G16:H16" si="1">F16+1</f>
        <v>3</v>
      </c>
      <c r="H16" s="63">
        <f t="shared" si="1"/>
        <v>4</v>
      </c>
      <c r="I16" s="63">
        <f>H16+1</f>
        <v>5</v>
      </c>
      <c r="J16" s="63">
        <f>I16+1</f>
        <v>6</v>
      </c>
      <c r="K16" s="63">
        <f>J16+1</f>
        <v>7</v>
      </c>
      <c r="L16" s="63">
        <f t="shared" ref="L16:N16" si="2">K16+1</f>
        <v>8</v>
      </c>
      <c r="M16" s="63">
        <f t="shared" si="2"/>
        <v>9</v>
      </c>
      <c r="N16" s="63">
        <f t="shared" si="2"/>
        <v>10</v>
      </c>
    </row>
    <row r="17" spans="3:15" s="65" customFormat="1" ht="14" x14ac:dyDescent="0.2">
      <c r="C17" s="65" t="s">
        <v>186</v>
      </c>
      <c r="D17" s="91"/>
      <c r="E17" s="289">
        <v>0.4</v>
      </c>
      <c r="F17" s="289">
        <v>0.8</v>
      </c>
      <c r="G17" s="289">
        <v>1</v>
      </c>
      <c r="H17" s="289">
        <v>1</v>
      </c>
      <c r="I17" s="289">
        <v>1</v>
      </c>
      <c r="J17" s="289">
        <v>1</v>
      </c>
      <c r="K17" s="289">
        <v>1</v>
      </c>
      <c r="L17" s="289">
        <v>1</v>
      </c>
      <c r="M17" s="289">
        <v>1</v>
      </c>
      <c r="N17" s="289">
        <v>1</v>
      </c>
      <c r="O17" s="60" t="s">
        <v>187</v>
      </c>
    </row>
    <row r="18" spans="3:15" s="65" customFormat="1" ht="14" x14ac:dyDescent="0.2">
      <c r="C18" s="65" t="s">
        <v>188</v>
      </c>
      <c r="D18" s="91"/>
      <c r="E18" s="290">
        <f>'1-Client Variables'!$D$41-E19</f>
        <v>0</v>
      </c>
      <c r="F18" s="290">
        <f>'1-Client Variables'!$D$41-F19</f>
        <v>0</v>
      </c>
      <c r="G18" s="290">
        <f>'1-Client Variables'!$D$41-G19</f>
        <v>0</v>
      </c>
      <c r="H18" s="290">
        <f>'1-Client Variables'!$D$41-H19</f>
        <v>0</v>
      </c>
      <c r="I18" s="290">
        <f>'1-Client Variables'!$D$41-I19</f>
        <v>0</v>
      </c>
      <c r="J18" s="290">
        <f>'1-Client Variables'!$D$41-J19</f>
        <v>0</v>
      </c>
      <c r="K18" s="290">
        <f>'1-Client Variables'!$D$41-K19</f>
        <v>0</v>
      </c>
      <c r="L18" s="290">
        <f>'1-Client Variables'!$D$41-L19</f>
        <v>0</v>
      </c>
      <c r="M18" s="290">
        <f>'1-Client Variables'!$D$41-M19</f>
        <v>0</v>
      </c>
      <c r="N18" s="290">
        <f>'1-Client Variables'!$D$41-N19</f>
        <v>0</v>
      </c>
      <c r="O18" s="60"/>
    </row>
    <row r="19" spans="3:15" s="65" customFormat="1" ht="14" x14ac:dyDescent="0.2">
      <c r="C19" s="65" t="s">
        <v>189</v>
      </c>
      <c r="D19" s="297">
        <v>0</v>
      </c>
      <c r="E19" s="290">
        <f>E17*'1-Client Variables'!$D$41</f>
        <v>0</v>
      </c>
      <c r="F19" s="290">
        <f>F17*'1-Client Variables'!$D$41</f>
        <v>0</v>
      </c>
      <c r="G19" s="290">
        <f>G17*'1-Client Variables'!$D$41</f>
        <v>0</v>
      </c>
      <c r="H19" s="290">
        <f>H17*'1-Client Variables'!$D$41</f>
        <v>0</v>
      </c>
      <c r="I19" s="290">
        <f>I17*'1-Client Variables'!$D$41</f>
        <v>0</v>
      </c>
      <c r="J19" s="290">
        <f>J17*'1-Client Variables'!$D$41</f>
        <v>0</v>
      </c>
      <c r="K19" s="290">
        <f>K17*'1-Client Variables'!$D$41</f>
        <v>0</v>
      </c>
      <c r="L19" s="290">
        <f>L17*'1-Client Variables'!$D$41</f>
        <v>0</v>
      </c>
      <c r="M19" s="290">
        <f>M17*'1-Client Variables'!$D$41</f>
        <v>0</v>
      </c>
      <c r="N19" s="290">
        <f>N17*'1-Client Variables'!$D$41</f>
        <v>0</v>
      </c>
      <c r="O19" s="60"/>
    </row>
    <row r="20" spans="3:15" s="65" customFormat="1" ht="14" x14ac:dyDescent="0.2">
      <c r="C20" s="65" t="s">
        <v>190</v>
      </c>
      <c r="D20" s="75">
        <f>SUM(E20:N20)</f>
        <v>0</v>
      </c>
      <c r="E20" s="296">
        <f>$D$14*(E19-D19)</f>
        <v>0</v>
      </c>
      <c r="F20" s="296">
        <f>$D$14*(F19-E19)</f>
        <v>0</v>
      </c>
      <c r="G20" s="296">
        <f t="shared" ref="G20:N20" si="3">$D$14*(G19-F19)</f>
        <v>0</v>
      </c>
      <c r="H20" s="296">
        <f t="shared" si="3"/>
        <v>0</v>
      </c>
      <c r="I20" s="296">
        <f t="shared" si="3"/>
        <v>0</v>
      </c>
      <c r="J20" s="296">
        <f t="shared" si="3"/>
        <v>0</v>
      </c>
      <c r="K20" s="296">
        <f t="shared" si="3"/>
        <v>0</v>
      </c>
      <c r="L20" s="296">
        <f t="shared" si="3"/>
        <v>0</v>
      </c>
      <c r="M20" s="296">
        <f t="shared" si="3"/>
        <v>0</v>
      </c>
      <c r="N20" s="296">
        <f t="shared" si="3"/>
        <v>0</v>
      </c>
      <c r="O20" s="702" t="s">
        <v>191</v>
      </c>
    </row>
    <row r="21" spans="3:15" s="65" customFormat="1" ht="14" x14ac:dyDescent="0.2">
      <c r="C21" s="65" t="s">
        <v>192</v>
      </c>
      <c r="D21" s="75">
        <f>SUM(E21:N21)</f>
        <v>0</v>
      </c>
      <c r="E21" s="291"/>
      <c r="F21" s="291"/>
      <c r="G21" s="291"/>
      <c r="H21" s="291"/>
      <c r="I21" s="291"/>
      <c r="J21" s="271"/>
      <c r="K21" s="271"/>
      <c r="L21" s="271"/>
      <c r="M21" s="271"/>
      <c r="N21" s="271"/>
      <c r="O21" s="702" t="s">
        <v>193</v>
      </c>
    </row>
    <row r="22" spans="3:15" s="65" customFormat="1" ht="14" x14ac:dyDescent="0.2">
      <c r="C22" s="65" t="s">
        <v>194</v>
      </c>
      <c r="D22" s="75">
        <f>SUM(E22:N22)</f>
        <v>0</v>
      </c>
      <c r="E22" s="291"/>
      <c r="F22" s="291"/>
      <c r="G22" s="291"/>
      <c r="H22" s="291"/>
      <c r="I22" s="291"/>
      <c r="J22" s="271"/>
      <c r="K22" s="271"/>
      <c r="L22" s="271"/>
      <c r="M22" s="271"/>
      <c r="N22" s="271"/>
      <c r="O22" s="702" t="s">
        <v>193</v>
      </c>
    </row>
    <row r="23" spans="3:15" s="65" customFormat="1" ht="14" x14ac:dyDescent="0.2">
      <c r="C23" s="65" t="s">
        <v>195</v>
      </c>
      <c r="D23" s="75">
        <f>SUM(E23:N23)</f>
        <v>0</v>
      </c>
      <c r="E23" s="290">
        <f t="shared" ref="E23:N23" si="4">SUM(E21:E22)</f>
        <v>0</v>
      </c>
      <c r="F23" s="290">
        <f t="shared" si="4"/>
        <v>0</v>
      </c>
      <c r="G23" s="290">
        <f t="shared" si="4"/>
        <v>0</v>
      </c>
      <c r="H23" s="290">
        <f t="shared" si="4"/>
        <v>0</v>
      </c>
      <c r="I23" s="290">
        <f t="shared" si="4"/>
        <v>0</v>
      </c>
      <c r="J23" s="290">
        <f t="shared" si="4"/>
        <v>0</v>
      </c>
      <c r="K23" s="290">
        <f t="shared" si="4"/>
        <v>0</v>
      </c>
      <c r="L23" s="290">
        <f t="shared" si="4"/>
        <v>0</v>
      </c>
      <c r="M23" s="290">
        <f t="shared" si="4"/>
        <v>0</v>
      </c>
      <c r="N23" s="290">
        <f t="shared" si="4"/>
        <v>0</v>
      </c>
      <c r="O23" s="292"/>
    </row>
    <row r="25" spans="3:15" x14ac:dyDescent="0.2">
      <c r="C25" s="707" t="s">
        <v>196</v>
      </c>
    </row>
    <row r="26" spans="3:15" ht="6.75" customHeight="1" x14ac:dyDescent="0.2"/>
    <row r="27" spans="3:15" ht="16" thickBot="1" x14ac:dyDescent="0.25">
      <c r="C27" s="80"/>
      <c r="D27" s="64" t="s">
        <v>185</v>
      </c>
      <c r="E27" s="63">
        <v>1</v>
      </c>
      <c r="F27" s="63">
        <f>E27+1</f>
        <v>2</v>
      </c>
      <c r="G27" s="63">
        <f t="shared" ref="G27" si="5">F27+1</f>
        <v>3</v>
      </c>
      <c r="H27" s="63">
        <f t="shared" ref="H27" si="6">G27+1</f>
        <v>4</v>
      </c>
      <c r="I27" s="63">
        <f>H27+1</f>
        <v>5</v>
      </c>
      <c r="J27" s="63">
        <f>I27+1</f>
        <v>6</v>
      </c>
      <c r="K27" s="63">
        <f>J27+1</f>
        <v>7</v>
      </c>
      <c r="L27" s="63">
        <f t="shared" ref="L27" si="7">K27+1</f>
        <v>8</v>
      </c>
      <c r="M27" s="63">
        <f t="shared" ref="M27" si="8">L27+1</f>
        <v>9</v>
      </c>
      <c r="N27" s="63">
        <f t="shared" ref="N27" si="9">M27+1</f>
        <v>10</v>
      </c>
      <c r="O27" s="702" t="s">
        <v>197</v>
      </c>
    </row>
    <row r="28" spans="3:15" ht="16" thickBot="1" x14ac:dyDescent="0.25">
      <c r="C28" s="703" t="s">
        <v>198</v>
      </c>
      <c r="D28" s="75">
        <f>SUM(E28:N28)</f>
        <v>0</v>
      </c>
      <c r="E28" s="291">
        <f>(E$17/2)*$N28</f>
        <v>0</v>
      </c>
      <c r="F28" s="291">
        <f>AVERAGE(E$17:F$17)*$N28</f>
        <v>0</v>
      </c>
      <c r="G28" s="291">
        <f>AVERAGE(F$17:G$17)*$N28</f>
        <v>0</v>
      </c>
      <c r="H28" s="291">
        <f t="shared" ref="F28:J29" si="10">AVERAGE(G$17:H$17)*$N28</f>
        <v>0</v>
      </c>
      <c r="I28" s="291">
        <f t="shared" si="10"/>
        <v>0</v>
      </c>
      <c r="J28" s="291">
        <f t="shared" si="10"/>
        <v>0</v>
      </c>
      <c r="K28" s="291">
        <f t="shared" ref="K28:M28" si="11">AVERAGE(J$17:K$17)*$N28</f>
        <v>0</v>
      </c>
      <c r="L28" s="291">
        <f t="shared" si="11"/>
        <v>0</v>
      </c>
      <c r="M28" s="291">
        <f t="shared" si="11"/>
        <v>0</v>
      </c>
      <c r="N28" s="699"/>
      <c r="O28" s="702" t="s">
        <v>199</v>
      </c>
    </row>
    <row r="29" spans="3:15" ht="16" thickBot="1" x14ac:dyDescent="0.25">
      <c r="C29" s="703" t="s">
        <v>200</v>
      </c>
      <c r="D29" s="75">
        <f>SUM(E29:N29)</f>
        <v>0</v>
      </c>
      <c r="E29" s="291">
        <f>(E$17/2)*$N29</f>
        <v>0</v>
      </c>
      <c r="F29" s="291">
        <f t="shared" si="10"/>
        <v>0</v>
      </c>
      <c r="G29" s="291">
        <f t="shared" si="10"/>
        <v>0</v>
      </c>
      <c r="H29" s="291">
        <f t="shared" si="10"/>
        <v>0</v>
      </c>
      <c r="I29" s="291">
        <f t="shared" si="10"/>
        <v>0</v>
      </c>
      <c r="J29" s="291">
        <f t="shared" si="10"/>
        <v>0</v>
      </c>
      <c r="K29" s="291">
        <f>AVERAGE(J$17:K$17)*$N29</f>
        <v>0</v>
      </c>
      <c r="L29" s="291">
        <f t="shared" ref="L29:M29" si="12">AVERAGE(K$17:L$17)*$N29</f>
        <v>0</v>
      </c>
      <c r="M29" s="291">
        <f t="shared" si="12"/>
        <v>0</v>
      </c>
      <c r="N29" s="698"/>
      <c r="O29" s="702" t="s">
        <v>201</v>
      </c>
    </row>
    <row r="30" spans="3:15" x14ac:dyDescent="0.2">
      <c r="C30" s="703" t="s">
        <v>202</v>
      </c>
      <c r="D30" s="75">
        <f>SUM(E30:N30)</f>
        <v>0</v>
      </c>
      <c r="E30" s="291"/>
      <c r="F30" s="291"/>
      <c r="G30" s="291"/>
      <c r="H30" s="291"/>
      <c r="I30" s="291"/>
      <c r="J30" s="291"/>
      <c r="K30" s="291"/>
      <c r="L30" s="291"/>
      <c r="M30" s="291"/>
      <c r="N30" s="291"/>
      <c r="O30" s="292"/>
    </row>
    <row r="32" spans="3:15" x14ac:dyDescent="0.2">
      <c r="C32" s="707" t="s">
        <v>203</v>
      </c>
    </row>
    <row r="34" spans="3:6" x14ac:dyDescent="0.2">
      <c r="C34" s="159" t="s">
        <v>204</v>
      </c>
    </row>
    <row r="35" spans="3:6" x14ac:dyDescent="0.2">
      <c r="C35" s="294" t="s">
        <v>205</v>
      </c>
      <c r="E35" s="271" t="s">
        <v>134</v>
      </c>
      <c r="F35" s="60" t="s">
        <v>206</v>
      </c>
    </row>
    <row r="36" spans="3:6" ht="4.5" customHeight="1" x14ac:dyDescent="0.2">
      <c r="C36" s="294"/>
      <c r="E36" s="91"/>
    </row>
    <row r="37" spans="3:6" x14ac:dyDescent="0.2">
      <c r="C37" s="295" t="s">
        <v>207</v>
      </c>
      <c r="E37" s="91"/>
    </row>
    <row r="38" spans="3:6" x14ac:dyDescent="0.2">
      <c r="C38" s="294" t="s">
        <v>208</v>
      </c>
      <c r="E38" s="144" t="str">
        <f>E35</f>
        <v>No</v>
      </c>
      <c r="F38" s="292"/>
    </row>
    <row r="39" spans="3:6" x14ac:dyDescent="0.2">
      <c r="C39" s="294" t="s">
        <v>209</v>
      </c>
      <c r="E39" s="271" t="s">
        <v>134</v>
      </c>
      <c r="F39" s="292" t="str">
        <f>IF(E35="No","Answer cannot be Yes when Backup Option is not activated","Please answer")</f>
        <v>Answer cannot be Yes when Backup Option is not activated</v>
      </c>
    </row>
    <row r="41" spans="3:6" x14ac:dyDescent="0.2">
      <c r="C41" s="159" t="s">
        <v>210</v>
      </c>
    </row>
    <row r="42" spans="3:6" x14ac:dyDescent="0.2">
      <c r="C42" s="294" t="s">
        <v>211</v>
      </c>
      <c r="E42" s="271" t="s">
        <v>134</v>
      </c>
      <c r="F42" s="60" t="s">
        <v>212</v>
      </c>
    </row>
    <row r="43" spans="3:6" ht="4.5" customHeight="1" x14ac:dyDescent="0.2">
      <c r="C43" s="153"/>
      <c r="E43" s="91"/>
    </row>
    <row r="44" spans="3:6" x14ac:dyDescent="0.2">
      <c r="C44" s="295" t="s">
        <v>213</v>
      </c>
      <c r="E44" s="91"/>
    </row>
    <row r="45" spans="3:6" x14ac:dyDescent="0.2">
      <c r="C45" s="294" t="s">
        <v>214</v>
      </c>
      <c r="E45" s="144" t="str">
        <f>E42</f>
        <v>No</v>
      </c>
      <c r="F45" s="292"/>
    </row>
    <row r="46" spans="3:6" x14ac:dyDescent="0.2">
      <c r="C46" s="294" t="s">
        <v>215</v>
      </c>
      <c r="E46" s="271" t="s">
        <v>134</v>
      </c>
      <c r="F46" s="292" t="str">
        <f>IF(E42="No","Answer cannot be Yes when Disaster Recovery Option is not activated","Please answer")</f>
        <v>Answer cannot be Yes when Disaster Recovery Option is not activated</v>
      </c>
    </row>
    <row r="50" spans="3:11" x14ac:dyDescent="0.2">
      <c r="E50" s="636"/>
      <c r="F50" s="636"/>
      <c r="G50" s="636"/>
      <c r="H50" s="636"/>
      <c r="K50" s="636"/>
    </row>
    <row r="51" spans="3:11" x14ac:dyDescent="0.2">
      <c r="D51" s="59"/>
      <c r="E51" s="553"/>
      <c r="F51" s="553"/>
      <c r="G51" s="553"/>
      <c r="H51" s="641"/>
      <c r="I51" s="635"/>
      <c r="K51" s="641"/>
    </row>
    <row r="52" spans="3:11" x14ac:dyDescent="0.2">
      <c r="D52" s="59"/>
      <c r="E52" s="553"/>
      <c r="F52" s="553"/>
      <c r="G52" s="553"/>
      <c r="H52" s="641"/>
      <c r="K52" s="641"/>
    </row>
    <row r="53" spans="3:11" ht="16" thickBot="1" x14ac:dyDescent="0.25"/>
    <row r="54" spans="3:11" x14ac:dyDescent="0.2">
      <c r="C54" s="639"/>
      <c r="E54" s="636"/>
      <c r="F54" s="636"/>
      <c r="G54" s="636"/>
      <c r="H54" s="636"/>
    </row>
    <row r="55" spans="3:11" x14ac:dyDescent="0.2">
      <c r="C55" s="637"/>
      <c r="D55" s="59"/>
      <c r="E55" s="553"/>
      <c r="F55" s="553"/>
      <c r="G55" s="553"/>
      <c r="H55" s="641"/>
    </row>
    <row r="56" spans="3:11" ht="16" thickBot="1" x14ac:dyDescent="0.25">
      <c r="C56" s="638"/>
      <c r="D56" s="59"/>
      <c r="E56" s="553"/>
      <c r="F56" s="553"/>
      <c r="G56" s="553"/>
      <c r="H56" s="641"/>
    </row>
    <row r="87" spans="3:4" x14ac:dyDescent="0.2">
      <c r="D87" s="631"/>
    </row>
    <row r="88" spans="3:4" x14ac:dyDescent="0.2">
      <c r="C88" s="633"/>
      <c r="D88" s="632"/>
    </row>
  </sheetData>
  <conditionalFormatting sqref="F38:F39">
    <cfRule type="expression" dxfId="69" priority="3">
      <formula>$E$35="No"</formula>
    </cfRule>
  </conditionalFormatting>
  <conditionalFormatting sqref="F45:F46">
    <cfRule type="expression" dxfId="68" priority="1">
      <formula>$E$35="No"</formula>
    </cfRule>
  </conditionalFormatting>
  <dataValidations count="1">
    <dataValidation type="list" allowBlank="1" showInputMessage="1" showErrorMessage="1" sqref="E39 E35:E37 E42:E44 E46" xr:uid="{50C10102-FA74-47E3-BB5C-2B294EC4FEAF}">
      <formula1>"Yes, No"</formula1>
    </dataValidation>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FAF04-8D67-4E90-876A-8F1BB13071B5}">
  <sheetPr codeName="Sheet4">
    <tabColor rgb="FFFFFF00"/>
  </sheetPr>
  <dimension ref="A1:R67"/>
  <sheetViews>
    <sheetView showGridLines="0" zoomScaleNormal="100" workbookViewId="0">
      <pane ySplit="5" topLeftCell="A6" activePane="bottomLeft" state="frozen"/>
      <selection activeCell="E17" sqref="E17:N17"/>
      <selection pane="bottomLeft" activeCell="E17" sqref="E17:N17"/>
    </sheetView>
  </sheetViews>
  <sheetFormatPr baseColWidth="10" defaultColWidth="9" defaultRowHeight="15" x14ac:dyDescent="0.2"/>
  <cols>
    <col min="1" max="2" width="2.83203125" style="65" customWidth="1"/>
    <col min="3" max="3" width="39.83203125" style="58" customWidth="1"/>
    <col min="4" max="14" width="13.83203125" style="58" customWidth="1"/>
    <col min="15" max="18" width="12.83203125" style="58" customWidth="1"/>
    <col min="19" max="16384" width="9" style="58"/>
  </cols>
  <sheetData>
    <row r="1" spans="3:18" s="65" customFormat="1" ht="14" x14ac:dyDescent="0.2"/>
    <row r="2" spans="3:18" s="65" customFormat="1" x14ac:dyDescent="0.2">
      <c r="C2" s="59" t="s">
        <v>216</v>
      </c>
      <c r="M2" s="278"/>
      <c r="N2" s="279" t="s">
        <v>166</v>
      </c>
      <c r="O2" s="278"/>
      <c r="P2" s="278"/>
      <c r="Q2" s="278"/>
      <c r="R2" s="278"/>
    </row>
    <row r="3" spans="3:18" s="65" customFormat="1" x14ac:dyDescent="0.2">
      <c r="C3" s="280" t="s">
        <v>217</v>
      </c>
      <c r="D3" s="788" t="s">
        <v>218</v>
      </c>
      <c r="E3" s="788"/>
      <c r="F3" s="254" t="s">
        <v>47</v>
      </c>
      <c r="G3" s="162"/>
      <c r="H3" s="65" t="s">
        <v>49</v>
      </c>
      <c r="M3" s="278"/>
      <c r="N3" s="278" t="s">
        <v>168</v>
      </c>
      <c r="O3" s="278"/>
      <c r="P3" s="278"/>
      <c r="Q3" s="278"/>
      <c r="R3" s="278"/>
    </row>
    <row r="4" spans="3:18" s="65" customFormat="1" x14ac:dyDescent="0.2">
      <c r="C4" s="281">
        <f>'1-Client Variables'!D75</f>
        <v>0</v>
      </c>
      <c r="D4" s="788"/>
      <c r="E4" s="788"/>
      <c r="G4" s="255"/>
      <c r="H4" s="65" t="s">
        <v>50</v>
      </c>
      <c r="M4" s="278"/>
      <c r="N4" s="278" t="s">
        <v>169</v>
      </c>
      <c r="O4" s="278"/>
      <c r="P4" s="278"/>
      <c r="Q4" s="278"/>
      <c r="R4" s="278"/>
    </row>
    <row r="5" spans="3:18" s="65" customFormat="1" x14ac:dyDescent="0.2">
      <c r="C5" s="59"/>
      <c r="G5" s="75"/>
      <c r="H5" s="65" t="s">
        <v>51</v>
      </c>
      <c r="M5" s="278"/>
      <c r="N5" s="278"/>
      <c r="O5" s="278"/>
      <c r="P5" s="278"/>
      <c r="Q5" s="278"/>
      <c r="R5" s="278"/>
    </row>
    <row r="6" spans="3:18" ht="16" thickBot="1" x14ac:dyDescent="0.25">
      <c r="C6" s="282" t="s">
        <v>219</v>
      </c>
    </row>
    <row r="7" spans="3:18" x14ac:dyDescent="0.2">
      <c r="D7" s="64" t="s">
        <v>172</v>
      </c>
      <c r="E7" s="64"/>
      <c r="F7" s="64"/>
      <c r="G7" s="64" t="s">
        <v>173</v>
      </c>
      <c r="H7" s="64" t="s">
        <v>174</v>
      </c>
      <c r="I7" s="283" t="s">
        <v>175</v>
      </c>
      <c r="J7" s="284" t="s">
        <v>176</v>
      </c>
    </row>
    <row r="8" spans="3:18" x14ac:dyDescent="0.2">
      <c r="C8" s="65" t="s">
        <v>177</v>
      </c>
      <c r="D8" s="271"/>
      <c r="E8" s="60" t="s">
        <v>138</v>
      </c>
      <c r="F8" s="60"/>
      <c r="G8" s="75">
        <f>'1-Client Variables'!D86</f>
        <v>0</v>
      </c>
      <c r="H8" s="75">
        <f>D8-G8</f>
        <v>0</v>
      </c>
      <c r="I8" s="285">
        <f>IF(G8=0,0,H8/G8)</f>
        <v>0</v>
      </c>
    </row>
    <row r="9" spans="3:18" x14ac:dyDescent="0.2">
      <c r="C9" s="65" t="s">
        <v>179</v>
      </c>
      <c r="D9" s="271"/>
      <c r="E9" s="60" t="s">
        <v>138</v>
      </c>
      <c r="F9" s="60"/>
      <c r="G9" s="75">
        <f>'1-Client Variables'!D91</f>
        <v>0</v>
      </c>
      <c r="H9" s="75">
        <f>D9-G9</f>
        <v>0</v>
      </c>
      <c r="I9" s="285">
        <f t="shared" ref="I9:I10" si="0">IF(G9=0,0,H9/G9)</f>
        <v>0</v>
      </c>
    </row>
    <row r="10" spans="3:18" ht="16" thickBot="1" x14ac:dyDescent="0.25">
      <c r="C10" s="65" t="s">
        <v>181</v>
      </c>
      <c r="D10" s="271"/>
      <c r="E10" s="60" t="s">
        <v>138</v>
      </c>
      <c r="F10" s="60"/>
      <c r="G10" s="75">
        <f>'1-Client Variables'!$D$94</f>
        <v>0</v>
      </c>
      <c r="H10" s="75">
        <f>D10-G10</f>
        <v>0</v>
      </c>
      <c r="I10" s="286">
        <f t="shared" si="0"/>
        <v>0</v>
      </c>
    </row>
    <row r="12" spans="3:18" x14ac:dyDescent="0.2">
      <c r="C12" s="282" t="s">
        <v>220</v>
      </c>
    </row>
    <row r="13" spans="3:18" ht="6.75" customHeight="1" x14ac:dyDescent="0.2"/>
    <row r="14" spans="3:18" x14ac:dyDescent="0.2">
      <c r="C14" s="65" t="s">
        <v>221</v>
      </c>
      <c r="D14" s="265">
        <f>1500*'1-Client Variables'!D11</f>
        <v>1500</v>
      </c>
      <c r="E14" s="287" t="s">
        <v>222</v>
      </c>
      <c r="F14" s="288"/>
      <c r="G14" s="288"/>
      <c r="H14" s="288"/>
      <c r="I14" s="288"/>
      <c r="J14" s="288"/>
      <c r="K14" s="288"/>
      <c r="L14" s="288"/>
      <c r="M14" s="288"/>
      <c r="N14" s="288"/>
    </row>
    <row r="15" spans="3:18" x14ac:dyDescent="0.2">
      <c r="C15" s="80"/>
      <c r="D15" s="64"/>
      <c r="E15" s="288"/>
      <c r="F15" s="288"/>
      <c r="G15" s="288"/>
      <c r="H15" s="288"/>
      <c r="I15" s="288"/>
      <c r="J15" s="288"/>
      <c r="K15" s="288"/>
      <c r="L15" s="288"/>
      <c r="M15" s="288"/>
      <c r="N15" s="288"/>
    </row>
    <row r="16" spans="3:18" x14ac:dyDescent="0.2">
      <c r="C16" s="80"/>
      <c r="D16" s="64" t="s">
        <v>185</v>
      </c>
      <c r="E16" s="63">
        <v>1</v>
      </c>
      <c r="F16" s="63">
        <f>E16+1</f>
        <v>2</v>
      </c>
      <c r="G16" s="63">
        <f t="shared" ref="G16:H16" si="1">F16+1</f>
        <v>3</v>
      </c>
      <c r="H16" s="63">
        <f t="shared" si="1"/>
        <v>4</v>
      </c>
      <c r="I16" s="63">
        <f>H16+1</f>
        <v>5</v>
      </c>
      <c r="J16" s="63">
        <f>I16+1</f>
        <v>6</v>
      </c>
      <c r="K16" s="63">
        <f>J16+1</f>
        <v>7</v>
      </c>
      <c r="L16" s="63">
        <f t="shared" ref="L16:N16" si="2">K16+1</f>
        <v>8</v>
      </c>
      <c r="M16" s="63">
        <f t="shared" si="2"/>
        <v>9</v>
      </c>
      <c r="N16" s="63">
        <f t="shared" si="2"/>
        <v>10</v>
      </c>
    </row>
    <row r="17" spans="3:15" s="65" customFormat="1" ht="14" x14ac:dyDescent="0.2">
      <c r="C17" s="65" t="s">
        <v>186</v>
      </c>
      <c r="D17" s="91"/>
      <c r="E17" s="289"/>
      <c r="F17" s="289"/>
      <c r="G17" s="289"/>
      <c r="H17" s="289"/>
      <c r="I17" s="289"/>
      <c r="J17" s="289"/>
      <c r="K17" s="289"/>
      <c r="L17" s="289"/>
      <c r="M17" s="289"/>
      <c r="N17" s="289"/>
      <c r="O17" s="60" t="s">
        <v>187</v>
      </c>
    </row>
    <row r="18" spans="3:15" s="65" customFormat="1" ht="14" x14ac:dyDescent="0.2">
      <c r="C18" s="65" t="s">
        <v>188</v>
      </c>
      <c r="D18" s="91"/>
      <c r="E18" s="290">
        <f>'1-Client Variables'!$D$81-E19</f>
        <v>0</v>
      </c>
      <c r="F18" s="290">
        <f>'1-Client Variables'!$D$81-F19</f>
        <v>0</v>
      </c>
      <c r="G18" s="290">
        <f>'1-Client Variables'!$D$81-G19</f>
        <v>0</v>
      </c>
      <c r="H18" s="290">
        <f>'1-Client Variables'!$D$81-H19</f>
        <v>0</v>
      </c>
      <c r="I18" s="290">
        <f>'1-Client Variables'!$D$81-I19</f>
        <v>0</v>
      </c>
      <c r="J18" s="290">
        <f>'1-Client Variables'!$D$81-J19</f>
        <v>0</v>
      </c>
      <c r="K18" s="290">
        <f>'1-Client Variables'!$D$81-K19</f>
        <v>0</v>
      </c>
      <c r="L18" s="290">
        <f>'1-Client Variables'!$D$81-L19</f>
        <v>0</v>
      </c>
      <c r="M18" s="290">
        <f>'1-Client Variables'!$D$81-M19</f>
        <v>0</v>
      </c>
      <c r="N18" s="290">
        <f>'1-Client Variables'!$D$81-N19</f>
        <v>0</v>
      </c>
      <c r="O18" s="60"/>
    </row>
    <row r="19" spans="3:15" s="65" customFormat="1" ht="14" x14ac:dyDescent="0.2">
      <c r="C19" s="65" t="s">
        <v>189</v>
      </c>
      <c r="D19" s="297">
        <v>0</v>
      </c>
      <c r="E19" s="290">
        <f>E17*'1-Client Variables'!$D$81</f>
        <v>0</v>
      </c>
      <c r="F19" s="290">
        <f>F17*'1-Client Variables'!$D$81</f>
        <v>0</v>
      </c>
      <c r="G19" s="290">
        <f>G17*'1-Client Variables'!$D$81</f>
        <v>0</v>
      </c>
      <c r="H19" s="290">
        <f>H17*'1-Client Variables'!$D$81</f>
        <v>0</v>
      </c>
      <c r="I19" s="290">
        <f>I17*'1-Client Variables'!$D$81</f>
        <v>0</v>
      </c>
      <c r="J19" s="290">
        <f>J17*'1-Client Variables'!$D$81</f>
        <v>0</v>
      </c>
      <c r="K19" s="290">
        <f>K17*'1-Client Variables'!$D$81</f>
        <v>0</v>
      </c>
      <c r="L19" s="290">
        <f>L17*'1-Client Variables'!$D$81</f>
        <v>0</v>
      </c>
      <c r="M19" s="290">
        <f>M17*'1-Client Variables'!$D$81</f>
        <v>0</v>
      </c>
      <c r="N19" s="290">
        <f>N17*'1-Client Variables'!$D$81</f>
        <v>0</v>
      </c>
      <c r="O19" s="60"/>
    </row>
    <row r="20" spans="3:15" s="65" customFormat="1" ht="14" x14ac:dyDescent="0.2">
      <c r="C20" s="65" t="s">
        <v>223</v>
      </c>
      <c r="D20" s="75">
        <f>SUM(E20:N20)</f>
        <v>0</v>
      </c>
      <c r="E20" s="296">
        <f>$D$14*(E19-D19)</f>
        <v>0</v>
      </c>
      <c r="F20" s="296">
        <f t="shared" ref="F20:N20" si="3">$D$14*(F19-E19)</f>
        <v>0</v>
      </c>
      <c r="G20" s="296">
        <f t="shared" si="3"/>
        <v>0</v>
      </c>
      <c r="H20" s="296">
        <f t="shared" si="3"/>
        <v>0</v>
      </c>
      <c r="I20" s="296">
        <f t="shared" si="3"/>
        <v>0</v>
      </c>
      <c r="J20" s="296">
        <f t="shared" si="3"/>
        <v>0</v>
      </c>
      <c r="K20" s="296">
        <f t="shared" si="3"/>
        <v>0</v>
      </c>
      <c r="L20" s="296">
        <f t="shared" si="3"/>
        <v>0</v>
      </c>
      <c r="M20" s="296">
        <f t="shared" si="3"/>
        <v>0</v>
      </c>
      <c r="N20" s="296">
        <f t="shared" si="3"/>
        <v>0</v>
      </c>
      <c r="O20" s="292" t="s">
        <v>224</v>
      </c>
    </row>
    <row r="21" spans="3:15" s="65" customFormat="1" ht="14" x14ac:dyDescent="0.2">
      <c r="C21" s="65" t="s">
        <v>192</v>
      </c>
      <c r="D21" s="75">
        <f>SUM(E21:N21)</f>
        <v>0</v>
      </c>
      <c r="E21" s="291"/>
      <c r="F21" s="291"/>
      <c r="G21" s="291"/>
      <c r="H21" s="291"/>
      <c r="I21" s="291"/>
      <c r="J21" s="271"/>
      <c r="K21" s="271"/>
      <c r="L21" s="271"/>
      <c r="M21" s="271"/>
      <c r="N21" s="271"/>
      <c r="O21" s="292" t="s">
        <v>225</v>
      </c>
    </row>
    <row r="22" spans="3:15" s="65" customFormat="1" ht="14" x14ac:dyDescent="0.2">
      <c r="C22" s="65" t="s">
        <v>194</v>
      </c>
      <c r="D22" s="75">
        <f>SUM(E22:N22)</f>
        <v>0</v>
      </c>
      <c r="E22" s="291"/>
      <c r="F22" s="291"/>
      <c r="G22" s="291"/>
      <c r="H22" s="291"/>
      <c r="I22" s="291"/>
      <c r="J22" s="271"/>
      <c r="K22" s="271"/>
      <c r="L22" s="271"/>
      <c r="M22" s="271"/>
      <c r="N22" s="271"/>
      <c r="O22" s="292" t="s">
        <v>225</v>
      </c>
    </row>
    <row r="23" spans="3:15" s="65" customFormat="1" ht="14" x14ac:dyDescent="0.2">
      <c r="C23" s="65" t="s">
        <v>195</v>
      </c>
      <c r="D23" s="75">
        <f>SUM(E23:N23)</f>
        <v>0</v>
      </c>
      <c r="E23" s="290">
        <f t="shared" ref="E23:N23" si="4">SUM(E21:E22)</f>
        <v>0</v>
      </c>
      <c r="F23" s="290">
        <f t="shared" si="4"/>
        <v>0</v>
      </c>
      <c r="G23" s="290">
        <f t="shared" si="4"/>
        <v>0</v>
      </c>
      <c r="H23" s="290">
        <f t="shared" si="4"/>
        <v>0</v>
      </c>
      <c r="I23" s="290">
        <f t="shared" si="4"/>
        <v>0</v>
      </c>
      <c r="J23" s="290">
        <f t="shared" si="4"/>
        <v>0</v>
      </c>
      <c r="K23" s="290">
        <f t="shared" si="4"/>
        <v>0</v>
      </c>
      <c r="L23" s="290">
        <f t="shared" si="4"/>
        <v>0</v>
      </c>
      <c r="M23" s="290">
        <f t="shared" si="4"/>
        <v>0</v>
      </c>
      <c r="N23" s="290">
        <f t="shared" si="4"/>
        <v>0</v>
      </c>
      <c r="O23" s="60"/>
    </row>
    <row r="25" spans="3:15" x14ac:dyDescent="0.2">
      <c r="C25" s="282" t="s">
        <v>226</v>
      </c>
    </row>
    <row r="26" spans="3:15" ht="6.75" customHeight="1" x14ac:dyDescent="0.2"/>
    <row r="27" spans="3:15" x14ac:dyDescent="0.2">
      <c r="C27" s="80"/>
      <c r="D27" s="64" t="s">
        <v>185</v>
      </c>
      <c r="E27" s="63">
        <v>1</v>
      </c>
      <c r="F27" s="63">
        <f>E27+1</f>
        <v>2</v>
      </c>
      <c r="G27" s="63">
        <f t="shared" ref="G27:H27" si="5">F27+1</f>
        <v>3</v>
      </c>
      <c r="H27" s="63">
        <f t="shared" si="5"/>
        <v>4</v>
      </c>
      <c r="I27" s="63">
        <f>H27+1</f>
        <v>5</v>
      </c>
      <c r="J27" s="63">
        <f>I27+1</f>
        <v>6</v>
      </c>
      <c r="K27" s="63">
        <f>J27+1</f>
        <v>7</v>
      </c>
      <c r="L27" s="63">
        <f t="shared" ref="L27:N27" si="6">K27+1</f>
        <v>8</v>
      </c>
      <c r="M27" s="63">
        <f t="shared" si="6"/>
        <v>9</v>
      </c>
      <c r="N27" s="63">
        <f t="shared" si="6"/>
        <v>10</v>
      </c>
      <c r="O27" s="292" t="s">
        <v>227</v>
      </c>
    </row>
    <row r="28" spans="3:15" x14ac:dyDescent="0.2">
      <c r="C28" s="293" t="s">
        <v>198</v>
      </c>
      <c r="D28" s="75">
        <f>SUM(E28:N28)</f>
        <v>0</v>
      </c>
      <c r="E28" s="291"/>
      <c r="F28" s="291"/>
      <c r="G28" s="291"/>
      <c r="H28" s="291"/>
      <c r="I28" s="291"/>
      <c r="J28" s="291"/>
      <c r="K28" s="291"/>
      <c r="L28" s="291"/>
      <c r="M28" s="291"/>
      <c r="N28" s="291"/>
    </row>
    <row r="29" spans="3:15" x14ac:dyDescent="0.2">
      <c r="C29" s="293" t="s">
        <v>200</v>
      </c>
      <c r="D29" s="75">
        <f>SUM(E29:N29)</f>
        <v>0</v>
      </c>
      <c r="E29" s="291"/>
      <c r="F29" s="291"/>
      <c r="G29" s="291"/>
      <c r="H29" s="291"/>
      <c r="I29" s="291"/>
      <c r="J29" s="291"/>
      <c r="K29" s="291"/>
      <c r="L29" s="291"/>
      <c r="M29" s="291"/>
      <c r="N29" s="291"/>
    </row>
    <row r="30" spans="3:15" x14ac:dyDescent="0.2">
      <c r="C30" s="293" t="s">
        <v>202</v>
      </c>
      <c r="D30" s="75">
        <f>SUM(E30:N30)</f>
        <v>0</v>
      </c>
      <c r="E30" s="291"/>
      <c r="F30" s="291"/>
      <c r="G30" s="291"/>
      <c r="H30" s="291"/>
      <c r="I30" s="291"/>
      <c r="J30" s="291"/>
      <c r="K30" s="291"/>
      <c r="L30" s="291"/>
      <c r="M30" s="291"/>
      <c r="N30" s="291"/>
    </row>
    <row r="32" spans="3:15" x14ac:dyDescent="0.2">
      <c r="C32" s="282" t="s">
        <v>228</v>
      </c>
    </row>
    <row r="34" spans="3:6" x14ac:dyDescent="0.2">
      <c r="C34" s="159" t="s">
        <v>204</v>
      </c>
    </row>
    <row r="35" spans="3:6" x14ac:dyDescent="0.2">
      <c r="C35" s="294" t="s">
        <v>205</v>
      </c>
      <c r="E35" s="271" t="s">
        <v>134</v>
      </c>
      <c r="F35" s="60" t="s">
        <v>206</v>
      </c>
    </row>
    <row r="36" spans="3:6" ht="4.5" customHeight="1" x14ac:dyDescent="0.2">
      <c r="C36" s="294"/>
      <c r="E36" s="91"/>
    </row>
    <row r="37" spans="3:6" x14ac:dyDescent="0.2">
      <c r="C37" s="295" t="s">
        <v>207</v>
      </c>
      <c r="E37" s="91"/>
    </row>
    <row r="38" spans="3:6" x14ac:dyDescent="0.2">
      <c r="C38" s="294" t="s">
        <v>208</v>
      </c>
      <c r="E38" s="144" t="str">
        <f>E35</f>
        <v>No</v>
      </c>
      <c r="F38" s="292"/>
    </row>
    <row r="39" spans="3:6" x14ac:dyDescent="0.2">
      <c r="C39" s="294" t="s">
        <v>209</v>
      </c>
      <c r="E39" s="271" t="s">
        <v>134</v>
      </c>
      <c r="F39" s="292" t="str">
        <f>IF(E35="No","Answer cannot be Yes when Backup Option is not activated","Please answer")</f>
        <v>Answer cannot be Yes when Backup Option is not activated</v>
      </c>
    </row>
    <row r="41" spans="3:6" x14ac:dyDescent="0.2">
      <c r="C41" s="159" t="s">
        <v>210</v>
      </c>
    </row>
    <row r="42" spans="3:6" x14ac:dyDescent="0.2">
      <c r="C42" s="294" t="s">
        <v>211</v>
      </c>
      <c r="E42" s="271" t="s">
        <v>134</v>
      </c>
      <c r="F42" s="60" t="s">
        <v>212</v>
      </c>
    </row>
    <row r="43" spans="3:6" ht="4.5" customHeight="1" x14ac:dyDescent="0.2">
      <c r="C43" s="153"/>
      <c r="E43" s="91"/>
    </row>
    <row r="44" spans="3:6" x14ac:dyDescent="0.2">
      <c r="C44" s="295" t="s">
        <v>213</v>
      </c>
      <c r="E44" s="91"/>
    </row>
    <row r="45" spans="3:6" x14ac:dyDescent="0.2">
      <c r="C45" s="294" t="s">
        <v>214</v>
      </c>
      <c r="E45" s="144" t="str">
        <f>E42</f>
        <v>No</v>
      </c>
      <c r="F45" s="292"/>
    </row>
    <row r="46" spans="3:6" x14ac:dyDescent="0.2">
      <c r="C46" s="294" t="s">
        <v>215</v>
      </c>
      <c r="E46" s="271" t="s">
        <v>134</v>
      </c>
      <c r="F46" s="292" t="str">
        <f>IF(E42="No","Answer cannot be Yes when Disaster Recovery Option is not activated","Please answer")</f>
        <v>Answer cannot be Yes when Disaster Recovery Option is not activated</v>
      </c>
    </row>
    <row r="67" spans="1:2" x14ac:dyDescent="0.2">
      <c r="A67" s="68"/>
      <c r="B67" s="68"/>
    </row>
  </sheetData>
  <mergeCells count="1">
    <mergeCell ref="D3:E4"/>
  </mergeCells>
  <conditionalFormatting sqref="F38:F39">
    <cfRule type="expression" dxfId="67" priority="4">
      <formula>$E$35="No"</formula>
    </cfRule>
  </conditionalFormatting>
  <conditionalFormatting sqref="F45:F46">
    <cfRule type="expression" dxfId="66" priority="1">
      <formula>$E$35="No"</formula>
    </cfRule>
  </conditionalFormatting>
  <dataValidations count="1">
    <dataValidation type="list" allowBlank="1" showInputMessage="1" showErrorMessage="1" sqref="E39 E35:E37 E42:E44 E46" xr:uid="{4E941B8A-F11B-4FB8-975B-8CDB2D623AC6}">
      <formula1>"Yes, No"</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95DCC-B162-4073-BED8-F154AB136C0C}">
  <sheetPr codeName="Sheet6">
    <tabColor rgb="FFFFFF00"/>
  </sheetPr>
  <dimension ref="A1:R67"/>
  <sheetViews>
    <sheetView showGridLines="0" zoomScaleNormal="100" workbookViewId="0">
      <pane ySplit="5" topLeftCell="A6" activePane="bottomLeft" state="frozen"/>
      <selection activeCell="E17" sqref="E17:N17"/>
      <selection pane="bottomLeft" activeCell="E17" sqref="E17:N17"/>
    </sheetView>
  </sheetViews>
  <sheetFormatPr baseColWidth="10" defaultColWidth="9" defaultRowHeight="15" x14ac:dyDescent="0.2"/>
  <cols>
    <col min="1" max="2" width="2.83203125" style="65" customWidth="1"/>
    <col min="3" max="3" width="39.83203125" style="58" customWidth="1"/>
    <col min="4" max="14" width="13.83203125" style="58" customWidth="1"/>
    <col min="15" max="18" width="12.83203125" style="58" customWidth="1"/>
    <col min="19" max="16384" width="9" style="58"/>
  </cols>
  <sheetData>
    <row r="1" spans="3:18" s="65" customFormat="1" ht="14" x14ac:dyDescent="0.2"/>
    <row r="2" spans="3:18" s="65" customFormat="1" x14ac:dyDescent="0.2">
      <c r="C2" s="59" t="s">
        <v>216</v>
      </c>
      <c r="M2" s="278"/>
      <c r="N2" s="279" t="s">
        <v>166</v>
      </c>
      <c r="O2" s="278"/>
      <c r="P2" s="278"/>
      <c r="Q2" s="278"/>
      <c r="R2" s="278"/>
    </row>
    <row r="3" spans="3:18" s="65" customFormat="1" x14ac:dyDescent="0.2">
      <c r="C3" s="280" t="s">
        <v>229</v>
      </c>
      <c r="D3" s="788" t="s">
        <v>230</v>
      </c>
      <c r="E3" s="788"/>
      <c r="F3" s="254" t="s">
        <v>47</v>
      </c>
      <c r="G3" s="162"/>
      <c r="H3" s="65" t="s">
        <v>49</v>
      </c>
      <c r="M3" s="278"/>
      <c r="N3" s="278" t="s">
        <v>168</v>
      </c>
      <c r="O3" s="278"/>
      <c r="P3" s="278"/>
      <c r="Q3" s="278"/>
      <c r="R3" s="278"/>
    </row>
    <row r="4" spans="3:18" s="65" customFormat="1" x14ac:dyDescent="0.2">
      <c r="C4" s="281">
        <f>'1-Client Variables'!D114</f>
        <v>0</v>
      </c>
      <c r="D4" s="788"/>
      <c r="E4" s="788"/>
      <c r="G4" s="255"/>
      <c r="H4" s="65" t="s">
        <v>50</v>
      </c>
      <c r="M4" s="278"/>
      <c r="N4" s="278" t="s">
        <v>169</v>
      </c>
      <c r="O4" s="278"/>
      <c r="P4" s="278"/>
      <c r="Q4" s="278"/>
      <c r="R4" s="278"/>
    </row>
    <row r="5" spans="3:18" s="65" customFormat="1" x14ac:dyDescent="0.2">
      <c r="C5" s="59"/>
      <c r="G5" s="75"/>
      <c r="H5" s="65" t="s">
        <v>51</v>
      </c>
      <c r="M5" s="278"/>
      <c r="N5" s="278"/>
      <c r="O5" s="278"/>
      <c r="P5" s="278"/>
      <c r="Q5" s="278"/>
      <c r="R5" s="278"/>
    </row>
    <row r="6" spans="3:18" ht="16" thickBot="1" x14ac:dyDescent="0.25">
      <c r="C6" s="282" t="s">
        <v>231</v>
      </c>
    </row>
    <row r="7" spans="3:18" x14ac:dyDescent="0.2">
      <c r="D7" s="64" t="s">
        <v>172</v>
      </c>
      <c r="E7" s="64"/>
      <c r="F7" s="64"/>
      <c r="G7" s="64" t="s">
        <v>173</v>
      </c>
      <c r="H7" s="64" t="s">
        <v>174</v>
      </c>
      <c r="I7" s="283" t="s">
        <v>175</v>
      </c>
      <c r="J7" s="284" t="s">
        <v>176</v>
      </c>
    </row>
    <row r="8" spans="3:18" x14ac:dyDescent="0.2">
      <c r="C8" s="65" t="s">
        <v>177</v>
      </c>
      <c r="D8" s="271"/>
      <c r="E8" s="60" t="s">
        <v>138</v>
      </c>
      <c r="F8" s="60"/>
      <c r="G8" s="75">
        <f>'1-Client Variables'!D125</f>
        <v>0</v>
      </c>
      <c r="H8" s="75">
        <f>D8-G8</f>
        <v>0</v>
      </c>
      <c r="I8" s="285">
        <f>IF(G8=0,0,H8/G8)</f>
        <v>0</v>
      </c>
    </row>
    <row r="9" spans="3:18" x14ac:dyDescent="0.2">
      <c r="C9" s="65" t="s">
        <v>179</v>
      </c>
      <c r="D9" s="271"/>
      <c r="E9" s="60" t="s">
        <v>138</v>
      </c>
      <c r="F9" s="60"/>
      <c r="G9" s="75">
        <f>'1-Client Variables'!D130</f>
        <v>0</v>
      </c>
      <c r="H9" s="75">
        <f>D9-G9</f>
        <v>0</v>
      </c>
      <c r="I9" s="285">
        <f t="shared" ref="I9:I10" si="0">IF(G9=0,0,H9/G9)</f>
        <v>0</v>
      </c>
    </row>
    <row r="10" spans="3:18" ht="16" thickBot="1" x14ac:dyDescent="0.25">
      <c r="C10" s="65" t="s">
        <v>181</v>
      </c>
      <c r="D10" s="271"/>
      <c r="E10" s="60" t="s">
        <v>138</v>
      </c>
      <c r="F10" s="60"/>
      <c r="G10" s="75">
        <f>'1-Client Variables'!$D$133</f>
        <v>0</v>
      </c>
      <c r="H10" s="75">
        <f>D10-G10</f>
        <v>0</v>
      </c>
      <c r="I10" s="286">
        <f t="shared" si="0"/>
        <v>0</v>
      </c>
    </row>
    <row r="12" spans="3:18" x14ac:dyDescent="0.2">
      <c r="C12" s="282" t="s">
        <v>232</v>
      </c>
    </row>
    <row r="13" spans="3:18" ht="6.75" customHeight="1" x14ac:dyDescent="0.2"/>
    <row r="14" spans="3:18" x14ac:dyDescent="0.2">
      <c r="C14" s="65" t="s">
        <v>221</v>
      </c>
      <c r="D14" s="265">
        <f>1500*'1-Client Variables'!D11</f>
        <v>1500</v>
      </c>
      <c r="E14" s="287" t="s">
        <v>222</v>
      </c>
      <c r="F14" s="288"/>
      <c r="G14" s="288"/>
      <c r="H14" s="288"/>
      <c r="I14" s="288"/>
      <c r="J14" s="288"/>
      <c r="K14" s="288"/>
      <c r="L14" s="288"/>
      <c r="M14" s="288"/>
      <c r="N14" s="288"/>
    </row>
    <row r="15" spans="3:18" x14ac:dyDescent="0.2">
      <c r="C15" s="80"/>
      <c r="D15" s="64"/>
      <c r="E15" s="288"/>
      <c r="F15" s="288"/>
      <c r="G15" s="288"/>
      <c r="H15" s="288"/>
      <c r="I15" s="288"/>
      <c r="J15" s="288"/>
      <c r="K15" s="288"/>
      <c r="L15" s="288"/>
      <c r="M15" s="288"/>
      <c r="N15" s="288"/>
    </row>
    <row r="16" spans="3:18" x14ac:dyDescent="0.2">
      <c r="C16" s="80"/>
      <c r="D16" s="64" t="s">
        <v>185</v>
      </c>
      <c r="E16" s="63">
        <v>1</v>
      </c>
      <c r="F16" s="63">
        <f>E16+1</f>
        <v>2</v>
      </c>
      <c r="G16" s="63">
        <f t="shared" ref="G16:H16" si="1">F16+1</f>
        <v>3</v>
      </c>
      <c r="H16" s="63">
        <f t="shared" si="1"/>
        <v>4</v>
      </c>
      <c r="I16" s="63">
        <f>H16+1</f>
        <v>5</v>
      </c>
      <c r="J16" s="63">
        <f>I16+1</f>
        <v>6</v>
      </c>
      <c r="K16" s="63">
        <f>J16+1</f>
        <v>7</v>
      </c>
      <c r="L16" s="63">
        <f t="shared" ref="L16:N16" si="2">K16+1</f>
        <v>8</v>
      </c>
      <c r="M16" s="63">
        <f t="shared" si="2"/>
        <v>9</v>
      </c>
      <c r="N16" s="63">
        <f t="shared" si="2"/>
        <v>10</v>
      </c>
    </row>
    <row r="17" spans="3:15" s="65" customFormat="1" ht="14" x14ac:dyDescent="0.2">
      <c r="C17" s="65" t="s">
        <v>186</v>
      </c>
      <c r="D17" s="91"/>
      <c r="E17" s="289"/>
      <c r="F17" s="289"/>
      <c r="G17" s="289"/>
      <c r="H17" s="289"/>
      <c r="I17" s="289"/>
      <c r="J17" s="289"/>
      <c r="K17" s="289"/>
      <c r="L17" s="289"/>
      <c r="M17" s="289"/>
      <c r="N17" s="289"/>
      <c r="O17" s="60" t="s">
        <v>187</v>
      </c>
    </row>
    <row r="18" spans="3:15" s="65" customFormat="1" ht="14" x14ac:dyDescent="0.2">
      <c r="C18" s="65" t="s">
        <v>188</v>
      </c>
      <c r="D18" s="91"/>
      <c r="E18" s="290">
        <f>'1-Client Variables'!$D$120-E19</f>
        <v>0</v>
      </c>
      <c r="F18" s="290">
        <f>'1-Client Variables'!$D$120-F19</f>
        <v>0</v>
      </c>
      <c r="G18" s="290">
        <f>'1-Client Variables'!$D$120-G19</f>
        <v>0</v>
      </c>
      <c r="H18" s="290">
        <f>'1-Client Variables'!$D$120-H19</f>
        <v>0</v>
      </c>
      <c r="I18" s="290">
        <f>'1-Client Variables'!$D$120-I19</f>
        <v>0</v>
      </c>
      <c r="J18" s="290">
        <f>'1-Client Variables'!$D$120-J19</f>
        <v>0</v>
      </c>
      <c r="K18" s="290">
        <f>'1-Client Variables'!$D$120-K19</f>
        <v>0</v>
      </c>
      <c r="L18" s="290">
        <f>'1-Client Variables'!$D$120-L19</f>
        <v>0</v>
      </c>
      <c r="M18" s="290">
        <f>'1-Client Variables'!$D$120-M19</f>
        <v>0</v>
      </c>
      <c r="N18" s="290">
        <f>'1-Client Variables'!$D$120-N19</f>
        <v>0</v>
      </c>
      <c r="O18" s="60"/>
    </row>
    <row r="19" spans="3:15" s="65" customFormat="1" ht="14" x14ac:dyDescent="0.2">
      <c r="C19" s="65" t="s">
        <v>189</v>
      </c>
      <c r="D19" s="91"/>
      <c r="E19" s="290">
        <f>E17*'1-Client Variables'!$D$120</f>
        <v>0</v>
      </c>
      <c r="F19" s="290">
        <f>F17*'1-Client Variables'!$D$120</f>
        <v>0</v>
      </c>
      <c r="G19" s="290">
        <f>G17*'1-Client Variables'!$D$120</f>
        <v>0</v>
      </c>
      <c r="H19" s="290">
        <f>H17*'1-Client Variables'!$D$120</f>
        <v>0</v>
      </c>
      <c r="I19" s="290">
        <f>I17*'1-Client Variables'!$D$120</f>
        <v>0</v>
      </c>
      <c r="J19" s="290">
        <f>J17*'1-Client Variables'!$D$120</f>
        <v>0</v>
      </c>
      <c r="K19" s="290">
        <f>K17*'1-Client Variables'!$D$120</f>
        <v>0</v>
      </c>
      <c r="L19" s="290">
        <f>L17*'1-Client Variables'!$D$120</f>
        <v>0</v>
      </c>
      <c r="M19" s="290">
        <f>M17*'1-Client Variables'!$D$120</f>
        <v>0</v>
      </c>
      <c r="N19" s="290">
        <f>N17*'1-Client Variables'!$D$120</f>
        <v>0</v>
      </c>
      <c r="O19" s="60"/>
    </row>
    <row r="20" spans="3:15" s="65" customFormat="1" ht="14" x14ac:dyDescent="0.2">
      <c r="C20" s="65" t="s">
        <v>223</v>
      </c>
      <c r="D20" s="75">
        <f>SUM(E20:N20)</f>
        <v>0</v>
      </c>
      <c r="E20" s="296">
        <f>$D$14*(E19-D19)</f>
        <v>0</v>
      </c>
      <c r="F20" s="296">
        <f t="shared" ref="F20:N20" si="3">$D$14*(F19-E19)</f>
        <v>0</v>
      </c>
      <c r="G20" s="296">
        <f t="shared" si="3"/>
        <v>0</v>
      </c>
      <c r="H20" s="296">
        <f t="shared" si="3"/>
        <v>0</v>
      </c>
      <c r="I20" s="296">
        <f t="shared" si="3"/>
        <v>0</v>
      </c>
      <c r="J20" s="296">
        <f t="shared" si="3"/>
        <v>0</v>
      </c>
      <c r="K20" s="296">
        <f t="shared" si="3"/>
        <v>0</v>
      </c>
      <c r="L20" s="296">
        <f t="shared" si="3"/>
        <v>0</v>
      </c>
      <c r="M20" s="296">
        <f t="shared" si="3"/>
        <v>0</v>
      </c>
      <c r="N20" s="296">
        <f t="shared" si="3"/>
        <v>0</v>
      </c>
      <c r="O20" s="292" t="s">
        <v>224</v>
      </c>
    </row>
    <row r="21" spans="3:15" s="65" customFormat="1" ht="14" x14ac:dyDescent="0.2">
      <c r="C21" s="65" t="s">
        <v>192</v>
      </c>
      <c r="D21" s="75">
        <f>SUM(E21:N21)</f>
        <v>0</v>
      </c>
      <c r="E21" s="291"/>
      <c r="F21" s="291"/>
      <c r="G21" s="291"/>
      <c r="H21" s="291"/>
      <c r="I21" s="291"/>
      <c r="J21" s="271"/>
      <c r="K21" s="271"/>
      <c r="L21" s="271"/>
      <c r="M21" s="271"/>
      <c r="N21" s="271"/>
      <c r="O21" s="292" t="s">
        <v>225</v>
      </c>
    </row>
    <row r="22" spans="3:15" s="65" customFormat="1" ht="14" x14ac:dyDescent="0.2">
      <c r="C22" s="65" t="s">
        <v>194</v>
      </c>
      <c r="D22" s="75">
        <f>SUM(E22:N22)</f>
        <v>0</v>
      </c>
      <c r="E22" s="291"/>
      <c r="F22" s="291"/>
      <c r="G22" s="291"/>
      <c r="H22" s="291"/>
      <c r="I22" s="291"/>
      <c r="J22" s="271"/>
      <c r="K22" s="271"/>
      <c r="L22" s="271"/>
      <c r="M22" s="271"/>
      <c r="N22" s="271"/>
      <c r="O22" s="292" t="s">
        <v>225</v>
      </c>
    </row>
    <row r="23" spans="3:15" s="65" customFormat="1" ht="14" x14ac:dyDescent="0.2">
      <c r="C23" s="65" t="s">
        <v>195</v>
      </c>
      <c r="D23" s="75">
        <f>SUM(E23:N23)</f>
        <v>0</v>
      </c>
      <c r="E23" s="290">
        <f t="shared" ref="E23:N23" si="4">SUM(E21:E22)</f>
        <v>0</v>
      </c>
      <c r="F23" s="290">
        <f t="shared" si="4"/>
        <v>0</v>
      </c>
      <c r="G23" s="290">
        <f t="shared" si="4"/>
        <v>0</v>
      </c>
      <c r="H23" s="290">
        <f t="shared" si="4"/>
        <v>0</v>
      </c>
      <c r="I23" s="290">
        <f t="shared" si="4"/>
        <v>0</v>
      </c>
      <c r="J23" s="290">
        <f t="shared" si="4"/>
        <v>0</v>
      </c>
      <c r="K23" s="290">
        <f t="shared" si="4"/>
        <v>0</v>
      </c>
      <c r="L23" s="290">
        <f t="shared" si="4"/>
        <v>0</v>
      </c>
      <c r="M23" s="290">
        <f t="shared" si="4"/>
        <v>0</v>
      </c>
      <c r="N23" s="290">
        <f t="shared" si="4"/>
        <v>0</v>
      </c>
      <c r="O23" s="60"/>
    </row>
    <row r="25" spans="3:15" x14ac:dyDescent="0.2">
      <c r="C25" s="282" t="s">
        <v>233</v>
      </c>
    </row>
    <row r="26" spans="3:15" ht="6.75" customHeight="1" x14ac:dyDescent="0.2"/>
    <row r="27" spans="3:15" x14ac:dyDescent="0.2">
      <c r="C27" s="80"/>
      <c r="D27" s="64" t="s">
        <v>185</v>
      </c>
      <c r="E27" s="63">
        <v>1</v>
      </c>
      <c r="F27" s="63">
        <f>E27+1</f>
        <v>2</v>
      </c>
      <c r="G27" s="63">
        <f t="shared" ref="G27:H27" si="5">F27+1</f>
        <v>3</v>
      </c>
      <c r="H27" s="63">
        <f t="shared" si="5"/>
        <v>4</v>
      </c>
      <c r="I27" s="63">
        <f>H27+1</f>
        <v>5</v>
      </c>
      <c r="J27" s="63">
        <f>I27+1</f>
        <v>6</v>
      </c>
      <c r="K27" s="63">
        <f>J27+1</f>
        <v>7</v>
      </c>
      <c r="L27" s="63">
        <f t="shared" ref="L27:N27" si="6">K27+1</f>
        <v>8</v>
      </c>
      <c r="M27" s="63">
        <f t="shared" si="6"/>
        <v>9</v>
      </c>
      <c r="N27" s="63">
        <f t="shared" si="6"/>
        <v>10</v>
      </c>
      <c r="O27" s="292" t="s">
        <v>227</v>
      </c>
    </row>
    <row r="28" spans="3:15" x14ac:dyDescent="0.2">
      <c r="C28" s="293" t="s">
        <v>198</v>
      </c>
      <c r="D28" s="75">
        <f>SUM(E28:N28)</f>
        <v>0</v>
      </c>
      <c r="E28" s="291"/>
      <c r="F28" s="291"/>
      <c r="G28" s="291"/>
      <c r="H28" s="291"/>
      <c r="I28" s="291"/>
      <c r="J28" s="291"/>
      <c r="K28" s="291"/>
      <c r="L28" s="291"/>
      <c r="M28" s="291"/>
      <c r="N28" s="291"/>
    </row>
    <row r="29" spans="3:15" x14ac:dyDescent="0.2">
      <c r="C29" s="293" t="s">
        <v>200</v>
      </c>
      <c r="D29" s="75">
        <f>SUM(E29:N29)</f>
        <v>0</v>
      </c>
      <c r="E29" s="291"/>
      <c r="F29" s="291"/>
      <c r="G29" s="291"/>
      <c r="H29" s="291"/>
      <c r="I29" s="291"/>
      <c r="J29" s="291"/>
      <c r="K29" s="291"/>
      <c r="L29" s="291"/>
      <c r="M29" s="291"/>
      <c r="N29" s="291"/>
    </row>
    <row r="30" spans="3:15" x14ac:dyDescent="0.2">
      <c r="C30" s="293" t="s">
        <v>202</v>
      </c>
      <c r="D30" s="75">
        <f>SUM(E30:N30)</f>
        <v>0</v>
      </c>
      <c r="E30" s="291"/>
      <c r="F30" s="291"/>
      <c r="G30" s="291"/>
      <c r="H30" s="291"/>
      <c r="I30" s="291"/>
      <c r="J30" s="291"/>
      <c r="K30" s="291"/>
      <c r="L30" s="291"/>
      <c r="M30" s="291"/>
      <c r="N30" s="291"/>
    </row>
    <row r="32" spans="3:15" x14ac:dyDescent="0.2">
      <c r="C32" s="282" t="s">
        <v>234</v>
      </c>
    </row>
    <row r="34" spans="3:6" x14ac:dyDescent="0.2">
      <c r="C34" s="159" t="s">
        <v>204</v>
      </c>
    </row>
    <row r="35" spans="3:6" x14ac:dyDescent="0.2">
      <c r="C35" s="294" t="s">
        <v>205</v>
      </c>
      <c r="E35" s="271" t="s">
        <v>134</v>
      </c>
      <c r="F35" s="60" t="s">
        <v>206</v>
      </c>
    </row>
    <row r="36" spans="3:6" ht="4.5" customHeight="1" x14ac:dyDescent="0.2">
      <c r="C36" s="294"/>
      <c r="E36" s="91"/>
    </row>
    <row r="37" spans="3:6" x14ac:dyDescent="0.2">
      <c r="C37" s="295" t="s">
        <v>207</v>
      </c>
      <c r="E37" s="91"/>
    </row>
    <row r="38" spans="3:6" x14ac:dyDescent="0.2">
      <c r="C38" s="294" t="s">
        <v>208</v>
      </c>
      <c r="E38" s="144" t="str">
        <f>E35</f>
        <v>No</v>
      </c>
      <c r="F38" s="292"/>
    </row>
    <row r="39" spans="3:6" x14ac:dyDescent="0.2">
      <c r="C39" s="294" t="s">
        <v>209</v>
      </c>
      <c r="E39" s="271" t="s">
        <v>134</v>
      </c>
      <c r="F39" s="292" t="str">
        <f>IF(E35="No","Answer cannot be Yes when Backup Option is not activated","Please answer")</f>
        <v>Answer cannot be Yes when Backup Option is not activated</v>
      </c>
    </row>
    <row r="41" spans="3:6" x14ac:dyDescent="0.2">
      <c r="C41" s="159" t="s">
        <v>210</v>
      </c>
    </row>
    <row r="42" spans="3:6" x14ac:dyDescent="0.2">
      <c r="C42" s="294" t="s">
        <v>211</v>
      </c>
      <c r="E42" s="271" t="s">
        <v>134</v>
      </c>
      <c r="F42" s="60" t="s">
        <v>212</v>
      </c>
    </row>
    <row r="43" spans="3:6" ht="4.5" customHeight="1" x14ac:dyDescent="0.2">
      <c r="C43" s="153"/>
      <c r="E43" s="91"/>
    </row>
    <row r="44" spans="3:6" x14ac:dyDescent="0.2">
      <c r="C44" s="295" t="s">
        <v>213</v>
      </c>
      <c r="E44" s="91"/>
    </row>
    <row r="45" spans="3:6" x14ac:dyDescent="0.2">
      <c r="C45" s="294" t="s">
        <v>214</v>
      </c>
      <c r="E45" s="144" t="str">
        <f>E42</f>
        <v>No</v>
      </c>
      <c r="F45" s="292"/>
    </row>
    <row r="46" spans="3:6" x14ac:dyDescent="0.2">
      <c r="C46" s="294" t="s">
        <v>215</v>
      </c>
      <c r="E46" s="271" t="s">
        <v>134</v>
      </c>
      <c r="F46" s="292" t="str">
        <f>IF(E42="No","Answer cannot be Yes when Disaster Recovery Option is not activated","Please answer")</f>
        <v>Answer cannot be Yes when Disaster Recovery Option is not activated</v>
      </c>
    </row>
    <row r="67" spans="1:2" x14ac:dyDescent="0.2">
      <c r="A67" s="68"/>
      <c r="B67" s="68"/>
    </row>
  </sheetData>
  <mergeCells count="1">
    <mergeCell ref="D3:E4"/>
  </mergeCells>
  <conditionalFormatting sqref="F38:F39">
    <cfRule type="expression" dxfId="65" priority="3">
      <formula>$E$35="No"</formula>
    </cfRule>
  </conditionalFormatting>
  <conditionalFormatting sqref="F45:F46">
    <cfRule type="expression" dxfId="64" priority="1">
      <formula>$E$35="No"</formula>
    </cfRule>
  </conditionalFormatting>
  <dataValidations count="1">
    <dataValidation type="list" allowBlank="1" showInputMessage="1" showErrorMessage="1" sqref="E39 E35:E37 E42:E44 E46" xr:uid="{295DCA5A-7C0A-44F7-94A7-A71271F340E7}">
      <formula1>"Yes, No"</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49DA7-4671-4A8E-8829-32A33690768C}">
  <sheetPr codeName="Sheet7">
    <tabColor theme="4"/>
  </sheetPr>
  <dimension ref="A1:AZ73"/>
  <sheetViews>
    <sheetView showGridLines="0" topLeftCell="A7" zoomScale="60" zoomScaleNormal="60" workbookViewId="0">
      <selection activeCell="M50" sqref="M50"/>
    </sheetView>
  </sheetViews>
  <sheetFormatPr baseColWidth="10" defaultColWidth="9" defaultRowHeight="16" outlineLevelCol="1" x14ac:dyDescent="0.2"/>
  <cols>
    <col min="1" max="1" width="5.83203125" style="391" customWidth="1"/>
    <col min="2" max="2" width="40" style="391" customWidth="1"/>
    <col min="3" max="14" width="13" style="391" customWidth="1"/>
    <col min="15" max="15" width="1.5" style="391" customWidth="1"/>
    <col min="16" max="16" width="14.5" style="391" bestFit="1" customWidth="1"/>
    <col min="17" max="17" width="9" style="391"/>
    <col min="18" max="18" width="13.83203125" style="391" bestFit="1" customWidth="1"/>
    <col min="19" max="23" width="9" style="391"/>
    <col min="24" max="24" width="13" style="391" bestFit="1" customWidth="1"/>
    <col min="25" max="25" width="9" style="391" bestFit="1" customWidth="1"/>
    <col min="26" max="31" width="9" style="391" customWidth="1"/>
    <col min="32" max="36" width="9" style="391"/>
    <col min="37" max="37" width="9" style="391" customWidth="1"/>
    <col min="38" max="38" width="61" style="391" customWidth="1"/>
    <col min="39" max="39" width="9" style="391" hidden="1" customWidth="1" outlineLevel="1"/>
    <col min="40" max="40" width="19.83203125" style="391" hidden="1" customWidth="1" outlineLevel="1"/>
    <col min="41" max="51" width="9" style="391" hidden="1" customWidth="1" outlineLevel="1"/>
    <col min="52" max="52" width="9" style="391" collapsed="1"/>
    <col min="53" max="16384" width="9" style="391"/>
  </cols>
  <sheetData>
    <row r="1" spans="1:51" ht="16.5" customHeight="1" x14ac:dyDescent="0.2">
      <c r="A1" s="390"/>
      <c r="B1" s="299" t="str">
        <f>CONCATENATE('1-Client Variables'!$D$9," Cloud Transformation Financial Summary (",'1-Client Variables'!D10,")")</f>
        <v>Contoso Cloud Transformation Financial Summary (USD)</v>
      </c>
      <c r="C1" s="390"/>
      <c r="D1" s="390"/>
      <c r="E1" s="390"/>
      <c r="F1" s="390"/>
      <c r="G1" s="390"/>
      <c r="H1" s="390"/>
      <c r="I1" s="390"/>
      <c r="J1" s="390"/>
      <c r="K1" s="390"/>
      <c r="L1" s="390"/>
      <c r="M1" s="390"/>
      <c r="N1" s="390"/>
      <c r="O1" s="390"/>
      <c r="P1" s="390"/>
      <c r="Q1" s="390"/>
      <c r="R1" s="390"/>
      <c r="S1" s="390"/>
      <c r="T1" s="390"/>
      <c r="U1" s="390"/>
      <c r="V1" s="390"/>
      <c r="W1" s="390"/>
      <c r="X1" s="390"/>
      <c r="Y1" s="390"/>
      <c r="Z1" s="784"/>
      <c r="AA1" s="784"/>
      <c r="AB1" s="784"/>
      <c r="AC1" s="784"/>
      <c r="AD1" s="784"/>
      <c r="AE1" s="784"/>
    </row>
    <row r="2" spans="1:51" ht="5.25" customHeight="1" x14ac:dyDescent="0.2">
      <c r="A2" s="390"/>
      <c r="B2" s="390"/>
      <c r="C2" s="390"/>
      <c r="D2" s="390"/>
      <c r="E2" s="390"/>
      <c r="F2" s="390"/>
      <c r="G2" s="390"/>
      <c r="H2" s="390"/>
      <c r="I2" s="390"/>
      <c r="J2" s="390"/>
      <c r="K2" s="390"/>
      <c r="L2" s="390"/>
      <c r="M2" s="390"/>
      <c r="N2" s="390"/>
      <c r="O2" s="390"/>
      <c r="P2" s="390"/>
      <c r="Q2" s="390"/>
      <c r="R2" s="390"/>
      <c r="S2" s="390"/>
      <c r="T2" s="390"/>
      <c r="U2" s="390"/>
      <c r="V2" s="390"/>
      <c r="W2" s="390"/>
      <c r="X2" s="390"/>
      <c r="Y2" s="390"/>
      <c r="Z2" s="784"/>
      <c r="AA2" s="784"/>
      <c r="AB2" s="784"/>
      <c r="AC2" s="784"/>
      <c r="AD2" s="784"/>
      <c r="AE2" s="784"/>
    </row>
    <row r="3" spans="1:51" ht="16.5" customHeight="1" x14ac:dyDescent="0.2">
      <c r="A3" s="390"/>
      <c r="B3" s="390"/>
      <c r="C3" s="390"/>
      <c r="D3" s="390"/>
      <c r="E3" s="390"/>
      <c r="F3" s="390"/>
      <c r="G3" s="390"/>
      <c r="H3" s="390"/>
      <c r="I3" s="390"/>
      <c r="J3" s="390"/>
      <c r="K3" s="390"/>
      <c r="L3" s="390"/>
      <c r="M3" s="390"/>
      <c r="N3" s="390"/>
      <c r="O3" s="390"/>
      <c r="P3" s="390"/>
      <c r="Q3" s="390"/>
      <c r="R3" s="390"/>
      <c r="S3" s="390"/>
      <c r="T3" s="390"/>
      <c r="U3" s="390"/>
      <c r="V3" s="390"/>
      <c r="W3" s="390"/>
      <c r="X3" s="390"/>
      <c r="Y3" s="390"/>
      <c r="Z3" s="784"/>
      <c r="AA3" s="784"/>
      <c r="AB3" s="784"/>
      <c r="AC3" s="784"/>
      <c r="AD3" s="784"/>
      <c r="AE3" s="784"/>
    </row>
    <row r="5" spans="1:51" x14ac:dyDescent="0.2">
      <c r="B5" s="392" t="s">
        <v>235</v>
      </c>
      <c r="C5" s="393"/>
      <c r="D5" s="766" t="s">
        <v>922</v>
      </c>
      <c r="E5" s="411" t="s">
        <v>236</v>
      </c>
      <c r="G5" s="392" t="s">
        <v>237</v>
      </c>
      <c r="H5" s="393"/>
      <c r="I5" s="393"/>
      <c r="J5" s="393"/>
      <c r="K5" s="393"/>
      <c r="L5" s="393"/>
      <c r="M5" s="393"/>
      <c r="N5" s="393"/>
      <c r="P5" s="392" t="s">
        <v>238</v>
      </c>
      <c r="Q5" s="393"/>
      <c r="R5" s="393"/>
      <c r="S5" s="393"/>
      <c r="T5" s="393"/>
      <c r="U5" s="393"/>
      <c r="V5" s="393"/>
      <c r="W5" s="393"/>
      <c r="X5" s="393"/>
      <c r="Y5" s="393"/>
      <c r="Z5" s="785"/>
      <c r="AA5" s="785"/>
      <c r="AB5" s="785"/>
      <c r="AC5" s="785"/>
      <c r="AD5" s="785"/>
      <c r="AE5" s="785"/>
    </row>
    <row r="6" spans="1:51" x14ac:dyDescent="0.2">
      <c r="B6" s="394" t="s">
        <v>239</v>
      </c>
      <c r="C6" s="719" t="e">
        <f>'Detailed Financial Case'!$N$97</f>
        <v>#DIV/0!</v>
      </c>
      <c r="D6" s="719" t="e">
        <f>'Detailed Financial Case'!$O$97</f>
        <v>#DIV/0!</v>
      </c>
      <c r="E6" s="791">
        <f>'5Y CF with Payback'!I31</f>
        <v>0</v>
      </c>
      <c r="G6" s="395">
        <f>'1-Client Variables'!$D$26</f>
        <v>0.1</v>
      </c>
      <c r="H6" s="396" t="s">
        <v>240</v>
      </c>
      <c r="I6" s="396"/>
      <c r="J6" s="396"/>
      <c r="K6" s="396"/>
      <c r="L6" s="396"/>
      <c r="M6" s="396"/>
      <c r="N6" s="396"/>
      <c r="P6" s="397" t="s">
        <v>241</v>
      </c>
      <c r="Q6" s="397"/>
      <c r="R6" s="398" t="e">
        <f>'Detailed Financial Case'!$M$37</f>
        <v>#DIV/0!</v>
      </c>
      <c r="U6" s="391" t="s">
        <v>242</v>
      </c>
      <c r="X6" s="399" t="e">
        <f>R6/$R$10</f>
        <v>#DIV/0!</v>
      </c>
      <c r="AM6" s="400">
        <v>1</v>
      </c>
    </row>
    <row r="7" spans="1:51" x14ac:dyDescent="0.2">
      <c r="B7" s="394" t="s">
        <v>243</v>
      </c>
      <c r="C7" s="719" t="e">
        <f>'Detailed Financial Case'!$AA$97</f>
        <v>#DIV/0!</v>
      </c>
      <c r="D7" s="719" t="e">
        <f>'Detailed Financial Case'!$AB$97</f>
        <v>#DIV/0!</v>
      </c>
      <c r="E7" s="792"/>
      <c r="G7" s="401">
        <f>'1-Client Variables'!$D$24</f>
        <v>5</v>
      </c>
      <c r="H7" s="396" t="s">
        <v>244</v>
      </c>
      <c r="I7" s="396"/>
      <c r="J7" s="396"/>
      <c r="K7" s="396"/>
      <c r="L7" s="396"/>
      <c r="M7" s="396"/>
      <c r="N7" s="396"/>
      <c r="P7" s="402" t="s">
        <v>245</v>
      </c>
      <c r="Q7" s="402"/>
      <c r="R7" s="403">
        <f>'Detailed Financial Case'!$Z$48</f>
        <v>0</v>
      </c>
      <c r="U7" s="391" t="s">
        <v>246</v>
      </c>
      <c r="X7" s="399" t="e">
        <f>X8-X6</f>
        <v>#DIV/0!</v>
      </c>
      <c r="AM7" s="400" t="e">
        <f>X7/X$6</f>
        <v>#DIV/0!</v>
      </c>
    </row>
    <row r="8" spans="1:51" x14ac:dyDescent="0.2">
      <c r="B8" s="404" t="s">
        <v>247</v>
      </c>
      <c r="C8" s="720" t="e">
        <f>'Detailed Financial Case'!M95-'Detailed Financial Case'!Z95</f>
        <v>#DIV/0!</v>
      </c>
      <c r="D8" s="720" t="e">
        <f>'Detailed Financial Case'!O95-'Detailed Financial Case'!AB95</f>
        <v>#DIV/0!</v>
      </c>
      <c r="G8" s="405"/>
      <c r="H8" s="396"/>
      <c r="I8" s="396"/>
      <c r="J8" s="396"/>
      <c r="K8" s="396"/>
      <c r="L8" s="396"/>
      <c r="M8" s="396"/>
      <c r="N8" s="396"/>
      <c r="P8" s="402" t="s">
        <v>248</v>
      </c>
      <c r="Q8" s="402"/>
      <c r="R8" s="403" t="e">
        <f>'Detailed Financial Case'!$Z$37</f>
        <v>#DIV/0!</v>
      </c>
      <c r="U8" s="391" t="s">
        <v>249</v>
      </c>
      <c r="X8" s="399" t="e">
        <f>R7/$R$10</f>
        <v>#DIV/0!</v>
      </c>
      <c r="Y8" s="406" t="e">
        <f>X8/$X$6-1</f>
        <v>#DIV/0!</v>
      </c>
      <c r="Z8" s="786"/>
      <c r="AA8" s="786"/>
      <c r="AB8" s="786"/>
      <c r="AC8" s="786"/>
      <c r="AD8" s="786"/>
      <c r="AE8" s="786"/>
      <c r="AM8" s="400" t="e">
        <f>X8/X$6</f>
        <v>#DIV/0!</v>
      </c>
    </row>
    <row r="9" spans="1:51" x14ac:dyDescent="0.2">
      <c r="B9" s="424" t="s">
        <v>250</v>
      </c>
      <c r="C9" s="721" t="e">
        <f>-(C7-C6-C8)</f>
        <v>#DIV/0!</v>
      </c>
      <c r="D9" s="721" t="e">
        <f>-(D7-D6-D8)</f>
        <v>#DIV/0!</v>
      </c>
      <c r="E9" s="411" t="s">
        <v>251</v>
      </c>
      <c r="G9" s="395"/>
      <c r="H9" s="396"/>
      <c r="I9" s="396"/>
      <c r="J9" s="396"/>
      <c r="K9" s="396"/>
      <c r="L9" s="396"/>
      <c r="M9" s="396"/>
      <c r="N9" s="396"/>
      <c r="P9" s="397" t="s">
        <v>252</v>
      </c>
      <c r="Q9" s="397"/>
      <c r="R9" s="407" t="e">
        <f>SUM(R7:R8)</f>
        <v>#DIV/0!</v>
      </c>
      <c r="U9" s="391" t="s">
        <v>253</v>
      </c>
      <c r="X9" s="399" t="e">
        <f>R8/$R$10</f>
        <v>#DIV/0!</v>
      </c>
      <c r="Y9" s="406" t="e">
        <f>X9/$X$6-1</f>
        <v>#DIV/0!</v>
      </c>
      <c r="Z9" s="786"/>
      <c r="AA9" s="786"/>
      <c r="AB9" s="786"/>
      <c r="AC9" s="786"/>
      <c r="AD9" s="786"/>
      <c r="AE9" s="786"/>
      <c r="AM9" s="400" t="e">
        <f>X9/X8</f>
        <v>#DIV/0!</v>
      </c>
    </row>
    <row r="10" spans="1:51" x14ac:dyDescent="0.2">
      <c r="B10" s="425" t="s">
        <v>254</v>
      </c>
      <c r="C10" s="722" t="e">
        <f>-(C7-C6)</f>
        <v>#DIV/0!</v>
      </c>
      <c r="D10" s="722" t="e">
        <f>-(D7-D6)</f>
        <v>#DIV/0!</v>
      </c>
      <c r="E10" s="575" t="s">
        <v>255</v>
      </c>
      <c r="G10" s="395"/>
      <c r="H10" s="396"/>
      <c r="I10" s="396"/>
      <c r="J10" s="396"/>
      <c r="K10" s="396"/>
      <c r="L10" s="396"/>
      <c r="M10" s="396"/>
      <c r="N10" s="396"/>
      <c r="P10" s="391" t="s">
        <v>256</v>
      </c>
      <c r="R10" s="408">
        <f>SUM('1-Client Variables'!D41,'1-Client Variables'!D81,'1-Client Variables'!D120)</f>
        <v>0</v>
      </c>
      <c r="U10" s="391" t="s">
        <v>257</v>
      </c>
      <c r="X10" s="399" t="e">
        <f>R9/$R$10</f>
        <v>#DIV/0!</v>
      </c>
      <c r="AM10" s="400" t="e">
        <f>X10/$X$6</f>
        <v>#DIV/0!</v>
      </c>
    </row>
    <row r="11" spans="1:51" x14ac:dyDescent="0.2">
      <c r="B11" s="396" t="s">
        <v>258</v>
      </c>
      <c r="C11" s="712" t="e">
        <f>M28</f>
        <v>#DIV/0!</v>
      </c>
      <c r="D11" s="712" t="e">
        <f>H28</f>
        <v>#DIV/0!</v>
      </c>
      <c r="E11" s="793" t="e">
        <f>'5Y CF with Payback'!I32</f>
        <v>#DIV/0!</v>
      </c>
      <c r="G11" s="395"/>
      <c r="H11" s="396"/>
      <c r="I11" s="396"/>
      <c r="J11" s="396"/>
      <c r="K11" s="396"/>
      <c r="L11" s="396"/>
      <c r="M11" s="396"/>
      <c r="N11" s="396"/>
      <c r="P11" s="409"/>
    </row>
    <row r="12" spans="1:51" x14ac:dyDescent="0.2">
      <c r="B12" s="396" t="s">
        <v>259</v>
      </c>
      <c r="C12" s="410" t="e">
        <f>M29</f>
        <v>#DIV/0!</v>
      </c>
      <c r="D12" s="410" t="e">
        <f>H29</f>
        <v>#DIV/0!</v>
      </c>
      <c r="E12" s="793"/>
      <c r="G12" s="395"/>
      <c r="H12" s="396"/>
      <c r="I12" s="396"/>
      <c r="J12" s="396"/>
      <c r="K12" s="396"/>
      <c r="L12" s="396"/>
      <c r="M12" s="396"/>
      <c r="N12" s="396"/>
    </row>
    <row r="13" spans="1:51" x14ac:dyDescent="0.2">
      <c r="AN13" s="397" t="s">
        <v>260</v>
      </c>
    </row>
    <row r="14" spans="1:51" x14ac:dyDescent="0.2">
      <c r="B14" s="411" t="s">
        <v>261</v>
      </c>
      <c r="C14" s="411">
        <v>0</v>
      </c>
      <c r="D14" s="411">
        <v>1</v>
      </c>
      <c r="E14" s="411">
        <f>D14+1</f>
        <v>2</v>
      </c>
      <c r="F14" s="411">
        <f t="shared" ref="F14:M14" si="0">E14+1</f>
        <v>3</v>
      </c>
      <c r="G14" s="411">
        <f t="shared" si="0"/>
        <v>4</v>
      </c>
      <c r="H14" s="411">
        <f t="shared" si="0"/>
        <v>5</v>
      </c>
      <c r="I14" s="411">
        <f t="shared" si="0"/>
        <v>6</v>
      </c>
      <c r="J14" s="411">
        <f t="shared" si="0"/>
        <v>7</v>
      </c>
      <c r="K14" s="411">
        <f t="shared" si="0"/>
        <v>8</v>
      </c>
      <c r="L14" s="411">
        <f t="shared" si="0"/>
        <v>9</v>
      </c>
      <c r="M14" s="411">
        <f t="shared" si="0"/>
        <v>10</v>
      </c>
      <c r="N14" s="411" t="s">
        <v>262</v>
      </c>
      <c r="P14" s="789" t="s">
        <v>924</v>
      </c>
      <c r="Q14" s="789"/>
      <c r="R14" s="789"/>
      <c r="S14" s="789"/>
      <c r="T14" s="789"/>
      <c r="U14" s="789"/>
      <c r="V14" s="789"/>
      <c r="W14" s="789"/>
      <c r="X14" s="789"/>
      <c r="Y14" s="789"/>
      <c r="Z14" s="785"/>
      <c r="AA14" s="789" t="s">
        <v>926</v>
      </c>
      <c r="AB14" s="790"/>
      <c r="AC14" s="790"/>
      <c r="AD14" s="790"/>
      <c r="AE14" s="790"/>
      <c r="AF14" s="789"/>
      <c r="AG14" s="789"/>
      <c r="AH14" s="789"/>
      <c r="AI14" s="789"/>
      <c r="AJ14" s="789"/>
      <c r="AL14" s="723" t="s">
        <v>263</v>
      </c>
      <c r="AO14" s="411">
        <v>0</v>
      </c>
      <c r="AP14" s="411">
        <v>1</v>
      </c>
      <c r="AQ14" s="411">
        <f>AP14+1</f>
        <v>2</v>
      </c>
      <c r="AR14" s="411">
        <f t="shared" ref="AR14:AY14" si="1">AQ14+1</f>
        <v>3</v>
      </c>
      <c r="AS14" s="411">
        <f t="shared" si="1"/>
        <v>4</v>
      </c>
      <c r="AT14" s="411">
        <f t="shared" si="1"/>
        <v>5</v>
      </c>
      <c r="AU14" s="411">
        <f t="shared" si="1"/>
        <v>6</v>
      </c>
      <c r="AV14" s="411">
        <f t="shared" si="1"/>
        <v>7</v>
      </c>
      <c r="AW14" s="411">
        <f t="shared" si="1"/>
        <v>8</v>
      </c>
      <c r="AX14" s="411">
        <f t="shared" si="1"/>
        <v>9</v>
      </c>
      <c r="AY14" s="411">
        <f t="shared" si="1"/>
        <v>10</v>
      </c>
    </row>
    <row r="15" spans="1:51" x14ac:dyDescent="0.2">
      <c r="B15" s="412" t="s">
        <v>264</v>
      </c>
      <c r="AN15" s="391" t="s">
        <v>265</v>
      </c>
      <c r="AW15" s="391" t="s">
        <v>265</v>
      </c>
    </row>
    <row r="16" spans="1:51" x14ac:dyDescent="0.2">
      <c r="B16" s="413" t="s">
        <v>266</v>
      </c>
      <c r="C16" s="708" t="e">
        <f>SUMIF('Detailed Financial Case'!$AH$54:$AH$75,'Summary Financial Case'!$B16,'Detailed Financial Case'!C$54:C$75)</f>
        <v>#DIV/0!</v>
      </c>
      <c r="D16" s="708" t="e">
        <f>SUMIF('Detailed Financial Case'!$AH$54:$AH$75,'Summary Financial Case'!$B16,'Detailed Financial Case'!D$54:D$75)</f>
        <v>#DIV/0!</v>
      </c>
      <c r="E16" s="708" t="e">
        <f>SUMIF('Detailed Financial Case'!$AH$54:$AH$75,'Summary Financial Case'!$B16,'Detailed Financial Case'!E$54:E$75)</f>
        <v>#DIV/0!</v>
      </c>
      <c r="F16" s="708" t="e">
        <f>SUMIF('Detailed Financial Case'!$AH$54:$AH$75,'Summary Financial Case'!$B16,'Detailed Financial Case'!F$54:F$75)</f>
        <v>#DIV/0!</v>
      </c>
      <c r="G16" s="708" t="e">
        <f>SUMIF('Detailed Financial Case'!$AH$54:$AH$75,'Summary Financial Case'!$B16,'Detailed Financial Case'!G$54:G$75)</f>
        <v>#DIV/0!</v>
      </c>
      <c r="H16" s="708" t="e">
        <f>SUMIF('Detailed Financial Case'!$AH$54:$AH$75,'Summary Financial Case'!$B16,'Detailed Financial Case'!H$54:H$75)</f>
        <v>#DIV/0!</v>
      </c>
      <c r="I16" s="708" t="e">
        <f>SUMIF('Detailed Financial Case'!$AH$54:$AH$75,'Summary Financial Case'!$B16,'Detailed Financial Case'!I$54:I$75)</f>
        <v>#DIV/0!</v>
      </c>
      <c r="J16" s="708" t="e">
        <f>SUMIF('Detailed Financial Case'!$AH$54:$AH$75,'Summary Financial Case'!$B16,'Detailed Financial Case'!J$54:J$75)</f>
        <v>#DIV/0!</v>
      </c>
      <c r="K16" s="708" t="e">
        <f>SUMIF('Detailed Financial Case'!$AH$54:$AH$75,'Summary Financial Case'!$B16,'Detailed Financial Case'!K$54:K$75)</f>
        <v>#DIV/0!</v>
      </c>
      <c r="L16" s="708" t="e">
        <f>SUMIF('Detailed Financial Case'!$AH$54:$AH$75,'Summary Financial Case'!$B16,'Detailed Financial Case'!L$54:L$75)</f>
        <v>#DIV/0!</v>
      </c>
      <c r="M16" s="708" t="e">
        <f>SUMIF('Detailed Financial Case'!$AH$54:$AH$75,'Summary Financial Case'!$B16,'Detailed Financial Case'!M$54:M$75)</f>
        <v>#DIV/0!</v>
      </c>
      <c r="N16" s="709" t="e">
        <f>SUM(D16:M16)</f>
        <v>#DIV/0!</v>
      </c>
      <c r="AN16" s="391" t="s">
        <v>264</v>
      </c>
      <c r="AW16" s="391" t="s">
        <v>267</v>
      </c>
    </row>
    <row r="17" spans="1:51" x14ac:dyDescent="0.2">
      <c r="B17" s="413" t="s">
        <v>268</v>
      </c>
      <c r="C17" s="708" t="e">
        <f>SUMIF('Detailed Financial Case'!$AH$54:$AH$75,'Summary Financial Case'!$B17,'Detailed Financial Case'!C$54:C$75)</f>
        <v>#DIV/0!</v>
      </c>
      <c r="D17" s="708" t="e">
        <f>SUMIF('Detailed Financial Case'!$AH$54:$AH$75,'Summary Financial Case'!$B17,'Detailed Financial Case'!D$54:D$75)</f>
        <v>#DIV/0!</v>
      </c>
      <c r="E17" s="708" t="e">
        <f>SUMIF('Detailed Financial Case'!$AH$54:$AH$75,'Summary Financial Case'!$B17,'Detailed Financial Case'!E$54:E$75)</f>
        <v>#DIV/0!</v>
      </c>
      <c r="F17" s="708" t="e">
        <f>SUMIF('Detailed Financial Case'!$AH$54:$AH$75,'Summary Financial Case'!$B17,'Detailed Financial Case'!F$54:F$75)</f>
        <v>#DIV/0!</v>
      </c>
      <c r="G17" s="708" t="e">
        <f>SUMIF('Detailed Financial Case'!$AH$54:$AH$75,'Summary Financial Case'!$B17,'Detailed Financial Case'!G$54:G$75)</f>
        <v>#DIV/0!</v>
      </c>
      <c r="H17" s="708" t="e">
        <f>SUMIF('Detailed Financial Case'!$AH$54:$AH$75,'Summary Financial Case'!$B17,'Detailed Financial Case'!H$54:H$75)</f>
        <v>#DIV/0!</v>
      </c>
      <c r="I17" s="708" t="e">
        <f>SUMIF('Detailed Financial Case'!$AH$54:$AH$75,'Summary Financial Case'!$B17,'Detailed Financial Case'!I$54:I$75)</f>
        <v>#DIV/0!</v>
      </c>
      <c r="J17" s="708" t="e">
        <f>SUMIF('Detailed Financial Case'!$AH$54:$AH$75,'Summary Financial Case'!$B17,'Detailed Financial Case'!J$54:J$75)</f>
        <v>#DIV/0!</v>
      </c>
      <c r="K17" s="708" t="e">
        <f>SUMIF('Detailed Financial Case'!$AH$54:$AH$75,'Summary Financial Case'!$B17,'Detailed Financial Case'!K$54:K$75)</f>
        <v>#DIV/0!</v>
      </c>
      <c r="L17" s="708" t="e">
        <f>SUMIF('Detailed Financial Case'!$AH$54:$AH$75,'Summary Financial Case'!$B17,'Detailed Financial Case'!L$54:L$75)</f>
        <v>#DIV/0!</v>
      </c>
      <c r="M17" s="708" t="e">
        <f>SUMIF('Detailed Financial Case'!$AH$54:$AH$75,'Summary Financial Case'!$B17,'Detailed Financial Case'!M$54:M$75)</f>
        <v>#DIV/0!</v>
      </c>
      <c r="N17" s="709" t="e">
        <f t="shared" ref="N17:N19" si="2">SUM(D17:M17)</f>
        <v>#DIV/0!</v>
      </c>
      <c r="AN17" s="391" t="s">
        <v>266</v>
      </c>
      <c r="AP17" s="391" t="s">
        <v>269</v>
      </c>
    </row>
    <row r="18" spans="1:51" x14ac:dyDescent="0.2">
      <c r="B18" s="413" t="s">
        <v>270</v>
      </c>
      <c r="C18" s="708">
        <f>SUMIF('Detailed Financial Case'!$AH$54:$AH$75,'Summary Financial Case'!$B18,'Detailed Financial Case'!C$54:C$75)</f>
        <v>0</v>
      </c>
      <c r="D18" s="708">
        <f>SUMIF('Detailed Financial Case'!$AH$54:$AH$75,'Summary Financial Case'!$B18,'Detailed Financial Case'!D$54:D$75)</f>
        <v>0</v>
      </c>
      <c r="E18" s="708">
        <f>SUMIF('Detailed Financial Case'!$AH$54:$AH$75,'Summary Financial Case'!$B18,'Detailed Financial Case'!E$54:E$75)</f>
        <v>0</v>
      </c>
      <c r="F18" s="708">
        <f>SUMIF('Detailed Financial Case'!$AH$54:$AH$75,'Summary Financial Case'!$B18,'Detailed Financial Case'!F$54:F$75)</f>
        <v>0</v>
      </c>
      <c r="G18" s="708">
        <f>SUMIF('Detailed Financial Case'!$AH$54:$AH$75,'Summary Financial Case'!$B18,'Detailed Financial Case'!G$54:G$75)</f>
        <v>0</v>
      </c>
      <c r="H18" s="708">
        <f>SUMIF('Detailed Financial Case'!$AH$54:$AH$75,'Summary Financial Case'!$B18,'Detailed Financial Case'!H$54:H$75)</f>
        <v>0</v>
      </c>
      <c r="I18" s="708">
        <f>SUMIF('Detailed Financial Case'!$AH$54:$AH$75,'Summary Financial Case'!$B18,'Detailed Financial Case'!I$54:I$75)</f>
        <v>0</v>
      </c>
      <c r="J18" s="708">
        <f>SUMIF('Detailed Financial Case'!$AH$54:$AH$75,'Summary Financial Case'!$B18,'Detailed Financial Case'!J$54:J$75)</f>
        <v>0</v>
      </c>
      <c r="K18" s="708">
        <f>SUMIF('Detailed Financial Case'!$AH$54:$AH$75,'Summary Financial Case'!$B18,'Detailed Financial Case'!K$54:K$75)</f>
        <v>0</v>
      </c>
      <c r="L18" s="708">
        <f>SUMIF('Detailed Financial Case'!$AH$54:$AH$75,'Summary Financial Case'!$B18,'Detailed Financial Case'!L$54:L$75)</f>
        <v>0</v>
      </c>
      <c r="M18" s="708">
        <f>SUMIF('Detailed Financial Case'!$AH$54:$AH$75,'Summary Financial Case'!$B18,'Detailed Financial Case'!M$54:M$75)</f>
        <v>0</v>
      </c>
      <c r="N18" s="709">
        <f t="shared" si="2"/>
        <v>0</v>
      </c>
    </row>
    <row r="19" spans="1:51" x14ac:dyDescent="0.2">
      <c r="B19" s="414" t="s">
        <v>271</v>
      </c>
      <c r="C19" s="710" t="e">
        <f>SUM(C16:C18)</f>
        <v>#DIV/0!</v>
      </c>
      <c r="D19" s="710" t="e">
        <f t="shared" ref="D19:M19" si="3">SUM(D16:D18)</f>
        <v>#DIV/0!</v>
      </c>
      <c r="E19" s="710" t="e">
        <f t="shared" si="3"/>
        <v>#DIV/0!</v>
      </c>
      <c r="F19" s="710" t="e">
        <f t="shared" si="3"/>
        <v>#DIV/0!</v>
      </c>
      <c r="G19" s="710" t="e">
        <f t="shared" si="3"/>
        <v>#DIV/0!</v>
      </c>
      <c r="H19" s="710" t="e">
        <f t="shared" si="3"/>
        <v>#DIV/0!</v>
      </c>
      <c r="I19" s="710" t="e">
        <f t="shared" si="3"/>
        <v>#DIV/0!</v>
      </c>
      <c r="J19" s="710" t="e">
        <f t="shared" si="3"/>
        <v>#DIV/0!</v>
      </c>
      <c r="K19" s="710" t="e">
        <f t="shared" si="3"/>
        <v>#DIV/0!</v>
      </c>
      <c r="L19" s="710" t="e">
        <f t="shared" si="3"/>
        <v>#DIV/0!</v>
      </c>
      <c r="M19" s="710" t="e">
        <f t="shared" si="3"/>
        <v>#DIV/0!</v>
      </c>
      <c r="N19" s="711" t="e">
        <f t="shared" si="2"/>
        <v>#DIV/0!</v>
      </c>
      <c r="AN19" s="391" t="s">
        <v>268</v>
      </c>
      <c r="AQ19" s="391" t="s">
        <v>272</v>
      </c>
    </row>
    <row r="20" spans="1:51" x14ac:dyDescent="0.2">
      <c r="B20" s="415" t="s">
        <v>273</v>
      </c>
      <c r="C20" s="423"/>
      <c r="D20" s="423"/>
      <c r="E20" s="423"/>
      <c r="F20" s="423"/>
      <c r="G20" s="423"/>
      <c r="H20" s="423"/>
      <c r="I20" s="423"/>
      <c r="J20" s="423"/>
      <c r="K20" s="423"/>
      <c r="L20" s="423"/>
      <c r="M20" s="423"/>
      <c r="N20" s="423"/>
      <c r="AN20" s="391" t="s">
        <v>274</v>
      </c>
      <c r="AU20" s="391" t="s">
        <v>274</v>
      </c>
    </row>
    <row r="21" spans="1:51" x14ac:dyDescent="0.2">
      <c r="B21" s="416" t="s">
        <v>266</v>
      </c>
      <c r="C21" s="712" t="e">
        <f>C16</f>
        <v>#DIV/0!</v>
      </c>
      <c r="D21" s="712" t="e">
        <f>SUMIF('Detailed Financial Case'!$AH$54:$AH$75,'Summary Financial Case'!$B21,'Detailed Financial Case'!Q$54:Q$75)</f>
        <v>#DIV/0!</v>
      </c>
      <c r="E21" s="712" t="e">
        <f>SUMIF('Detailed Financial Case'!$AH$54:$AH$75,'Summary Financial Case'!$B21,'Detailed Financial Case'!R$54:R$75)</f>
        <v>#DIV/0!</v>
      </c>
      <c r="F21" s="712" t="e">
        <f>SUMIF('Detailed Financial Case'!$AH$54:$AH$75,'Summary Financial Case'!$B21,'Detailed Financial Case'!S$54:S$75)</f>
        <v>#DIV/0!</v>
      </c>
      <c r="G21" s="712" t="e">
        <f>SUMIF('Detailed Financial Case'!$AH$54:$AH$75,'Summary Financial Case'!$B21,'Detailed Financial Case'!T$54:T$75)</f>
        <v>#DIV/0!</v>
      </c>
      <c r="H21" s="712" t="e">
        <f>SUMIF('Detailed Financial Case'!$AH$54:$AH$75,'Summary Financial Case'!$B21,'Detailed Financial Case'!U$54:U$75)</f>
        <v>#DIV/0!</v>
      </c>
      <c r="I21" s="712" t="e">
        <f>SUMIF('Detailed Financial Case'!$AH$54:$AH$75,'Summary Financial Case'!$B21,'Detailed Financial Case'!V$54:V$75)</f>
        <v>#DIV/0!</v>
      </c>
      <c r="J21" s="712" t="e">
        <f>SUMIF('Detailed Financial Case'!$AH$54:$AH$75,'Summary Financial Case'!$B21,'Detailed Financial Case'!W$54:W$75)</f>
        <v>#DIV/0!</v>
      </c>
      <c r="K21" s="712" t="e">
        <f>SUMIF('Detailed Financial Case'!$AH$54:$AH$75,'Summary Financial Case'!$B21,'Detailed Financial Case'!X$54:X$75)</f>
        <v>#DIV/0!</v>
      </c>
      <c r="L21" s="712" t="e">
        <f>SUMIF('Detailed Financial Case'!$AH$54:$AH$75,'Summary Financial Case'!$B21,'Detailed Financial Case'!Y$54:Y$75)</f>
        <v>#DIV/0!</v>
      </c>
      <c r="M21" s="712" t="e">
        <f>SUMIF('Detailed Financial Case'!$AH$54:$AH$75,'Summary Financial Case'!$B21,'Detailed Financial Case'!Z$54:Z$75)</f>
        <v>#DIV/0!</v>
      </c>
      <c r="N21" s="713" t="e">
        <f>SUM(D21:M21)</f>
        <v>#DIV/0!</v>
      </c>
      <c r="AN21" s="391" t="s">
        <v>275</v>
      </c>
      <c r="AQ21" s="391" t="s">
        <v>275</v>
      </c>
    </row>
    <row r="22" spans="1:51" x14ac:dyDescent="0.2">
      <c r="B22" s="416" t="s">
        <v>268</v>
      </c>
      <c r="C22" s="712" t="e">
        <f>C17</f>
        <v>#DIV/0!</v>
      </c>
      <c r="D22" s="712" t="e">
        <f>SUMIF('Detailed Financial Case'!$AH$54:$AH$75,'Summary Financial Case'!$B22,'Detailed Financial Case'!Q$54:Q$75)</f>
        <v>#DIV/0!</v>
      </c>
      <c r="E22" s="712" t="e">
        <f>SUMIF('Detailed Financial Case'!$AH$54:$AH$75,'Summary Financial Case'!$B22,'Detailed Financial Case'!R$54:R$75)</f>
        <v>#DIV/0!</v>
      </c>
      <c r="F22" s="712" t="e">
        <f>SUMIF('Detailed Financial Case'!$AH$54:$AH$75,'Summary Financial Case'!$B22,'Detailed Financial Case'!S$54:S$75)</f>
        <v>#DIV/0!</v>
      </c>
      <c r="G22" s="712" t="e">
        <f>SUMIF('Detailed Financial Case'!$AH$54:$AH$75,'Summary Financial Case'!$B22,'Detailed Financial Case'!T$54:T$75)</f>
        <v>#DIV/0!</v>
      </c>
      <c r="H22" s="712" t="e">
        <f>SUMIF('Detailed Financial Case'!$AH$54:$AH$75,'Summary Financial Case'!$B22,'Detailed Financial Case'!U$54:U$75)</f>
        <v>#DIV/0!</v>
      </c>
      <c r="I22" s="712" t="e">
        <f>SUMIF('Detailed Financial Case'!$AH$54:$AH$75,'Summary Financial Case'!$B22,'Detailed Financial Case'!V$54:V$75)</f>
        <v>#DIV/0!</v>
      </c>
      <c r="J22" s="712" t="e">
        <f>SUMIF('Detailed Financial Case'!$AH$54:$AH$75,'Summary Financial Case'!$B22,'Detailed Financial Case'!W$54:W$75)</f>
        <v>#DIV/0!</v>
      </c>
      <c r="K22" s="712" t="e">
        <f>SUMIF('Detailed Financial Case'!$AH$54:$AH$75,'Summary Financial Case'!$B22,'Detailed Financial Case'!X$54:X$75)</f>
        <v>#DIV/0!</v>
      </c>
      <c r="L22" s="712" t="e">
        <f>SUMIF('Detailed Financial Case'!$AH$54:$AH$75,'Summary Financial Case'!$B22,'Detailed Financial Case'!Y$54:Y$75)</f>
        <v>#DIV/0!</v>
      </c>
      <c r="M22" s="712" t="e">
        <f>SUMIF('Detailed Financial Case'!$AH$54:$AH$75,'Summary Financial Case'!$B22,'Detailed Financial Case'!Z$54:Z$75)</f>
        <v>#DIV/0!</v>
      </c>
      <c r="N22" s="713" t="e">
        <f t="shared" ref="N22:N26" si="4">SUM(D22:M22)</f>
        <v>#DIV/0!</v>
      </c>
      <c r="AL22" s="723" t="s">
        <v>276</v>
      </c>
      <c r="AN22" s="391" t="s">
        <v>277</v>
      </c>
      <c r="AP22" s="391" t="str">
        <f>IF(SUM(C25:M25)=0,"","MSFT Investment")</f>
        <v/>
      </c>
    </row>
    <row r="23" spans="1:51" x14ac:dyDescent="0.2">
      <c r="B23" s="416" t="s">
        <v>270</v>
      </c>
      <c r="C23" s="712">
        <f>C18</f>
        <v>0</v>
      </c>
      <c r="D23" s="712">
        <f>SUMIF('Detailed Financial Case'!$AH$54:$AH$75,'Summary Financial Case'!$B23,'Detailed Financial Case'!Q$54:Q$75)</f>
        <v>0</v>
      </c>
      <c r="E23" s="712">
        <f>SUMIF('Detailed Financial Case'!$AH$54:$AH$75,'Summary Financial Case'!$B23,'Detailed Financial Case'!R$54:R$75)</f>
        <v>0</v>
      </c>
      <c r="F23" s="712">
        <f>SUMIF('Detailed Financial Case'!$AH$54:$AH$75,'Summary Financial Case'!$B23,'Detailed Financial Case'!S$54:S$75)</f>
        <v>0</v>
      </c>
      <c r="G23" s="712">
        <f>SUMIF('Detailed Financial Case'!$AH$54:$AH$75,'Summary Financial Case'!$B23,'Detailed Financial Case'!T$54:T$75)</f>
        <v>0</v>
      </c>
      <c r="H23" s="712">
        <f>SUMIF('Detailed Financial Case'!$AH$54:$AH$75,'Summary Financial Case'!$B23,'Detailed Financial Case'!U$54:U$75)</f>
        <v>0</v>
      </c>
      <c r="I23" s="712">
        <f>SUMIF('Detailed Financial Case'!$AH$54:$AH$75,'Summary Financial Case'!$B23,'Detailed Financial Case'!V$54:V$75)</f>
        <v>0</v>
      </c>
      <c r="J23" s="712">
        <f>SUMIF('Detailed Financial Case'!$AH$54:$AH$75,'Summary Financial Case'!$B23,'Detailed Financial Case'!W$54:W$75)</f>
        <v>0</v>
      </c>
      <c r="K23" s="712">
        <f>SUMIF('Detailed Financial Case'!$AH$54:$AH$75,'Summary Financial Case'!$B23,'Detailed Financial Case'!X$54:X$75)</f>
        <v>0</v>
      </c>
      <c r="L23" s="712">
        <f>SUMIF('Detailed Financial Case'!$AH$54:$AH$75,'Summary Financial Case'!$B23,'Detailed Financial Case'!Y$54:Y$75)</f>
        <v>0</v>
      </c>
      <c r="M23" s="712">
        <f>SUMIF('Detailed Financial Case'!$AH$54:$AH$75,'Summary Financial Case'!$B23,'Detailed Financial Case'!Z$54:Z$75)</f>
        <v>0</v>
      </c>
      <c r="N23" s="713">
        <f t="shared" si="4"/>
        <v>0</v>
      </c>
      <c r="AL23" s="724" t="s">
        <v>278</v>
      </c>
    </row>
    <row r="24" spans="1:51" x14ac:dyDescent="0.2">
      <c r="B24" s="416" t="s">
        <v>279</v>
      </c>
      <c r="C24" s="712">
        <v>0</v>
      </c>
      <c r="D24" s="712">
        <f>SUMIF('Detailed Financial Case'!$AH$54:$AH$75,'Summary Financial Case'!$B24,'Detailed Financial Case'!Q$54:Q$75)</f>
        <v>0</v>
      </c>
      <c r="E24" s="712">
        <f>SUMIF('Detailed Financial Case'!$AH$54:$AH$75,'Summary Financial Case'!$B24,'Detailed Financial Case'!R$54:R$75)</f>
        <v>0</v>
      </c>
      <c r="F24" s="712">
        <f>SUMIF('Detailed Financial Case'!$AH$54:$AH$75,'Summary Financial Case'!$B24,'Detailed Financial Case'!S$54:S$75)</f>
        <v>0</v>
      </c>
      <c r="G24" s="712">
        <f>SUMIF('Detailed Financial Case'!$AH$54:$AH$75,'Summary Financial Case'!$B24,'Detailed Financial Case'!T$54:T$75)</f>
        <v>0</v>
      </c>
      <c r="H24" s="712">
        <f>SUMIF('Detailed Financial Case'!$AH$54:$AH$75,'Summary Financial Case'!$B24,'Detailed Financial Case'!U$54:U$75)</f>
        <v>0</v>
      </c>
      <c r="I24" s="712">
        <f>SUMIF('Detailed Financial Case'!$AH$54:$AH$75,'Summary Financial Case'!$B24,'Detailed Financial Case'!V$54:V$75)</f>
        <v>0</v>
      </c>
      <c r="J24" s="712">
        <f>SUMIF('Detailed Financial Case'!$AH$54:$AH$75,'Summary Financial Case'!$B24,'Detailed Financial Case'!W$54:W$75)</f>
        <v>0</v>
      </c>
      <c r="K24" s="712">
        <f>SUMIF('Detailed Financial Case'!$AH$54:$AH$75,'Summary Financial Case'!$B24,'Detailed Financial Case'!X$54:X$75)</f>
        <v>0</v>
      </c>
      <c r="L24" s="712">
        <f>SUMIF('Detailed Financial Case'!$AH$54:$AH$75,'Summary Financial Case'!$B24,'Detailed Financial Case'!Y$54:Y$75)</f>
        <v>0</v>
      </c>
      <c r="M24" s="712">
        <f>SUMIF('Detailed Financial Case'!$AH$54:$AH$75,'Summary Financial Case'!$B24,'Detailed Financial Case'!Z$54:Z$75)</f>
        <v>0</v>
      </c>
      <c r="N24" s="713">
        <f t="shared" si="4"/>
        <v>0</v>
      </c>
      <c r="AL24" s="724" t="s">
        <v>280</v>
      </c>
    </row>
    <row r="25" spans="1:51" x14ac:dyDescent="0.2">
      <c r="B25" s="416" t="s">
        <v>281</v>
      </c>
      <c r="C25" s="712">
        <v>0</v>
      </c>
      <c r="D25" s="712">
        <f>SUMIF('Detailed Financial Case'!$AH$54:$AH$75,'Summary Financial Case'!$B25,'Detailed Financial Case'!Q$54:Q$75)</f>
        <v>0</v>
      </c>
      <c r="E25" s="712">
        <f>SUMIF('Detailed Financial Case'!$AH$54:$AH$75,'Summary Financial Case'!$B25,'Detailed Financial Case'!R$54:R$75)</f>
        <v>0</v>
      </c>
      <c r="F25" s="712">
        <f>SUMIF('Detailed Financial Case'!$AH$54:$AH$75,'Summary Financial Case'!$B25,'Detailed Financial Case'!S$54:S$75)</f>
        <v>0</v>
      </c>
      <c r="G25" s="712">
        <f>SUMIF('Detailed Financial Case'!$AH$54:$AH$75,'Summary Financial Case'!$B25,'Detailed Financial Case'!T$54:T$75)</f>
        <v>0</v>
      </c>
      <c r="H25" s="712">
        <f>SUMIF('Detailed Financial Case'!$AH$54:$AH$75,'Summary Financial Case'!$B25,'Detailed Financial Case'!U$54:U$75)</f>
        <v>0</v>
      </c>
      <c r="I25" s="712">
        <f>SUMIF('Detailed Financial Case'!$AH$54:$AH$75,'Summary Financial Case'!$B25,'Detailed Financial Case'!V$54:V$75)</f>
        <v>0</v>
      </c>
      <c r="J25" s="712">
        <f>SUMIF('Detailed Financial Case'!$AH$54:$AH$75,'Summary Financial Case'!$B25,'Detailed Financial Case'!W$54:W$75)</f>
        <v>0</v>
      </c>
      <c r="K25" s="712">
        <f>SUMIF('Detailed Financial Case'!$AH$54:$AH$75,'Summary Financial Case'!$B25,'Detailed Financial Case'!X$54:X$75)</f>
        <v>0</v>
      </c>
      <c r="L25" s="712">
        <f>SUMIF('Detailed Financial Case'!$AH$54:$AH$75,'Summary Financial Case'!$B25,'Detailed Financial Case'!Y$54:Y$75)</f>
        <v>0</v>
      </c>
      <c r="M25" s="712">
        <f>SUMIF('Detailed Financial Case'!$AH$54:$AH$75,'Summary Financial Case'!$B25,'Detailed Financial Case'!Z$54:Z$75)</f>
        <v>0</v>
      </c>
      <c r="N25" s="713">
        <f t="shared" si="4"/>
        <v>0</v>
      </c>
    </row>
    <row r="26" spans="1:51" x14ac:dyDescent="0.2">
      <c r="B26" s="417" t="s">
        <v>282</v>
      </c>
      <c r="C26" s="714" t="e">
        <f>SUM(C21:C25)</f>
        <v>#DIV/0!</v>
      </c>
      <c r="D26" s="714" t="e">
        <f t="shared" ref="D26:M26" si="5">SUM(D21:D25)</f>
        <v>#DIV/0!</v>
      </c>
      <c r="E26" s="714" t="e">
        <f t="shared" si="5"/>
        <v>#DIV/0!</v>
      </c>
      <c r="F26" s="714" t="e">
        <f t="shared" si="5"/>
        <v>#DIV/0!</v>
      </c>
      <c r="G26" s="714" t="e">
        <f t="shared" si="5"/>
        <v>#DIV/0!</v>
      </c>
      <c r="H26" s="714" t="e">
        <f t="shared" si="5"/>
        <v>#DIV/0!</v>
      </c>
      <c r="I26" s="714" t="e">
        <f t="shared" si="5"/>
        <v>#DIV/0!</v>
      </c>
      <c r="J26" s="714" t="e">
        <f t="shared" si="5"/>
        <v>#DIV/0!</v>
      </c>
      <c r="K26" s="714" t="e">
        <f t="shared" si="5"/>
        <v>#DIV/0!</v>
      </c>
      <c r="L26" s="714" t="e">
        <f t="shared" si="5"/>
        <v>#DIV/0!</v>
      </c>
      <c r="M26" s="714" t="e">
        <f t="shared" si="5"/>
        <v>#DIV/0!</v>
      </c>
      <c r="N26" s="715" t="e">
        <f t="shared" si="4"/>
        <v>#DIV/0!</v>
      </c>
    </row>
    <row r="27" spans="1:51" x14ac:dyDescent="0.2">
      <c r="B27" s="418" t="s">
        <v>283</v>
      </c>
      <c r="C27" s="716" t="e">
        <f>IF(C28&lt;=0,-C28,0)</f>
        <v>#DIV/0!</v>
      </c>
      <c r="D27" s="716" t="e">
        <f t="shared" ref="D27:N27" si="6">IF(D28&lt;=0,-D28,0)</f>
        <v>#DIV/0!</v>
      </c>
      <c r="E27" s="716" t="e">
        <f t="shared" si="6"/>
        <v>#DIV/0!</v>
      </c>
      <c r="F27" s="716" t="e">
        <f t="shared" si="6"/>
        <v>#DIV/0!</v>
      </c>
      <c r="G27" s="716" t="e">
        <f t="shared" si="6"/>
        <v>#DIV/0!</v>
      </c>
      <c r="H27" s="716" t="e">
        <f t="shared" si="6"/>
        <v>#DIV/0!</v>
      </c>
      <c r="I27" s="716" t="e">
        <f t="shared" si="6"/>
        <v>#DIV/0!</v>
      </c>
      <c r="J27" s="716" t="e">
        <f t="shared" si="6"/>
        <v>#DIV/0!</v>
      </c>
      <c r="K27" s="716" t="e">
        <f t="shared" si="6"/>
        <v>#DIV/0!</v>
      </c>
      <c r="L27" s="716" t="e">
        <f t="shared" si="6"/>
        <v>#DIV/0!</v>
      </c>
      <c r="M27" s="716" t="e">
        <f t="shared" si="6"/>
        <v>#DIV/0!</v>
      </c>
      <c r="N27" s="716" t="e">
        <f t="shared" si="6"/>
        <v>#DIV/0!</v>
      </c>
    </row>
    <row r="28" spans="1:51" x14ac:dyDescent="0.2">
      <c r="B28" s="419" t="s">
        <v>284</v>
      </c>
      <c r="C28" s="717" t="e">
        <f>C26-C19</f>
        <v>#DIV/0!</v>
      </c>
      <c r="D28" s="717" t="e">
        <f t="shared" ref="D28:M28" si="7">D26-D19</f>
        <v>#DIV/0!</v>
      </c>
      <c r="E28" s="717" t="e">
        <f t="shared" si="7"/>
        <v>#DIV/0!</v>
      </c>
      <c r="F28" s="717" t="e">
        <f t="shared" si="7"/>
        <v>#DIV/0!</v>
      </c>
      <c r="G28" s="717" t="e">
        <f t="shared" si="7"/>
        <v>#DIV/0!</v>
      </c>
      <c r="H28" s="717" t="e">
        <f t="shared" si="7"/>
        <v>#DIV/0!</v>
      </c>
      <c r="I28" s="717" t="e">
        <f t="shared" si="7"/>
        <v>#DIV/0!</v>
      </c>
      <c r="J28" s="717" t="e">
        <f t="shared" si="7"/>
        <v>#DIV/0!</v>
      </c>
      <c r="K28" s="717" t="e">
        <f t="shared" si="7"/>
        <v>#DIV/0!</v>
      </c>
      <c r="L28" s="717" t="e">
        <f t="shared" si="7"/>
        <v>#DIV/0!</v>
      </c>
      <c r="M28" s="717" t="e">
        <f t="shared" si="7"/>
        <v>#DIV/0!</v>
      </c>
      <c r="N28" s="718" t="e">
        <f t="shared" ref="N28" si="8">N26-N19</f>
        <v>#DIV/0!</v>
      </c>
    </row>
    <row r="29" spans="1:51" x14ac:dyDescent="0.2">
      <c r="A29" s="397"/>
      <c r="B29" s="420" t="s">
        <v>285</v>
      </c>
      <c r="C29" s="421" t="e">
        <f>IF(C19=0,0,C28/C19)</f>
        <v>#DIV/0!</v>
      </c>
      <c r="D29" s="421" t="e">
        <f t="shared" ref="D29:M29" si="9">IF(D19=0,0,D28/D19)</f>
        <v>#DIV/0!</v>
      </c>
      <c r="E29" s="421" t="e">
        <f t="shared" si="9"/>
        <v>#DIV/0!</v>
      </c>
      <c r="F29" s="421" t="e">
        <f t="shared" si="9"/>
        <v>#DIV/0!</v>
      </c>
      <c r="G29" s="421" t="e">
        <f t="shared" si="9"/>
        <v>#DIV/0!</v>
      </c>
      <c r="H29" s="421" t="e">
        <f t="shared" si="9"/>
        <v>#DIV/0!</v>
      </c>
      <c r="I29" s="421" t="e">
        <f t="shared" si="9"/>
        <v>#DIV/0!</v>
      </c>
      <c r="J29" s="421" t="e">
        <f t="shared" si="9"/>
        <v>#DIV/0!</v>
      </c>
      <c r="K29" s="421" t="e">
        <f t="shared" si="9"/>
        <v>#DIV/0!</v>
      </c>
      <c r="L29" s="421" t="e">
        <f t="shared" si="9"/>
        <v>#DIV/0!</v>
      </c>
      <c r="M29" s="421" t="e">
        <f t="shared" si="9"/>
        <v>#DIV/0!</v>
      </c>
      <c r="N29" s="422" t="e">
        <f t="shared" ref="N29" si="10">IF(N19=0,0,N28/N19)</f>
        <v>#DIV/0!</v>
      </c>
    </row>
    <row r="30" spans="1:51" x14ac:dyDescent="0.2">
      <c r="A30" s="397"/>
    </row>
    <row r="31" spans="1:51" x14ac:dyDescent="0.2">
      <c r="B31" s="411" t="s">
        <v>286</v>
      </c>
      <c r="C31" s="411">
        <v>0</v>
      </c>
      <c r="D31" s="411">
        <v>1</v>
      </c>
      <c r="E31" s="411">
        <f>D31+1</f>
        <v>2</v>
      </c>
      <c r="F31" s="411">
        <f t="shared" ref="F31:M31" si="11">E31+1</f>
        <v>3</v>
      </c>
      <c r="G31" s="411">
        <f t="shared" si="11"/>
        <v>4</v>
      </c>
      <c r="H31" s="411">
        <f t="shared" si="11"/>
        <v>5</v>
      </c>
      <c r="I31" s="411">
        <f t="shared" si="11"/>
        <v>6</v>
      </c>
      <c r="J31" s="411">
        <f t="shared" si="11"/>
        <v>7</v>
      </c>
      <c r="K31" s="411">
        <f t="shared" si="11"/>
        <v>8</v>
      </c>
      <c r="L31" s="411">
        <f t="shared" si="11"/>
        <v>9</v>
      </c>
      <c r="M31" s="411">
        <f t="shared" si="11"/>
        <v>10</v>
      </c>
      <c r="N31" s="411"/>
      <c r="P31" s="789" t="s">
        <v>925</v>
      </c>
      <c r="Q31" s="789"/>
      <c r="R31" s="789"/>
      <c r="S31" s="789"/>
      <c r="T31" s="789"/>
      <c r="U31" s="789"/>
      <c r="V31" s="789"/>
      <c r="W31" s="789"/>
      <c r="X31" s="789"/>
      <c r="Y31" s="789"/>
      <c r="Z31" s="785"/>
      <c r="AA31" s="789" t="s">
        <v>927</v>
      </c>
      <c r="AB31" s="790"/>
      <c r="AC31" s="790"/>
      <c r="AD31" s="790"/>
      <c r="AE31" s="790"/>
      <c r="AF31" s="789"/>
      <c r="AG31" s="789"/>
      <c r="AH31" s="789"/>
      <c r="AI31" s="789"/>
      <c r="AJ31" s="789"/>
      <c r="AO31" s="411">
        <v>0</v>
      </c>
      <c r="AP31" s="411">
        <v>1</v>
      </c>
      <c r="AQ31" s="411">
        <f>AP31+1</f>
        <v>2</v>
      </c>
      <c r="AR31" s="411">
        <f t="shared" ref="AR31:AY31" si="12">AQ31+1</f>
        <v>3</v>
      </c>
      <c r="AS31" s="411">
        <f t="shared" si="12"/>
        <v>4</v>
      </c>
      <c r="AT31" s="411">
        <f t="shared" si="12"/>
        <v>5</v>
      </c>
      <c r="AU31" s="411">
        <f t="shared" si="12"/>
        <v>6</v>
      </c>
      <c r="AV31" s="411">
        <f t="shared" si="12"/>
        <v>7</v>
      </c>
      <c r="AW31" s="411">
        <f t="shared" si="12"/>
        <v>8</v>
      </c>
      <c r="AX31" s="411">
        <f t="shared" si="12"/>
        <v>9</v>
      </c>
      <c r="AY31" s="411">
        <f t="shared" si="12"/>
        <v>10</v>
      </c>
    </row>
    <row r="32" spans="1:51" x14ac:dyDescent="0.2">
      <c r="B32" s="412" t="s">
        <v>264</v>
      </c>
    </row>
    <row r="33" spans="1:49" x14ac:dyDescent="0.2">
      <c r="B33" s="413" t="s">
        <v>268</v>
      </c>
      <c r="C33" s="708" t="e">
        <f>SUMIF('Detailed Financial Case'!$AH$8:$AH$49,'Summary Financial Case'!$B33,'Detailed Financial Case'!C$8:C$49)</f>
        <v>#DIV/0!</v>
      </c>
      <c r="D33" s="708" t="e">
        <f>SUMIF('Detailed Financial Case'!$AH$8:$AH$49,'Summary Financial Case'!$B33,'Detailed Financial Case'!D$8:D$49)</f>
        <v>#DIV/0!</v>
      </c>
      <c r="E33" s="708" t="e">
        <f>SUMIF('Detailed Financial Case'!$AH$8:$AH$49,'Summary Financial Case'!$B33,'Detailed Financial Case'!E$8:E$49)</f>
        <v>#DIV/0!</v>
      </c>
      <c r="F33" s="708" t="e">
        <f>SUMIF('Detailed Financial Case'!$AH$8:$AH$49,'Summary Financial Case'!$B33,'Detailed Financial Case'!F$8:F$49)</f>
        <v>#DIV/0!</v>
      </c>
      <c r="G33" s="708" t="e">
        <f>SUMIF('Detailed Financial Case'!$AH$8:$AH$49,'Summary Financial Case'!$B33,'Detailed Financial Case'!G$8:G$49)</f>
        <v>#DIV/0!</v>
      </c>
      <c r="H33" s="708" t="e">
        <f>SUMIF('Detailed Financial Case'!$AH$8:$AH$49,'Summary Financial Case'!$B33,'Detailed Financial Case'!H$8:H$49)</f>
        <v>#DIV/0!</v>
      </c>
      <c r="I33" s="708" t="e">
        <f>SUMIF('Detailed Financial Case'!$AH$8:$AH$49,'Summary Financial Case'!$B33,'Detailed Financial Case'!I$8:I$49)</f>
        <v>#DIV/0!</v>
      </c>
      <c r="J33" s="708" t="e">
        <f>SUMIF('Detailed Financial Case'!$AH$8:$AH$49,'Summary Financial Case'!$B33,'Detailed Financial Case'!J$8:J$49)</f>
        <v>#DIV/0!</v>
      </c>
      <c r="K33" s="708" t="e">
        <f>SUMIF('Detailed Financial Case'!$AH$8:$AH$49,'Summary Financial Case'!$B33,'Detailed Financial Case'!K$8:K$49)</f>
        <v>#DIV/0!</v>
      </c>
      <c r="L33" s="708" t="e">
        <f>SUMIF('Detailed Financial Case'!$AH$8:$AH$49,'Summary Financial Case'!$B33,'Detailed Financial Case'!L$8:L$49)</f>
        <v>#DIV/0!</v>
      </c>
      <c r="M33" s="708" t="e">
        <f>SUMIF('Detailed Financial Case'!$AH$8:$AH$49,'Summary Financial Case'!$B33,'Detailed Financial Case'!M$8:M$49)</f>
        <v>#DIV/0!</v>
      </c>
      <c r="N33" s="709" t="e">
        <f>SUM(D33:M33)</f>
        <v>#DIV/0!</v>
      </c>
      <c r="AN33" s="391" t="s">
        <v>265</v>
      </c>
      <c r="AW33" s="391" t="s">
        <v>265</v>
      </c>
    </row>
    <row r="34" spans="1:49" x14ac:dyDescent="0.2">
      <c r="B34" s="413" t="s">
        <v>270</v>
      </c>
      <c r="C34" s="708">
        <f>SUMIF('Detailed Financial Case'!$AH$8:$AH$49,'Summary Financial Case'!$B34,'Detailed Financial Case'!C$8:C$49)</f>
        <v>0</v>
      </c>
      <c r="D34" s="708">
        <f>SUMIF('Detailed Financial Case'!$AH$8:$AH$49,'Summary Financial Case'!$B34,'Detailed Financial Case'!D$8:D$49)</f>
        <v>0</v>
      </c>
      <c r="E34" s="708">
        <f>SUMIF('Detailed Financial Case'!$AH$8:$AH$49,'Summary Financial Case'!$B34,'Detailed Financial Case'!E$8:E$49)</f>
        <v>0</v>
      </c>
      <c r="F34" s="708">
        <f>SUMIF('Detailed Financial Case'!$AH$8:$AH$49,'Summary Financial Case'!$B34,'Detailed Financial Case'!F$8:F$49)</f>
        <v>0</v>
      </c>
      <c r="G34" s="708">
        <f>SUMIF('Detailed Financial Case'!$AH$8:$AH$49,'Summary Financial Case'!$B34,'Detailed Financial Case'!G$8:G$49)</f>
        <v>0</v>
      </c>
      <c r="H34" s="708">
        <f>SUMIF('Detailed Financial Case'!$AH$8:$AH$49,'Summary Financial Case'!$B34,'Detailed Financial Case'!H$8:H$49)</f>
        <v>0</v>
      </c>
      <c r="I34" s="708">
        <f>SUMIF('Detailed Financial Case'!$AH$8:$AH$49,'Summary Financial Case'!$B34,'Detailed Financial Case'!I$8:I$49)</f>
        <v>0</v>
      </c>
      <c r="J34" s="708">
        <f>SUMIF('Detailed Financial Case'!$AH$8:$AH$49,'Summary Financial Case'!$B34,'Detailed Financial Case'!J$8:J$49)</f>
        <v>0</v>
      </c>
      <c r="K34" s="708">
        <f>SUMIF('Detailed Financial Case'!$AH$8:$AH$49,'Summary Financial Case'!$B34,'Detailed Financial Case'!K$8:K$49)</f>
        <v>0</v>
      </c>
      <c r="L34" s="708">
        <f>SUMIF('Detailed Financial Case'!$AH$8:$AH$49,'Summary Financial Case'!$B34,'Detailed Financial Case'!L$8:L$49)</f>
        <v>0</v>
      </c>
      <c r="M34" s="708">
        <f>SUMIF('Detailed Financial Case'!$AH$8:$AH$49,'Summary Financial Case'!$B34,'Detailed Financial Case'!M$8:M$49)</f>
        <v>0</v>
      </c>
      <c r="N34" s="709">
        <f t="shared" ref="N34:N35" si="13">SUM(D34:M34)</f>
        <v>0</v>
      </c>
    </row>
    <row r="35" spans="1:49" x14ac:dyDescent="0.2">
      <c r="A35" s="397"/>
      <c r="B35" s="414" t="s">
        <v>287</v>
      </c>
      <c r="C35" s="710" t="e">
        <f>SUM(C33:C34)</f>
        <v>#DIV/0!</v>
      </c>
      <c r="D35" s="710" t="e">
        <f t="shared" ref="D35:M35" si="14">SUM(D33:D34)</f>
        <v>#DIV/0!</v>
      </c>
      <c r="E35" s="710" t="e">
        <f t="shared" si="14"/>
        <v>#DIV/0!</v>
      </c>
      <c r="F35" s="710" t="e">
        <f t="shared" si="14"/>
        <v>#DIV/0!</v>
      </c>
      <c r="G35" s="710" t="e">
        <f t="shared" si="14"/>
        <v>#DIV/0!</v>
      </c>
      <c r="H35" s="710" t="e">
        <f t="shared" si="14"/>
        <v>#DIV/0!</v>
      </c>
      <c r="I35" s="710" t="e">
        <f t="shared" si="14"/>
        <v>#DIV/0!</v>
      </c>
      <c r="J35" s="710" t="e">
        <f t="shared" si="14"/>
        <v>#DIV/0!</v>
      </c>
      <c r="K35" s="710" t="e">
        <f t="shared" si="14"/>
        <v>#DIV/0!</v>
      </c>
      <c r="L35" s="710" t="e">
        <f t="shared" si="14"/>
        <v>#DIV/0!</v>
      </c>
      <c r="M35" s="710" t="e">
        <f t="shared" si="14"/>
        <v>#DIV/0!</v>
      </c>
      <c r="N35" s="711" t="e">
        <f t="shared" si="13"/>
        <v>#DIV/0!</v>
      </c>
      <c r="AN35" s="391" t="s">
        <v>264</v>
      </c>
      <c r="AW35" s="391" t="s">
        <v>267</v>
      </c>
    </row>
    <row r="36" spans="1:49" x14ac:dyDescent="0.2">
      <c r="B36" s="415" t="s">
        <v>273</v>
      </c>
      <c r="C36" s="716"/>
      <c r="D36" s="716"/>
      <c r="E36" s="716"/>
      <c r="F36" s="716"/>
      <c r="G36" s="716"/>
      <c r="H36" s="716"/>
      <c r="I36" s="716"/>
      <c r="J36" s="716"/>
      <c r="K36" s="716"/>
      <c r="L36" s="716"/>
      <c r="M36" s="716"/>
      <c r="N36" s="716"/>
      <c r="AN36" s="391" t="s">
        <v>268</v>
      </c>
      <c r="AP36" s="391" t="s">
        <v>272</v>
      </c>
    </row>
    <row r="37" spans="1:49" x14ac:dyDescent="0.2">
      <c r="B37" s="416" t="s">
        <v>268</v>
      </c>
      <c r="C37" s="712" t="e">
        <f>SUMIF('Detailed Financial Case'!$AH$8:$AH$49,'Summary Financial Case'!$B37,'Detailed Financial Case'!C$8:C$49)</f>
        <v>#DIV/0!</v>
      </c>
      <c r="D37" s="712" t="e">
        <f>SUMIF('Detailed Financial Case'!$AH$8:$AH$49,'Summary Financial Case'!$B37,'Detailed Financial Case'!Q$8:Q$49)</f>
        <v>#DIV/0!</v>
      </c>
      <c r="E37" s="712" t="e">
        <f>SUMIF('Detailed Financial Case'!$AH$8:$AH$49,'Summary Financial Case'!$B37,'Detailed Financial Case'!R$8:R$49)</f>
        <v>#DIV/0!</v>
      </c>
      <c r="F37" s="712" t="e">
        <f>SUMIF('Detailed Financial Case'!$AH$8:$AH$49,'Summary Financial Case'!$B37,'Detailed Financial Case'!S$8:S$49)</f>
        <v>#DIV/0!</v>
      </c>
      <c r="G37" s="712" t="e">
        <f>SUMIF('Detailed Financial Case'!$AH$8:$AH$49,'Summary Financial Case'!$B37,'Detailed Financial Case'!T$8:T$49)</f>
        <v>#DIV/0!</v>
      </c>
      <c r="H37" s="712" t="e">
        <f>SUMIF('Detailed Financial Case'!$AH$8:$AH$49,'Summary Financial Case'!$B37,'Detailed Financial Case'!U$8:U$49)</f>
        <v>#DIV/0!</v>
      </c>
      <c r="I37" s="712" t="e">
        <f>SUMIF('Detailed Financial Case'!$AH$8:$AH$49,'Summary Financial Case'!$B37,'Detailed Financial Case'!V$8:V$49)</f>
        <v>#DIV/0!</v>
      </c>
      <c r="J37" s="712" t="e">
        <f>SUMIF('Detailed Financial Case'!$AH$8:$AH$49,'Summary Financial Case'!$B37,'Detailed Financial Case'!W$8:W$49)</f>
        <v>#DIV/0!</v>
      </c>
      <c r="K37" s="712" t="e">
        <f>SUMIF('Detailed Financial Case'!$AH$8:$AH$49,'Summary Financial Case'!$B37,'Detailed Financial Case'!X$8:X$49)</f>
        <v>#DIV/0!</v>
      </c>
      <c r="L37" s="712" t="e">
        <f>SUMIF('Detailed Financial Case'!$AH$8:$AH$49,'Summary Financial Case'!$B37,'Detailed Financial Case'!Y$8:Y$49)</f>
        <v>#DIV/0!</v>
      </c>
      <c r="M37" s="712" t="e">
        <f>SUMIF('Detailed Financial Case'!$AH$8:$AH$49,'Summary Financial Case'!$B37,'Detailed Financial Case'!Z$8:Z$49)</f>
        <v>#DIV/0!</v>
      </c>
      <c r="N37" s="713" t="e">
        <f>SUM(D37:M37)</f>
        <v>#DIV/0!</v>
      </c>
      <c r="AL37" s="723" t="s">
        <v>276</v>
      </c>
      <c r="AN37" s="391" t="s">
        <v>274</v>
      </c>
      <c r="AU37" s="391" t="s">
        <v>274</v>
      </c>
    </row>
    <row r="38" spans="1:49" x14ac:dyDescent="0.2">
      <c r="B38" s="416" t="s">
        <v>270</v>
      </c>
      <c r="C38" s="712">
        <f>SUMIF('Detailed Financial Case'!$AH$8:$AH$49,'Summary Financial Case'!$B38,'Detailed Financial Case'!C$8:C$49)</f>
        <v>0</v>
      </c>
      <c r="D38" s="712">
        <f>SUMIF('Detailed Financial Case'!$AH$8:$AH$49,'Summary Financial Case'!$B38,'Detailed Financial Case'!Q$8:Q$49)</f>
        <v>0</v>
      </c>
      <c r="E38" s="712">
        <f>SUMIF('Detailed Financial Case'!$AH$8:$AH$49,'Summary Financial Case'!$B38,'Detailed Financial Case'!R$8:R$49)</f>
        <v>0</v>
      </c>
      <c r="F38" s="712">
        <f>SUMIF('Detailed Financial Case'!$AH$8:$AH$49,'Summary Financial Case'!$B38,'Detailed Financial Case'!S$8:S$49)</f>
        <v>0</v>
      </c>
      <c r="G38" s="712">
        <f>SUMIF('Detailed Financial Case'!$AH$8:$AH$49,'Summary Financial Case'!$B38,'Detailed Financial Case'!T$8:T$49)</f>
        <v>0</v>
      </c>
      <c r="H38" s="712">
        <f>SUMIF('Detailed Financial Case'!$AH$8:$AH$49,'Summary Financial Case'!$B38,'Detailed Financial Case'!U$8:U$49)</f>
        <v>0</v>
      </c>
      <c r="I38" s="712">
        <f>SUMIF('Detailed Financial Case'!$AH$8:$AH$49,'Summary Financial Case'!$B38,'Detailed Financial Case'!V$8:V$49)</f>
        <v>0</v>
      </c>
      <c r="J38" s="712">
        <f>SUMIF('Detailed Financial Case'!$AH$8:$AH$49,'Summary Financial Case'!$B38,'Detailed Financial Case'!W$8:W$49)</f>
        <v>0</v>
      </c>
      <c r="K38" s="712">
        <f>SUMIF('Detailed Financial Case'!$AH$8:$AH$49,'Summary Financial Case'!$B38,'Detailed Financial Case'!X$8:X$49)</f>
        <v>0</v>
      </c>
      <c r="L38" s="712">
        <f>SUMIF('Detailed Financial Case'!$AH$8:$AH$49,'Summary Financial Case'!$B38,'Detailed Financial Case'!Y$8:Y$49)</f>
        <v>0</v>
      </c>
      <c r="M38" s="712">
        <f>SUMIF('Detailed Financial Case'!$AH$8:$AH$49,'Summary Financial Case'!$B38,'Detailed Financial Case'!Z$8:Z$49)</f>
        <v>0</v>
      </c>
      <c r="N38" s="713">
        <f t="shared" ref="N38:N41" si="15">SUM(D38:M38)</f>
        <v>0</v>
      </c>
      <c r="AL38" s="724" t="s">
        <v>278</v>
      </c>
      <c r="AN38" s="391" t="s">
        <v>275</v>
      </c>
      <c r="AQ38" s="391" t="s">
        <v>275</v>
      </c>
    </row>
    <row r="39" spans="1:49" x14ac:dyDescent="0.2">
      <c r="A39" s="397"/>
      <c r="B39" s="416" t="s">
        <v>279</v>
      </c>
      <c r="C39" s="712">
        <f>SUMIF('Detailed Financial Case'!$AH$8:$AH$49,'Summary Financial Case'!$B39,'Detailed Financial Case'!C$8:C$49)</f>
        <v>0</v>
      </c>
      <c r="D39" s="712">
        <f>SUMIF('Detailed Financial Case'!$AH$8:$AH$49,'Summary Financial Case'!$B39,'Detailed Financial Case'!Q$8:Q$49)</f>
        <v>0</v>
      </c>
      <c r="E39" s="712">
        <f>SUMIF('Detailed Financial Case'!$AH$8:$AH$49,'Summary Financial Case'!$B39,'Detailed Financial Case'!R$8:R$49)</f>
        <v>0</v>
      </c>
      <c r="F39" s="712">
        <f>SUMIF('Detailed Financial Case'!$AH$8:$AH$49,'Summary Financial Case'!$B39,'Detailed Financial Case'!S$8:S$49)</f>
        <v>0</v>
      </c>
      <c r="G39" s="712">
        <f>SUMIF('Detailed Financial Case'!$AH$8:$AH$49,'Summary Financial Case'!$B39,'Detailed Financial Case'!T$8:T$49)</f>
        <v>0</v>
      </c>
      <c r="H39" s="712">
        <f>SUMIF('Detailed Financial Case'!$AH$8:$AH$49,'Summary Financial Case'!$B39,'Detailed Financial Case'!U$8:U$49)</f>
        <v>0</v>
      </c>
      <c r="I39" s="712">
        <f>SUMIF('Detailed Financial Case'!$AH$8:$AH$49,'Summary Financial Case'!$B39,'Detailed Financial Case'!V$8:V$49)</f>
        <v>0</v>
      </c>
      <c r="J39" s="712">
        <f>SUMIF('Detailed Financial Case'!$AH$8:$AH$49,'Summary Financial Case'!$B39,'Detailed Financial Case'!W$8:W$49)</f>
        <v>0</v>
      </c>
      <c r="K39" s="712">
        <f>SUMIF('Detailed Financial Case'!$AH$8:$AH$49,'Summary Financial Case'!$B39,'Detailed Financial Case'!X$8:X$49)</f>
        <v>0</v>
      </c>
      <c r="L39" s="712">
        <f>SUMIF('Detailed Financial Case'!$AH$8:$AH$49,'Summary Financial Case'!$B39,'Detailed Financial Case'!Y$8:Y$49)</f>
        <v>0</v>
      </c>
      <c r="M39" s="712">
        <f>SUMIF('Detailed Financial Case'!$AH$8:$AH$49,'Summary Financial Case'!$B39,'Detailed Financial Case'!Z$8:Z$49)</f>
        <v>0</v>
      </c>
      <c r="N39" s="713">
        <f t="shared" si="15"/>
        <v>0</v>
      </c>
      <c r="AL39" s="724" t="s">
        <v>280</v>
      </c>
      <c r="AN39" s="391" t="s">
        <v>277</v>
      </c>
      <c r="AP39" s="391" t="str">
        <f>IF(SUM(C40:M40)=0,"","MSFT Investment")</f>
        <v/>
      </c>
    </row>
    <row r="40" spans="1:49" x14ac:dyDescent="0.2">
      <c r="B40" s="416" t="s">
        <v>281</v>
      </c>
      <c r="C40" s="712">
        <f>SUMIF('Detailed Financial Case'!$AH$8:$AH$49,'Summary Financial Case'!$B40,'Detailed Financial Case'!C$8:C$49)</f>
        <v>0</v>
      </c>
      <c r="D40" s="712">
        <f>SUMIF('Detailed Financial Case'!$AH$8:$AH$49,'Summary Financial Case'!$B40,'Detailed Financial Case'!Q$8:Q$49)</f>
        <v>0</v>
      </c>
      <c r="E40" s="712">
        <f>SUMIF('Detailed Financial Case'!$AH$8:$AH$49,'Summary Financial Case'!$B40,'Detailed Financial Case'!R$8:R$49)</f>
        <v>0</v>
      </c>
      <c r="F40" s="712">
        <f>SUMIF('Detailed Financial Case'!$AH$8:$AH$49,'Summary Financial Case'!$B40,'Detailed Financial Case'!S$8:S$49)</f>
        <v>0</v>
      </c>
      <c r="G40" s="712">
        <f>SUMIF('Detailed Financial Case'!$AH$8:$AH$49,'Summary Financial Case'!$B40,'Detailed Financial Case'!T$8:T$49)</f>
        <v>0</v>
      </c>
      <c r="H40" s="712">
        <f>SUMIF('Detailed Financial Case'!$AH$8:$AH$49,'Summary Financial Case'!$B40,'Detailed Financial Case'!U$8:U$49)</f>
        <v>0</v>
      </c>
      <c r="I40" s="712">
        <f>SUMIF('Detailed Financial Case'!$AH$8:$AH$49,'Summary Financial Case'!$B40,'Detailed Financial Case'!V$8:V$49)</f>
        <v>0</v>
      </c>
      <c r="J40" s="712">
        <f>SUMIF('Detailed Financial Case'!$AH$8:$AH$49,'Summary Financial Case'!$B40,'Detailed Financial Case'!W$8:W$49)</f>
        <v>0</v>
      </c>
      <c r="K40" s="712">
        <f>SUMIF('Detailed Financial Case'!$AH$8:$AH$49,'Summary Financial Case'!$B40,'Detailed Financial Case'!X$8:X$49)</f>
        <v>0</v>
      </c>
      <c r="L40" s="712">
        <f>SUMIF('Detailed Financial Case'!$AH$8:$AH$49,'Summary Financial Case'!$B40,'Detailed Financial Case'!Y$8:Y$49)</f>
        <v>0</v>
      </c>
      <c r="M40" s="712">
        <f>SUMIF('Detailed Financial Case'!$AH$8:$AH$49,'Summary Financial Case'!$B40,'Detailed Financial Case'!Z$8:Z$49)</f>
        <v>0</v>
      </c>
      <c r="N40" s="713">
        <f t="shared" si="15"/>
        <v>0</v>
      </c>
    </row>
    <row r="41" spans="1:49" x14ac:dyDescent="0.2">
      <c r="A41" s="397"/>
      <c r="B41" s="417" t="s">
        <v>288</v>
      </c>
      <c r="C41" s="714" t="e">
        <f>SUM(C37:C40)</f>
        <v>#DIV/0!</v>
      </c>
      <c r="D41" s="714" t="e">
        <f t="shared" ref="D41:M41" si="16">SUM(D37:D40)</f>
        <v>#DIV/0!</v>
      </c>
      <c r="E41" s="714" t="e">
        <f t="shared" si="16"/>
        <v>#DIV/0!</v>
      </c>
      <c r="F41" s="714" t="e">
        <f t="shared" si="16"/>
        <v>#DIV/0!</v>
      </c>
      <c r="G41" s="714" t="e">
        <f t="shared" si="16"/>
        <v>#DIV/0!</v>
      </c>
      <c r="H41" s="714" t="e">
        <f t="shared" si="16"/>
        <v>#DIV/0!</v>
      </c>
      <c r="I41" s="714" t="e">
        <f t="shared" si="16"/>
        <v>#DIV/0!</v>
      </c>
      <c r="J41" s="714" t="e">
        <f t="shared" si="16"/>
        <v>#DIV/0!</v>
      </c>
      <c r="K41" s="714" t="e">
        <f t="shared" si="16"/>
        <v>#DIV/0!</v>
      </c>
      <c r="L41" s="714" t="e">
        <f t="shared" si="16"/>
        <v>#DIV/0!</v>
      </c>
      <c r="M41" s="714" t="e">
        <f t="shared" si="16"/>
        <v>#DIV/0!</v>
      </c>
      <c r="N41" s="715" t="e">
        <f t="shared" si="15"/>
        <v>#DIV/0!</v>
      </c>
    </row>
    <row r="42" spans="1:49" x14ac:dyDescent="0.2">
      <c r="B42" s="418" t="s">
        <v>283</v>
      </c>
      <c r="C42" s="716" t="e">
        <f>IF(C43&lt;=0,-C43,0)</f>
        <v>#DIV/0!</v>
      </c>
      <c r="D42" s="716" t="e">
        <f t="shared" ref="D42:N42" si="17">IF(D43&lt;=0,-D43,0)</f>
        <v>#DIV/0!</v>
      </c>
      <c r="E42" s="716" t="e">
        <f t="shared" si="17"/>
        <v>#DIV/0!</v>
      </c>
      <c r="F42" s="716" t="e">
        <f t="shared" si="17"/>
        <v>#DIV/0!</v>
      </c>
      <c r="G42" s="716" t="e">
        <f t="shared" si="17"/>
        <v>#DIV/0!</v>
      </c>
      <c r="H42" s="716" t="e">
        <f t="shared" si="17"/>
        <v>#DIV/0!</v>
      </c>
      <c r="I42" s="716" t="e">
        <f t="shared" si="17"/>
        <v>#DIV/0!</v>
      </c>
      <c r="J42" s="716" t="e">
        <f t="shared" si="17"/>
        <v>#DIV/0!</v>
      </c>
      <c r="K42" s="716" t="e">
        <f t="shared" si="17"/>
        <v>#DIV/0!</v>
      </c>
      <c r="L42" s="716" t="e">
        <f t="shared" si="17"/>
        <v>#DIV/0!</v>
      </c>
      <c r="M42" s="716" t="e">
        <f t="shared" si="17"/>
        <v>#DIV/0!</v>
      </c>
      <c r="N42" s="716" t="e">
        <f t="shared" si="17"/>
        <v>#DIV/0!</v>
      </c>
    </row>
    <row r="43" spans="1:49" x14ac:dyDescent="0.2">
      <c r="A43" s="397"/>
      <c r="B43" s="419" t="s">
        <v>289</v>
      </c>
      <c r="C43" s="717" t="e">
        <f>C41-C35</f>
        <v>#DIV/0!</v>
      </c>
      <c r="D43" s="717" t="e">
        <f t="shared" ref="D43:M43" si="18">D41-D35</f>
        <v>#DIV/0!</v>
      </c>
      <c r="E43" s="717" t="e">
        <f t="shared" si="18"/>
        <v>#DIV/0!</v>
      </c>
      <c r="F43" s="717" t="e">
        <f t="shared" si="18"/>
        <v>#DIV/0!</v>
      </c>
      <c r="G43" s="717" t="e">
        <f t="shared" si="18"/>
        <v>#DIV/0!</v>
      </c>
      <c r="H43" s="717" t="e">
        <f t="shared" si="18"/>
        <v>#DIV/0!</v>
      </c>
      <c r="I43" s="717" t="e">
        <f t="shared" si="18"/>
        <v>#DIV/0!</v>
      </c>
      <c r="J43" s="717" t="e">
        <f>J41-J35</f>
        <v>#DIV/0!</v>
      </c>
      <c r="K43" s="717" t="e">
        <f>K41-K35</f>
        <v>#DIV/0!</v>
      </c>
      <c r="L43" s="717" t="e">
        <f t="shared" si="18"/>
        <v>#DIV/0!</v>
      </c>
      <c r="M43" s="717" t="e">
        <f t="shared" si="18"/>
        <v>#DIV/0!</v>
      </c>
      <c r="N43" s="718" t="e">
        <f t="shared" ref="N43" si="19">N41-N35</f>
        <v>#DIV/0!</v>
      </c>
    </row>
    <row r="44" spans="1:49" x14ac:dyDescent="0.2">
      <c r="B44" s="420" t="s">
        <v>290</v>
      </c>
      <c r="C44" s="421" t="e">
        <f>IF(C35=0,0,C43/C35)</f>
        <v>#DIV/0!</v>
      </c>
      <c r="D44" s="421" t="e">
        <f t="shared" ref="D44:M44" si="20">IF(D35=0,0,D43/D35)</f>
        <v>#DIV/0!</v>
      </c>
      <c r="E44" s="421" t="e">
        <f t="shared" si="20"/>
        <v>#DIV/0!</v>
      </c>
      <c r="F44" s="421" t="e">
        <f t="shared" si="20"/>
        <v>#DIV/0!</v>
      </c>
      <c r="G44" s="421" t="e">
        <f t="shared" si="20"/>
        <v>#DIV/0!</v>
      </c>
      <c r="H44" s="421" t="e">
        <f t="shared" si="20"/>
        <v>#DIV/0!</v>
      </c>
      <c r="I44" s="421" t="e">
        <f t="shared" si="20"/>
        <v>#DIV/0!</v>
      </c>
      <c r="J44" s="421" t="e">
        <f t="shared" si="20"/>
        <v>#DIV/0!</v>
      </c>
      <c r="K44" s="421" t="e">
        <f t="shared" si="20"/>
        <v>#DIV/0!</v>
      </c>
      <c r="L44" s="421" t="e">
        <f>IF(L35=0,0,L43/L35)</f>
        <v>#DIV/0!</v>
      </c>
      <c r="M44" s="421" t="e">
        <f t="shared" si="20"/>
        <v>#DIV/0!</v>
      </c>
      <c r="N44" s="422" t="e">
        <f t="shared" ref="N44" si="21">IF(N35=0,0,N43/N35)</f>
        <v>#DIV/0!</v>
      </c>
    </row>
    <row r="45" spans="1:49" x14ac:dyDescent="0.2">
      <c r="A45" s="397"/>
    </row>
    <row r="46" spans="1:49" ht="34" x14ac:dyDescent="0.2">
      <c r="A46" s="397"/>
      <c r="B46" s="642"/>
      <c r="C46" s="643" t="s">
        <v>291</v>
      </c>
      <c r="D46" s="643" t="s">
        <v>292</v>
      </c>
      <c r="E46" s="782" t="s">
        <v>923</v>
      </c>
      <c r="P46" s="794"/>
      <c r="Q46" s="794"/>
      <c r="R46" s="794"/>
      <c r="S46" s="794"/>
      <c r="T46" s="794"/>
      <c r="U46" s="783"/>
      <c r="V46" s="783"/>
      <c r="W46" s="783"/>
      <c r="X46" s="783"/>
      <c r="Y46" s="783"/>
      <c r="Z46" s="783"/>
      <c r="AA46" s="783"/>
      <c r="AB46" s="783"/>
      <c r="AC46" s="783"/>
      <c r="AD46" s="783"/>
      <c r="AE46" s="783"/>
    </row>
    <row r="47" spans="1:49" x14ac:dyDescent="0.2">
      <c r="A47" s="397"/>
      <c r="B47" s="644" t="s">
        <v>267</v>
      </c>
      <c r="C47" s="755" t="e">
        <f>M19</f>
        <v>#DIV/0!</v>
      </c>
      <c r="D47" s="755" t="e">
        <f>N19</f>
        <v>#DIV/0!</v>
      </c>
      <c r="E47" s="755" t="e">
        <f>SUM(D19:H19)</f>
        <v>#DIV/0!</v>
      </c>
      <c r="H47" s="423"/>
    </row>
    <row r="48" spans="1:49" x14ac:dyDescent="0.2">
      <c r="A48" s="397"/>
      <c r="B48" s="645" t="s">
        <v>293</v>
      </c>
      <c r="C48" s="756" t="e">
        <f>C49-C47</f>
        <v>#DIV/0!</v>
      </c>
      <c r="D48" s="756" t="e">
        <f>D49-D47</f>
        <v>#DIV/0!</v>
      </c>
      <c r="E48" s="756" t="e">
        <f>E49-E47</f>
        <v>#DIV/0!</v>
      </c>
    </row>
    <row r="49" spans="1:38" x14ac:dyDescent="0.2">
      <c r="B49" s="646" t="s">
        <v>265</v>
      </c>
      <c r="C49" s="757" t="e">
        <f>M26</f>
        <v>#DIV/0!</v>
      </c>
      <c r="D49" s="757" t="e">
        <f>N26</f>
        <v>#DIV/0!</v>
      </c>
      <c r="E49" s="757" t="e">
        <f>SUM(D26:H26)</f>
        <v>#DIV/0!</v>
      </c>
    </row>
    <row r="50" spans="1:38" x14ac:dyDescent="0.2">
      <c r="B50" s="647" t="s">
        <v>275</v>
      </c>
      <c r="C50" s="758" t="s">
        <v>294</v>
      </c>
      <c r="D50" s="758">
        <f>N24</f>
        <v>0</v>
      </c>
      <c r="E50" s="758">
        <f>N24</f>
        <v>0</v>
      </c>
    </row>
    <row r="51" spans="1:38" x14ac:dyDescent="0.2">
      <c r="B51" s="648" t="s">
        <v>295</v>
      </c>
      <c r="C51" s="759">
        <f>M23</f>
        <v>0</v>
      </c>
      <c r="D51" s="759">
        <f>N23</f>
        <v>0</v>
      </c>
      <c r="E51" s="759">
        <f>SUM(D23:H23)</f>
        <v>0</v>
      </c>
      <c r="AL51" s="723"/>
    </row>
    <row r="52" spans="1:38" x14ac:dyDescent="0.2">
      <c r="B52" s="649" t="s">
        <v>268</v>
      </c>
      <c r="C52" s="760" t="e">
        <f>M22</f>
        <v>#DIV/0!</v>
      </c>
      <c r="D52" s="760" t="e">
        <f>N22</f>
        <v>#DIV/0!</v>
      </c>
      <c r="E52" s="760" t="e">
        <f>SUM(D22:H22)</f>
        <v>#DIV/0!</v>
      </c>
      <c r="AL52" s="724"/>
    </row>
    <row r="53" spans="1:38" x14ac:dyDescent="0.2">
      <c r="B53" s="650" t="s">
        <v>266</v>
      </c>
      <c r="C53" s="761" t="s">
        <v>294</v>
      </c>
      <c r="D53" s="761" t="e">
        <f>N21</f>
        <v>#DIV/0!</v>
      </c>
      <c r="E53" s="761" t="e">
        <f>SUM(D21:H21)</f>
        <v>#DIV/0!</v>
      </c>
      <c r="L53" s="406"/>
      <c r="AL53" s="724"/>
    </row>
    <row r="58" spans="1:38" x14ac:dyDescent="0.2">
      <c r="A58" s="397"/>
    </row>
    <row r="59" spans="1:38" x14ac:dyDescent="0.2">
      <c r="A59" s="397"/>
    </row>
    <row r="63" spans="1:38" x14ac:dyDescent="0.2">
      <c r="P63" s="794"/>
      <c r="Q63" s="794"/>
      <c r="R63" s="794"/>
      <c r="S63" s="794"/>
      <c r="T63" s="794"/>
      <c r="U63" s="783"/>
      <c r="V63" s="783"/>
      <c r="W63" s="783"/>
      <c r="X63" s="783"/>
      <c r="Y63" s="783"/>
      <c r="Z63" s="783"/>
      <c r="AA63" s="783"/>
      <c r="AB63" s="783"/>
      <c r="AC63" s="783"/>
      <c r="AD63" s="783"/>
      <c r="AE63" s="783"/>
    </row>
    <row r="68" spans="1:38" x14ac:dyDescent="0.2">
      <c r="AL68" s="723"/>
    </row>
    <row r="69" spans="1:38" x14ac:dyDescent="0.2">
      <c r="AL69" s="724"/>
    </row>
    <row r="70" spans="1:38" x14ac:dyDescent="0.2">
      <c r="AL70" s="724"/>
    </row>
    <row r="71" spans="1:38" x14ac:dyDescent="0.2">
      <c r="A71" s="397"/>
    </row>
    <row r="72" spans="1:38" x14ac:dyDescent="0.2">
      <c r="A72" s="397"/>
    </row>
    <row r="73" spans="1:38" x14ac:dyDescent="0.2">
      <c r="A73" s="397"/>
    </row>
  </sheetData>
  <mergeCells count="8">
    <mergeCell ref="AA14:AJ14"/>
    <mergeCell ref="AA31:AJ31"/>
    <mergeCell ref="E6:E7"/>
    <mergeCell ref="E11:E12"/>
    <mergeCell ref="P63:T63"/>
    <mergeCell ref="P46:T46"/>
    <mergeCell ref="P31:Y31"/>
    <mergeCell ref="P14:Y14"/>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37176-61EE-4588-ADCE-41641C14722A}">
  <sheetPr codeName="Sheet8">
    <tabColor theme="4"/>
  </sheetPr>
  <dimension ref="B1:I83"/>
  <sheetViews>
    <sheetView showGridLines="0" topLeftCell="A3" workbookViewId="0">
      <selection activeCell="J39" sqref="J39"/>
    </sheetView>
  </sheetViews>
  <sheetFormatPr baseColWidth="10" defaultColWidth="9" defaultRowHeight="15" x14ac:dyDescent="0.2"/>
  <cols>
    <col min="1" max="1" width="2" style="58" customWidth="1"/>
    <col min="2" max="2" width="57" style="58" bestFit="1" customWidth="1"/>
    <col min="3" max="9" width="17.5" style="58" customWidth="1"/>
    <col min="10" max="18" width="9" style="58"/>
    <col min="19" max="19" width="3.83203125" style="58" customWidth="1"/>
    <col min="20" max="16384" width="9" style="58"/>
  </cols>
  <sheetData>
    <row r="1" spans="2:9" x14ac:dyDescent="0.2">
      <c r="B1" s="434"/>
      <c r="C1" s="435"/>
      <c r="E1" s="434"/>
    </row>
    <row r="2" spans="2:9" x14ac:dyDescent="0.2">
      <c r="B2" s="59" t="s">
        <v>296</v>
      </c>
      <c r="C2" s="434"/>
      <c r="E2" s="434"/>
    </row>
    <row r="3" spans="2:9" x14ac:dyDescent="0.2">
      <c r="I3" s="58" t="s">
        <v>297</v>
      </c>
    </row>
    <row r="4" spans="2:9" x14ac:dyDescent="0.2">
      <c r="B4" s="59" t="s">
        <v>298</v>
      </c>
      <c r="C4" s="436">
        <v>1</v>
      </c>
      <c r="D4" s="436">
        <v>2</v>
      </c>
      <c r="E4" s="436">
        <v>3</v>
      </c>
      <c r="F4" s="436">
        <v>4</v>
      </c>
      <c r="G4" s="436">
        <v>5</v>
      </c>
      <c r="I4" s="437">
        <f>WACC</f>
        <v>7.0000000000000007E-2</v>
      </c>
    </row>
    <row r="5" spans="2:9" x14ac:dyDescent="0.2">
      <c r="C5" s="438" t="s">
        <v>299</v>
      </c>
      <c r="D5" s="438" t="s">
        <v>300</v>
      </c>
      <c r="E5" s="438" t="s">
        <v>301</v>
      </c>
      <c r="F5" s="438" t="s">
        <v>302</v>
      </c>
      <c r="G5" s="438" t="s">
        <v>303</v>
      </c>
      <c r="H5" s="439" t="s">
        <v>185</v>
      </c>
      <c r="I5" s="438" t="s">
        <v>304</v>
      </c>
    </row>
    <row r="6" spans="2:9" x14ac:dyDescent="0.2">
      <c r="B6" s="440" t="s">
        <v>305</v>
      </c>
      <c r="C6" s="441"/>
      <c r="D6" s="441"/>
      <c r="E6" s="441"/>
      <c r="F6" s="441"/>
      <c r="G6" s="441"/>
      <c r="H6" s="442"/>
      <c r="I6" s="441"/>
    </row>
    <row r="7" spans="2:9" x14ac:dyDescent="0.2">
      <c r="B7" s="443"/>
      <c r="C7" s="441"/>
      <c r="D7" s="441"/>
      <c r="E7" s="441"/>
      <c r="F7" s="441"/>
      <c r="G7" s="441"/>
      <c r="H7" s="442"/>
      <c r="I7" s="441"/>
    </row>
    <row r="8" spans="2:9" x14ac:dyDescent="0.2">
      <c r="B8" s="444" t="s">
        <v>306</v>
      </c>
      <c r="C8" s="441" t="e">
        <f>'Detailed Financial Case'!D78-'Detailed Financial Case'!Q78</f>
        <v>#DIV/0!</v>
      </c>
      <c r="D8" s="441" t="e">
        <f>'Detailed Financial Case'!E78-'Detailed Financial Case'!R78</f>
        <v>#DIV/0!</v>
      </c>
      <c r="E8" s="441" t="e">
        <f>'Detailed Financial Case'!F78-'Detailed Financial Case'!S78</f>
        <v>#DIV/0!</v>
      </c>
      <c r="F8" s="441" t="e">
        <f>'Detailed Financial Case'!G78-'Detailed Financial Case'!T78</f>
        <v>#DIV/0!</v>
      </c>
      <c r="G8" s="441" t="e">
        <f>'Detailed Financial Case'!H78-'Detailed Financial Case'!U78</f>
        <v>#DIV/0!</v>
      </c>
      <c r="H8" s="442" t="e">
        <f t="shared" ref="H8:H17" si="0">SUM(C8:G8)</f>
        <v>#DIV/0!</v>
      </c>
      <c r="I8" s="441" t="e">
        <f>H9</f>
        <v>#DIV/0!</v>
      </c>
    </row>
    <row r="9" spans="2:9" x14ac:dyDescent="0.2">
      <c r="B9" s="443"/>
      <c r="C9" s="445" t="e">
        <f>C8/(1+$I$4)^C$4</f>
        <v>#DIV/0!</v>
      </c>
      <c r="D9" s="445" t="e">
        <f>D8/(1+$I$4)^D$4</f>
        <v>#DIV/0!</v>
      </c>
      <c r="E9" s="445" t="e">
        <f>E8/(1+$I$4)^E$4</f>
        <v>#DIV/0!</v>
      </c>
      <c r="F9" s="445" t="e">
        <f>F8/(1+$I$4)^F$4</f>
        <v>#DIV/0!</v>
      </c>
      <c r="G9" s="445" t="e">
        <f>G8/(1+$I$4)^G$4</f>
        <v>#DIV/0!</v>
      </c>
      <c r="H9" s="446" t="e">
        <f t="shared" si="0"/>
        <v>#DIV/0!</v>
      </c>
      <c r="I9" s="441"/>
    </row>
    <row r="10" spans="2:9" x14ac:dyDescent="0.2">
      <c r="B10" s="444" t="s">
        <v>307</v>
      </c>
      <c r="C10" s="441">
        <f>'Detailed Financial Case'!D79-'Detailed Financial Case'!Q79</f>
        <v>0</v>
      </c>
      <c r="D10" s="441">
        <f>'Detailed Financial Case'!E79-'Detailed Financial Case'!R79</f>
        <v>0</v>
      </c>
      <c r="E10" s="441">
        <f>'Detailed Financial Case'!F79-'Detailed Financial Case'!S79</f>
        <v>0</v>
      </c>
      <c r="F10" s="441">
        <f>'Detailed Financial Case'!G79-'Detailed Financial Case'!T79</f>
        <v>0</v>
      </c>
      <c r="G10" s="441">
        <f>'Detailed Financial Case'!H79-'Detailed Financial Case'!U79</f>
        <v>0</v>
      </c>
      <c r="H10" s="442">
        <f t="shared" si="0"/>
        <v>0</v>
      </c>
      <c r="I10" s="441">
        <f>H11</f>
        <v>0</v>
      </c>
    </row>
    <row r="11" spans="2:9" ht="16" thickBot="1" x14ac:dyDescent="0.25">
      <c r="B11" s="443"/>
      <c r="C11" s="445">
        <f>C10/(1+$I$4)^C$4</f>
        <v>0</v>
      </c>
      <c r="D11" s="445">
        <f>D10/(1+$I$4)^D$4</f>
        <v>0</v>
      </c>
      <c r="E11" s="445">
        <f>E10/(1+$I$4)^E$4</f>
        <v>0</v>
      </c>
      <c r="F11" s="445">
        <f>F10/(1+$I$4)^F$4</f>
        <v>0</v>
      </c>
      <c r="G11" s="445">
        <f>G10/(1+$I$4)^G$4</f>
        <v>0</v>
      </c>
      <c r="H11" s="446">
        <f t="shared" si="0"/>
        <v>0</v>
      </c>
      <c r="I11" s="441"/>
    </row>
    <row r="12" spans="2:9" ht="16" hidden="1" thickBot="1" x14ac:dyDescent="0.25">
      <c r="B12" s="447" t="s">
        <v>308</v>
      </c>
      <c r="C12" s="448"/>
      <c r="D12" s="448"/>
      <c r="E12" s="448"/>
      <c r="F12" s="448"/>
      <c r="G12" s="448"/>
      <c r="H12" s="449">
        <f t="shared" si="0"/>
        <v>0</v>
      </c>
      <c r="I12" s="441">
        <f>H13</f>
        <v>0</v>
      </c>
    </row>
    <row r="13" spans="2:9" ht="16" hidden="1" thickBot="1" x14ac:dyDescent="0.25">
      <c r="B13" s="450"/>
      <c r="C13" s="451">
        <f>C12/(1+$I$4)^C$4</f>
        <v>0</v>
      </c>
      <c r="D13" s="451">
        <f>D12/(1+$I$4)^D$4</f>
        <v>0</v>
      </c>
      <c r="E13" s="451">
        <f>E12/(1+$I$4)^E$4</f>
        <v>0</v>
      </c>
      <c r="F13" s="451">
        <f>F12/(1+$I$4)^F$4</f>
        <v>0</v>
      </c>
      <c r="G13" s="451">
        <f>G12/(1+$I$4)^G$4</f>
        <v>0</v>
      </c>
      <c r="H13" s="452">
        <f t="shared" si="0"/>
        <v>0</v>
      </c>
      <c r="I13" s="448"/>
    </row>
    <row r="14" spans="2:9" ht="16" hidden="1" thickBot="1" x14ac:dyDescent="0.25">
      <c r="B14" s="447" t="s">
        <v>309</v>
      </c>
      <c r="C14" s="448"/>
      <c r="D14" s="448"/>
      <c r="E14" s="448"/>
      <c r="F14" s="448"/>
      <c r="G14" s="448"/>
      <c r="H14" s="449">
        <f t="shared" si="0"/>
        <v>0</v>
      </c>
      <c r="I14" s="441">
        <f>H15</f>
        <v>0</v>
      </c>
    </row>
    <row r="15" spans="2:9" ht="16" hidden="1" thickBot="1" x14ac:dyDescent="0.25">
      <c r="B15" s="450"/>
      <c r="C15" s="451">
        <f>C14/(1+$I$4)^C$4</f>
        <v>0</v>
      </c>
      <c r="D15" s="451">
        <f>D14/(1+$I$4)^D$4</f>
        <v>0</v>
      </c>
      <c r="E15" s="451">
        <f>E14/(1+$I$4)^E$4</f>
        <v>0</v>
      </c>
      <c r="F15" s="451">
        <f>F14/(1+$I$4)^F$4</f>
        <v>0</v>
      </c>
      <c r="G15" s="451">
        <f>G14/(1+$I$4)^G$4</f>
        <v>0</v>
      </c>
      <c r="H15" s="452">
        <f t="shared" si="0"/>
        <v>0</v>
      </c>
      <c r="I15" s="448"/>
    </row>
    <row r="16" spans="2:9" ht="16" hidden="1" thickBot="1" x14ac:dyDescent="0.25">
      <c r="B16" s="447" t="s">
        <v>310</v>
      </c>
      <c r="C16" s="448"/>
      <c r="D16" s="448"/>
      <c r="E16" s="448"/>
      <c r="F16" s="448"/>
      <c r="G16" s="448"/>
      <c r="H16" s="449">
        <f t="shared" si="0"/>
        <v>0</v>
      </c>
      <c r="I16" s="441">
        <f>H17</f>
        <v>0</v>
      </c>
    </row>
    <row r="17" spans="2:9" ht="16" hidden="1" thickBot="1" x14ac:dyDescent="0.25">
      <c r="B17" s="450"/>
      <c r="C17" s="451">
        <f>C16/(1+$I$4)^C$4</f>
        <v>0</v>
      </c>
      <c r="D17" s="451">
        <f>D16/(1+$I$4)^D$4</f>
        <v>0</v>
      </c>
      <c r="E17" s="451">
        <f>E16/(1+$I$4)^E$4</f>
        <v>0</v>
      </c>
      <c r="F17" s="451">
        <f>F16/(1+$I$4)^F$4</f>
        <v>0</v>
      </c>
      <c r="G17" s="451">
        <f>G16/(1+$I$4)^G$4</f>
        <v>0</v>
      </c>
      <c r="H17" s="452">
        <f t="shared" si="0"/>
        <v>0</v>
      </c>
      <c r="I17" s="448"/>
    </row>
    <row r="18" spans="2:9" ht="16" thickBot="1" x14ac:dyDescent="0.25">
      <c r="B18" s="453" t="s">
        <v>311</v>
      </c>
      <c r="C18" s="454" t="e">
        <f t="shared" ref="C18:I18" si="1">SUM(C16,C14,C12,C10,C8)</f>
        <v>#DIV/0!</v>
      </c>
      <c r="D18" s="454" t="e">
        <f t="shared" si="1"/>
        <v>#DIV/0!</v>
      </c>
      <c r="E18" s="454" t="e">
        <f t="shared" si="1"/>
        <v>#DIV/0!</v>
      </c>
      <c r="F18" s="454" t="e">
        <f t="shared" si="1"/>
        <v>#DIV/0!</v>
      </c>
      <c r="G18" s="454" t="e">
        <f t="shared" si="1"/>
        <v>#DIV/0!</v>
      </c>
      <c r="H18" s="455" t="e">
        <f t="shared" si="1"/>
        <v>#DIV/0!</v>
      </c>
      <c r="I18" s="456" t="e">
        <f t="shared" si="1"/>
        <v>#DIV/0!</v>
      </c>
    </row>
    <row r="19" spans="2:9" x14ac:dyDescent="0.2">
      <c r="B19" s="443"/>
      <c r="C19" s="445" t="e">
        <f t="shared" ref="C19:H19" si="2">SUM(C17,C15,C13,C11,C9)</f>
        <v>#DIV/0!</v>
      </c>
      <c r="D19" s="445" t="e">
        <f t="shared" si="2"/>
        <v>#DIV/0!</v>
      </c>
      <c r="E19" s="445" t="e">
        <f t="shared" si="2"/>
        <v>#DIV/0!</v>
      </c>
      <c r="F19" s="445" t="e">
        <f t="shared" si="2"/>
        <v>#DIV/0!</v>
      </c>
      <c r="G19" s="445" t="e">
        <f t="shared" si="2"/>
        <v>#DIV/0!</v>
      </c>
      <c r="H19" s="446" t="e">
        <f t="shared" si="2"/>
        <v>#DIV/0!</v>
      </c>
      <c r="I19" s="441"/>
    </row>
    <row r="20" spans="2:9" x14ac:dyDescent="0.2">
      <c r="B20" s="440" t="s">
        <v>312</v>
      </c>
      <c r="C20" s="441"/>
      <c r="D20" s="441"/>
      <c r="E20" s="441"/>
      <c r="F20" s="441"/>
      <c r="G20" s="441"/>
      <c r="H20" s="442"/>
      <c r="I20" s="441"/>
    </row>
    <row r="21" spans="2:9" x14ac:dyDescent="0.2">
      <c r="B21" s="443"/>
      <c r="C21" s="441"/>
      <c r="D21" s="441"/>
      <c r="E21" s="441"/>
      <c r="F21" s="441"/>
      <c r="G21" s="441"/>
      <c r="H21" s="442"/>
      <c r="I21" s="441"/>
    </row>
    <row r="22" spans="2:9" x14ac:dyDescent="0.2">
      <c r="B22" s="444" t="s">
        <v>313</v>
      </c>
      <c r="C22" s="441">
        <f>'Detailed Financial Case'!D80-'Detailed Financial Case'!Q80</f>
        <v>0</v>
      </c>
      <c r="D22" s="441">
        <f>'Detailed Financial Case'!E80-'Detailed Financial Case'!R80</f>
        <v>0</v>
      </c>
      <c r="E22" s="441">
        <f>'Detailed Financial Case'!F80-'Detailed Financial Case'!S80</f>
        <v>0</v>
      </c>
      <c r="F22" s="441">
        <f>'Detailed Financial Case'!G80-'Detailed Financial Case'!T80</f>
        <v>0</v>
      </c>
      <c r="G22" s="441">
        <f>'Detailed Financial Case'!H80-'Detailed Financial Case'!U80</f>
        <v>0</v>
      </c>
      <c r="H22" s="442">
        <f t="shared" ref="H22:H27" si="3">SUM(C22:G22)</f>
        <v>0</v>
      </c>
      <c r="I22" s="441">
        <f>H23</f>
        <v>0</v>
      </c>
    </row>
    <row r="23" spans="2:9" x14ac:dyDescent="0.2">
      <c r="B23" s="443"/>
      <c r="C23" s="445">
        <f>C22/(1+$I$4)^C$4</f>
        <v>0</v>
      </c>
      <c r="D23" s="445">
        <f>D22/(1+$I$4)^D$4</f>
        <v>0</v>
      </c>
      <c r="E23" s="445">
        <f>E22/(1+$I$4)^E$4</f>
        <v>0</v>
      </c>
      <c r="F23" s="445">
        <f>F22/(1+$I$4)^F$4</f>
        <v>0</v>
      </c>
      <c r="G23" s="445">
        <f>G22/(1+$I$4)^G$4</f>
        <v>0</v>
      </c>
      <c r="H23" s="446">
        <f t="shared" si="3"/>
        <v>0</v>
      </c>
      <c r="I23" s="441"/>
    </row>
    <row r="24" spans="2:9" x14ac:dyDescent="0.2">
      <c r="B24" s="444" t="s">
        <v>314</v>
      </c>
      <c r="C24" s="441">
        <f>'Detailed Financial Case'!D81-'Detailed Financial Case'!Q81</f>
        <v>0</v>
      </c>
      <c r="D24" s="441">
        <f>'Detailed Financial Case'!E81-'Detailed Financial Case'!R81</f>
        <v>0</v>
      </c>
      <c r="E24" s="441">
        <f>'Detailed Financial Case'!F81-'Detailed Financial Case'!S81</f>
        <v>0</v>
      </c>
      <c r="F24" s="441">
        <f>'Detailed Financial Case'!G81-'Detailed Financial Case'!T81</f>
        <v>0</v>
      </c>
      <c r="G24" s="441">
        <f>'Detailed Financial Case'!H81-'Detailed Financial Case'!U81</f>
        <v>0</v>
      </c>
      <c r="H24" s="442">
        <f t="shared" si="3"/>
        <v>0</v>
      </c>
      <c r="I24" s="441">
        <f>H25</f>
        <v>0</v>
      </c>
    </row>
    <row r="25" spans="2:9" hidden="1" x14ac:dyDescent="0.2">
      <c r="B25" s="457"/>
      <c r="C25" s="458">
        <f>C24/(1+$I$4)^C$4</f>
        <v>0</v>
      </c>
      <c r="D25" s="458">
        <f>D24/(1+$I$4)^D$4</f>
        <v>0</v>
      </c>
      <c r="E25" s="458">
        <f>E24/(1+$I$4)^E$4</f>
        <v>0</v>
      </c>
      <c r="F25" s="458">
        <f>F24/(1+$I$4)^F$4</f>
        <v>0</v>
      </c>
      <c r="G25" s="458">
        <f>G24/(1+$I$4)^G$4</f>
        <v>0</v>
      </c>
      <c r="H25" s="459">
        <f t="shared" si="3"/>
        <v>0</v>
      </c>
      <c r="I25" s="458"/>
    </row>
    <row r="26" spans="2:9" hidden="1" x14ac:dyDescent="0.2">
      <c r="B26" s="447" t="s">
        <v>315</v>
      </c>
      <c r="C26" s="460"/>
      <c r="D26" s="460"/>
      <c r="E26" s="460"/>
      <c r="F26" s="460"/>
      <c r="G26" s="460"/>
      <c r="H26" s="461">
        <f t="shared" si="3"/>
        <v>0</v>
      </c>
      <c r="I26" s="458">
        <f>H27</f>
        <v>0</v>
      </c>
    </row>
    <row r="27" spans="2:9" hidden="1" x14ac:dyDescent="0.2">
      <c r="B27" s="450"/>
      <c r="C27" s="460">
        <f>C26/(1+$I$4)^C$4</f>
        <v>0</v>
      </c>
      <c r="D27" s="460">
        <f>D26/(1+$I$4)^D$4</f>
        <v>0</v>
      </c>
      <c r="E27" s="460">
        <f>E26/(1+$I$4)^E$4</f>
        <v>0</v>
      </c>
      <c r="F27" s="460">
        <f>F26/(1+$I$4)^F$4</f>
        <v>0</v>
      </c>
      <c r="G27" s="460">
        <f>G26/(1+$I$4)^G$4</f>
        <v>0</v>
      </c>
      <c r="H27" s="461">
        <f t="shared" si="3"/>
        <v>0</v>
      </c>
      <c r="I27" s="460"/>
    </row>
    <row r="28" spans="2:9" x14ac:dyDescent="0.2">
      <c r="B28" s="453" t="s">
        <v>316</v>
      </c>
      <c r="C28" s="454">
        <f t="shared" ref="C28:I28" si="4">SUM(C26,C24,C22)</f>
        <v>0</v>
      </c>
      <c r="D28" s="454">
        <f t="shared" si="4"/>
        <v>0</v>
      </c>
      <c r="E28" s="454">
        <f t="shared" si="4"/>
        <v>0</v>
      </c>
      <c r="F28" s="454">
        <f t="shared" si="4"/>
        <v>0</v>
      </c>
      <c r="G28" s="454">
        <f t="shared" si="4"/>
        <v>0</v>
      </c>
      <c r="H28" s="455">
        <f t="shared" si="4"/>
        <v>0</v>
      </c>
      <c r="I28" s="454">
        <f t="shared" si="4"/>
        <v>0</v>
      </c>
    </row>
    <row r="29" spans="2:9" ht="16" thickBot="1" x14ac:dyDescent="0.25">
      <c r="B29" s="462"/>
      <c r="C29" s="445">
        <f t="shared" ref="C29:H29" si="5">SUM(C27,C25,C23)</f>
        <v>0</v>
      </c>
      <c r="D29" s="445">
        <f t="shared" si="5"/>
        <v>0</v>
      </c>
      <c r="E29" s="445">
        <f t="shared" si="5"/>
        <v>0</v>
      </c>
      <c r="F29" s="445">
        <f t="shared" si="5"/>
        <v>0</v>
      </c>
      <c r="G29" s="445">
        <f t="shared" si="5"/>
        <v>0</v>
      </c>
      <c r="H29" s="446">
        <f t="shared" si="5"/>
        <v>0</v>
      </c>
      <c r="I29" s="441"/>
    </row>
    <row r="30" spans="2:9" ht="16" thickBot="1" x14ac:dyDescent="0.25">
      <c r="B30" s="453" t="s">
        <v>317</v>
      </c>
      <c r="C30" s="454" t="e">
        <f t="shared" ref="C30:I30" si="6">C18+C28</f>
        <v>#DIV/0!</v>
      </c>
      <c r="D30" s="454" t="e">
        <f t="shared" si="6"/>
        <v>#DIV/0!</v>
      </c>
      <c r="E30" s="454" t="e">
        <f t="shared" si="6"/>
        <v>#DIV/0!</v>
      </c>
      <c r="F30" s="454" t="e">
        <f t="shared" si="6"/>
        <v>#DIV/0!</v>
      </c>
      <c r="G30" s="454" t="e">
        <f t="shared" si="6"/>
        <v>#DIV/0!</v>
      </c>
      <c r="H30" s="455" t="e">
        <f t="shared" si="6"/>
        <v>#DIV/0!</v>
      </c>
      <c r="I30" s="456" t="e">
        <f t="shared" si="6"/>
        <v>#DIV/0!</v>
      </c>
    </row>
    <row r="31" spans="2:9" ht="16" thickBot="1" x14ac:dyDescent="0.25">
      <c r="B31" s="462" t="s">
        <v>236</v>
      </c>
      <c r="C31" s="463" t="e">
        <f t="shared" ref="C31:H31" si="7">C19+C29</f>
        <v>#DIV/0!</v>
      </c>
      <c r="D31" s="463" t="e">
        <f t="shared" si="7"/>
        <v>#DIV/0!</v>
      </c>
      <c r="E31" s="463" t="e">
        <f t="shared" si="7"/>
        <v>#DIV/0!</v>
      </c>
      <c r="F31" s="463" t="e">
        <f t="shared" si="7"/>
        <v>#DIV/0!</v>
      </c>
      <c r="G31" s="463" t="e">
        <f t="shared" si="7"/>
        <v>#DIV/0!</v>
      </c>
      <c r="H31" s="463" t="e">
        <f t="shared" si="7"/>
        <v>#DIV/0!</v>
      </c>
      <c r="I31" s="464">
        <f>IF(C40=0,0,-(G46+C40)/C40)</f>
        <v>0</v>
      </c>
    </row>
    <row r="32" spans="2:9" ht="16" thickBot="1" x14ac:dyDescent="0.25">
      <c r="B32" s="462" t="s">
        <v>318</v>
      </c>
      <c r="C32" s="465"/>
      <c r="D32" s="465"/>
      <c r="E32" s="465"/>
      <c r="F32" s="465"/>
      <c r="G32" s="465"/>
      <c r="H32" s="465"/>
      <c r="I32" s="466" t="e">
        <f>SUM(C47:G47)</f>
        <v>#DIV/0!</v>
      </c>
    </row>
    <row r="35" spans="2:8" x14ac:dyDescent="0.2">
      <c r="B35" s="467"/>
    </row>
    <row r="38" spans="2:8" x14ac:dyDescent="0.2">
      <c r="B38" s="468" t="s">
        <v>319</v>
      </c>
    </row>
    <row r="40" spans="2:8" x14ac:dyDescent="0.2">
      <c r="B40" s="58" t="s">
        <v>320</v>
      </c>
      <c r="C40" s="469">
        <f>I24+I26</f>
        <v>0</v>
      </c>
      <c r="D40" s="470"/>
      <c r="E40" s="470"/>
      <c r="F40" s="470"/>
      <c r="G40" s="470"/>
    </row>
    <row r="43" spans="2:8" x14ac:dyDescent="0.2">
      <c r="B43" s="471" t="s">
        <v>304</v>
      </c>
      <c r="C43" s="438" t="s">
        <v>299</v>
      </c>
      <c r="D43" s="438" t="s">
        <v>300</v>
      </c>
      <c r="E43" s="438" t="s">
        <v>301</v>
      </c>
      <c r="F43" s="438" t="s">
        <v>302</v>
      </c>
      <c r="G43" s="438" t="s">
        <v>303</v>
      </c>
      <c r="H43" s="439" t="s">
        <v>185</v>
      </c>
    </row>
    <row r="44" spans="2:8" x14ac:dyDescent="0.2">
      <c r="B44" s="58" t="s">
        <v>321</v>
      </c>
      <c r="C44" s="469">
        <f>C23</f>
        <v>0</v>
      </c>
      <c r="D44" s="469">
        <f t="shared" ref="D44:G44" si="8">D23</f>
        <v>0</v>
      </c>
      <c r="E44" s="469">
        <f t="shared" si="8"/>
        <v>0</v>
      </c>
      <c r="F44" s="469">
        <f t="shared" si="8"/>
        <v>0</v>
      </c>
      <c r="G44" s="469">
        <f t="shared" si="8"/>
        <v>0</v>
      </c>
      <c r="H44" s="472">
        <f>SUM(C44:G44)</f>
        <v>0</v>
      </c>
    </row>
    <row r="45" spans="2:8" x14ac:dyDescent="0.2">
      <c r="B45" s="58" t="s">
        <v>322</v>
      </c>
      <c r="C45" s="469" t="e">
        <f>C19</f>
        <v>#DIV/0!</v>
      </c>
      <c r="D45" s="469" t="e">
        <f t="shared" ref="D45:G45" si="9">D19</f>
        <v>#DIV/0!</v>
      </c>
      <c r="E45" s="469" t="e">
        <f t="shared" si="9"/>
        <v>#DIV/0!</v>
      </c>
      <c r="F45" s="469" t="e">
        <f t="shared" si="9"/>
        <v>#DIV/0!</v>
      </c>
      <c r="G45" s="469" t="e">
        <f t="shared" si="9"/>
        <v>#DIV/0!</v>
      </c>
      <c r="H45" s="472" t="e">
        <f>SUM(C45:G45)</f>
        <v>#DIV/0!</v>
      </c>
    </row>
    <row r="46" spans="2:8" x14ac:dyDescent="0.2">
      <c r="B46" s="58" t="s">
        <v>323</v>
      </c>
      <c r="C46" s="469" t="e">
        <f>C45+C44</f>
        <v>#DIV/0!</v>
      </c>
      <c r="D46" s="469" t="e">
        <f>D45+D44+C46</f>
        <v>#DIV/0!</v>
      </c>
      <c r="E46" s="469" t="e">
        <f>E45+E44+D46</f>
        <v>#DIV/0!</v>
      </c>
      <c r="F46" s="469" t="e">
        <f>F45+F44+E46</f>
        <v>#DIV/0!</v>
      </c>
      <c r="G46" s="469" t="e">
        <f>G45+G44+F46</f>
        <v>#DIV/0!</v>
      </c>
      <c r="H46" s="472"/>
    </row>
    <row r="47" spans="2:8" x14ac:dyDescent="0.2">
      <c r="C47" s="473" t="e">
        <f>IF(AND(C46&lt;-$C$40,D46&gt;-$C$40),C4+(-$C$40-C46)/(D46-C46),)</f>
        <v>#DIV/0!</v>
      </c>
      <c r="D47" s="473" t="e">
        <f>IF(AND(D46&lt;-$C$40,E46&gt;-$C$40),D4+(-$C$40-D46)/(E46-D46),)</f>
        <v>#DIV/0!</v>
      </c>
      <c r="E47" s="473" t="e">
        <f>IF(AND(E46&lt;-$C$40,F46&gt;-$C$40),E4+(-$C$40-E46)/(F46-E46),)</f>
        <v>#DIV/0!</v>
      </c>
      <c r="F47" s="473" t="e">
        <f>IF(AND(F46&lt;-$C$40,G46&gt;-$C$40),F4+(-$C$40-F46)/(G46-F46),)</f>
        <v>#DIV/0!</v>
      </c>
      <c r="G47" s="473" t="e">
        <f>IF(G46&lt;-$C$40,"More than 5 years",)</f>
        <v>#DIV/0!</v>
      </c>
    </row>
    <row r="48" spans="2:8" x14ac:dyDescent="0.2">
      <c r="B48" s="58" t="s">
        <v>324</v>
      </c>
      <c r="C48" s="469">
        <f>-$C$40</f>
        <v>0</v>
      </c>
      <c r="D48" s="469">
        <f>-$C$40</f>
        <v>0</v>
      </c>
      <c r="E48" s="469">
        <f>-$C$40</f>
        <v>0</v>
      </c>
      <c r="F48" s="469">
        <f>-$C$40</f>
        <v>0</v>
      </c>
      <c r="G48" s="469">
        <f>-$C$40</f>
        <v>0</v>
      </c>
    </row>
    <row r="53" spans="2:3" x14ac:dyDescent="0.2">
      <c r="B53" s="589" t="s">
        <v>325</v>
      </c>
    </row>
    <row r="54" spans="2:3" x14ac:dyDescent="0.2">
      <c r="C54" s="58" t="s">
        <v>297</v>
      </c>
    </row>
    <row r="55" spans="2:3" x14ac:dyDescent="0.2">
      <c r="C55" s="437">
        <f>I4</f>
        <v>7.0000000000000007E-2</v>
      </c>
    </row>
    <row r="56" spans="2:3" x14ac:dyDescent="0.2">
      <c r="C56" s="438" t="s">
        <v>304</v>
      </c>
    </row>
    <row r="57" spans="2:3" x14ac:dyDescent="0.2">
      <c r="B57" s="440" t="s">
        <v>305</v>
      </c>
      <c r="C57" s="441"/>
    </row>
    <row r="58" spans="2:3" x14ac:dyDescent="0.2">
      <c r="B58" s="443"/>
      <c r="C58" s="441"/>
    </row>
    <row r="59" spans="2:3" x14ac:dyDescent="0.2">
      <c r="B59" s="444" t="s">
        <v>306</v>
      </c>
      <c r="C59" s="441" t="e">
        <f>I8</f>
        <v>#DIV/0!</v>
      </c>
    </row>
    <row r="60" spans="2:3" x14ac:dyDescent="0.2">
      <c r="B60" s="443"/>
      <c r="C60" s="441"/>
    </row>
    <row r="61" spans="2:3" x14ac:dyDescent="0.2">
      <c r="B61" s="444" t="s">
        <v>307</v>
      </c>
      <c r="C61" s="441">
        <f t="shared" ref="C61:C83" si="10">I10</f>
        <v>0</v>
      </c>
    </row>
    <row r="62" spans="2:3" x14ac:dyDescent="0.2">
      <c r="B62" s="443"/>
      <c r="C62" s="441"/>
    </row>
    <row r="63" spans="2:3" x14ac:dyDescent="0.2">
      <c r="B63" s="447" t="s">
        <v>308</v>
      </c>
      <c r="C63" s="441">
        <f t="shared" si="10"/>
        <v>0</v>
      </c>
    </row>
    <row r="64" spans="2:3" x14ac:dyDescent="0.2">
      <c r="B64" s="450"/>
      <c r="C64" s="448"/>
    </row>
    <row r="65" spans="2:3" x14ac:dyDescent="0.2">
      <c r="B65" s="447" t="s">
        <v>309</v>
      </c>
      <c r="C65" s="441">
        <f t="shared" si="10"/>
        <v>0</v>
      </c>
    </row>
    <row r="66" spans="2:3" x14ac:dyDescent="0.2">
      <c r="B66" s="450"/>
      <c r="C66" s="448"/>
    </row>
    <row r="67" spans="2:3" x14ac:dyDescent="0.2">
      <c r="B67" s="447" t="s">
        <v>310</v>
      </c>
      <c r="C67" s="441">
        <f t="shared" si="10"/>
        <v>0</v>
      </c>
    </row>
    <row r="68" spans="2:3" ht="16" thickBot="1" x14ac:dyDescent="0.25">
      <c r="B68" s="450"/>
      <c r="C68" s="448"/>
    </row>
    <row r="69" spans="2:3" ht="16" thickBot="1" x14ac:dyDescent="0.25">
      <c r="B69" s="453" t="s">
        <v>311</v>
      </c>
      <c r="C69" s="456" t="e">
        <f t="shared" si="10"/>
        <v>#DIV/0!</v>
      </c>
    </row>
    <row r="70" spans="2:3" x14ac:dyDescent="0.2">
      <c r="B70" s="443"/>
      <c r="C70" s="441"/>
    </row>
    <row r="71" spans="2:3" x14ac:dyDescent="0.2">
      <c r="B71" s="440" t="s">
        <v>312</v>
      </c>
      <c r="C71" s="441"/>
    </row>
    <row r="72" spans="2:3" x14ac:dyDescent="0.2">
      <c r="B72" s="443"/>
      <c r="C72" s="441"/>
    </row>
    <row r="73" spans="2:3" x14ac:dyDescent="0.2">
      <c r="B73" s="444" t="s">
        <v>313</v>
      </c>
      <c r="C73" s="441">
        <f t="shared" si="10"/>
        <v>0</v>
      </c>
    </row>
    <row r="74" spans="2:3" x14ac:dyDescent="0.2">
      <c r="B74" s="443"/>
      <c r="C74" s="441"/>
    </row>
    <row r="75" spans="2:3" x14ac:dyDescent="0.2">
      <c r="B75" s="444" t="s">
        <v>314</v>
      </c>
      <c r="C75" s="441">
        <f t="shared" si="10"/>
        <v>0</v>
      </c>
    </row>
    <row r="76" spans="2:3" x14ac:dyDescent="0.2">
      <c r="B76" s="457"/>
      <c r="C76" s="458"/>
    </row>
    <row r="77" spans="2:3" x14ac:dyDescent="0.2">
      <c r="B77" s="447" t="s">
        <v>315</v>
      </c>
      <c r="C77" s="458">
        <f t="shared" si="10"/>
        <v>0</v>
      </c>
    </row>
    <row r="78" spans="2:3" x14ac:dyDescent="0.2">
      <c r="B78" s="450"/>
      <c r="C78" s="460"/>
    </row>
    <row r="79" spans="2:3" x14ac:dyDescent="0.2">
      <c r="B79" s="453" t="s">
        <v>316</v>
      </c>
      <c r="C79" s="454">
        <f t="shared" si="10"/>
        <v>0</v>
      </c>
    </row>
    <row r="80" spans="2:3" ht="16" thickBot="1" x14ac:dyDescent="0.25">
      <c r="B80" s="462"/>
      <c r="C80" s="441">
        <f t="shared" si="10"/>
        <v>0</v>
      </c>
    </row>
    <row r="81" spans="2:3" ht="16" thickBot="1" x14ac:dyDescent="0.25">
      <c r="B81" s="453" t="s">
        <v>317</v>
      </c>
      <c r="C81" s="456" t="e">
        <f t="shared" si="10"/>
        <v>#DIV/0!</v>
      </c>
    </row>
    <row r="82" spans="2:3" ht="16" thickBot="1" x14ac:dyDescent="0.25">
      <c r="B82" s="462" t="s">
        <v>236</v>
      </c>
      <c r="C82" s="464">
        <f t="shared" si="10"/>
        <v>0</v>
      </c>
    </row>
    <row r="83" spans="2:3" ht="16" thickBot="1" x14ac:dyDescent="0.25">
      <c r="B83" s="462" t="s">
        <v>318</v>
      </c>
      <c r="C83" s="466" t="e">
        <f t="shared" si="10"/>
        <v>#DIV/0!</v>
      </c>
    </row>
  </sheetData>
  <pageMargins left="0.7" right="0.7" top="0.75" bottom="0.75" header="0.3" footer="0.3"/>
  <pageSetup orientation="portrait" r:id="rId1"/>
  <customProperties>
    <customPr name="EpmWorksheetKeyString_GU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8BCC1-6C8C-4FD5-AC36-409B138F9311}">
  <sheetPr codeName="Sheet9">
    <tabColor theme="4"/>
  </sheetPr>
  <dimension ref="B2:Y63"/>
  <sheetViews>
    <sheetView showGridLines="0" topLeftCell="A3" zoomScale="70" zoomScaleNormal="70" workbookViewId="0">
      <selection activeCell="Y32" sqref="Y32"/>
    </sheetView>
  </sheetViews>
  <sheetFormatPr baseColWidth="10" defaultColWidth="9" defaultRowHeight="15" outlineLevelCol="1" x14ac:dyDescent="0.2"/>
  <cols>
    <col min="1" max="1" width="2" style="58" customWidth="1"/>
    <col min="2" max="2" width="38.5" style="58" customWidth="1"/>
    <col min="3" max="3" width="15" style="58" hidden="1" customWidth="1" outlineLevel="1"/>
    <col min="4" max="4" width="1.5" style="58" hidden="1" customWidth="1" outlineLevel="1"/>
    <col min="5" max="5" width="13.83203125" style="58" hidden="1" customWidth="1" outlineLevel="1"/>
    <col min="6" max="6" width="7.5" style="58" hidden="1" customWidth="1" outlineLevel="1"/>
    <col min="7" max="7" width="16.5" style="58" bestFit="1" customWidth="1" collapsed="1"/>
    <col min="8" max="8" width="1.5" style="58" customWidth="1"/>
    <col min="9" max="9" width="13.83203125" style="58" customWidth="1"/>
    <col min="10" max="10" width="7.5" style="58" customWidth="1"/>
    <col min="11" max="11" width="22" style="58" customWidth="1"/>
    <col min="12" max="12" width="1.5" style="58" customWidth="1"/>
    <col min="13" max="13" width="13.83203125" style="58" customWidth="1"/>
    <col min="14" max="15" width="7.5" style="58" customWidth="1"/>
    <col min="16" max="16" width="7" style="58" customWidth="1"/>
    <col min="17" max="19" width="9" style="58"/>
    <col min="20" max="21" width="17.5" style="58" customWidth="1"/>
    <col min="22" max="22" width="9" style="58"/>
    <col min="23" max="23" width="2" style="58" customWidth="1"/>
    <col min="24" max="16384" width="9" style="58"/>
  </cols>
  <sheetData>
    <row r="2" spans="2:25" x14ac:dyDescent="0.2">
      <c r="B2" s="59" t="s">
        <v>326</v>
      </c>
    </row>
    <row r="4" spans="2:25" x14ac:dyDescent="0.2">
      <c r="C4" s="795" t="s">
        <v>327</v>
      </c>
      <c r="D4" s="795"/>
      <c r="E4" s="795"/>
      <c r="G4" s="796" t="s">
        <v>328</v>
      </c>
      <c r="H4" s="796"/>
      <c r="I4" s="796"/>
      <c r="K4" s="796" t="s">
        <v>329</v>
      </c>
      <c r="L4" s="796"/>
      <c r="M4" s="796"/>
      <c r="S4" s="330"/>
      <c r="T4" s="474"/>
      <c r="U4" s="474"/>
    </row>
    <row r="5" spans="2:25" x14ac:dyDescent="0.2">
      <c r="C5" s="475" t="s">
        <v>185</v>
      </c>
      <c r="E5" s="476" t="s">
        <v>330</v>
      </c>
      <c r="G5" s="475" t="s">
        <v>185</v>
      </c>
      <c r="I5" s="476" t="s">
        <v>330</v>
      </c>
      <c r="K5" s="475" t="s">
        <v>185</v>
      </c>
      <c r="M5" s="476" t="s">
        <v>330</v>
      </c>
      <c r="S5" s="330"/>
      <c r="T5" s="477" t="s">
        <v>330</v>
      </c>
      <c r="U5" s="477" t="s">
        <v>330</v>
      </c>
    </row>
    <row r="6" spans="2:25" x14ac:dyDescent="0.2">
      <c r="B6" s="58" t="s">
        <v>331</v>
      </c>
      <c r="C6" s="478" t="s">
        <v>332</v>
      </c>
      <c r="E6" s="479" t="s">
        <v>332</v>
      </c>
      <c r="G6" s="478" t="s">
        <v>332</v>
      </c>
      <c r="I6" s="479" t="s">
        <v>332</v>
      </c>
      <c r="K6" s="478" t="s">
        <v>333</v>
      </c>
      <c r="M6" s="478" t="s">
        <v>333</v>
      </c>
      <c r="S6" s="330"/>
      <c r="T6" s="474"/>
      <c r="U6" s="474"/>
    </row>
    <row r="7" spans="2:25" x14ac:dyDescent="0.2">
      <c r="B7" s="480"/>
      <c r="C7" s="478" t="s">
        <v>334</v>
      </c>
      <c r="E7" s="478" t="s">
        <v>334</v>
      </c>
      <c r="G7" s="478" t="s">
        <v>334</v>
      </c>
      <c r="I7" s="478" t="s">
        <v>334</v>
      </c>
      <c r="J7" s="467" t="s">
        <v>335</v>
      </c>
      <c r="K7" s="478" t="s">
        <v>334</v>
      </c>
      <c r="M7" s="478" t="s">
        <v>334</v>
      </c>
      <c r="N7" s="467" t="s">
        <v>335</v>
      </c>
      <c r="O7" s="621" t="s">
        <v>336</v>
      </c>
      <c r="S7" s="481" t="s">
        <v>337</v>
      </c>
      <c r="T7" s="474" t="s">
        <v>173</v>
      </c>
      <c r="U7" s="474" t="s">
        <v>172</v>
      </c>
    </row>
    <row r="8" spans="2:25" x14ac:dyDescent="0.2">
      <c r="B8" s="619" t="s">
        <v>338</v>
      </c>
      <c r="C8" s="482" t="e">
        <f>'Status Quo Estimation'!E7*(1-'Detailed Financial Case'!AD8)</f>
        <v>#DIV/0!</v>
      </c>
      <c r="E8" s="482">
        <f>IF($G$53=0,0,C8/$G$53)</f>
        <v>0</v>
      </c>
      <c r="G8" s="482" t="e">
        <f>C8*'1-Client Variables'!$D$11</f>
        <v>#DIV/0!</v>
      </c>
      <c r="I8" s="482">
        <f>IF($G$53=0,0,G8/$G$53)</f>
        <v>0</v>
      </c>
      <c r="J8" s="467"/>
      <c r="K8" s="482" t="e">
        <f>'Detailed Financial Case'!Z8</f>
        <v>#DIV/0!</v>
      </c>
      <c r="M8" s="482">
        <f>IF($G$53=0,0,K8/$G$53)</f>
        <v>0</v>
      </c>
      <c r="N8" s="467"/>
      <c r="O8" s="622" t="e">
        <f>IF(G8=0,"",(K8-G8)/G8)</f>
        <v>#DIV/0!</v>
      </c>
      <c r="S8" s="481" t="str">
        <f>B19</f>
        <v>Hardware Costs</v>
      </c>
      <c r="T8" s="483">
        <f>I19</f>
        <v>0</v>
      </c>
      <c r="U8" s="483">
        <f>M19</f>
        <v>0</v>
      </c>
      <c r="Y8" s="304"/>
    </row>
    <row r="9" spans="2:25" x14ac:dyDescent="0.2">
      <c r="B9" s="619" t="s">
        <v>339</v>
      </c>
      <c r="C9" s="482" t="e">
        <f>'Status Quo Estimation'!C94*(1-'Detailed Financial Case'!AD9)</f>
        <v>#DIV/0!</v>
      </c>
      <c r="E9" s="482">
        <f>IF($G$53=0,0,C9/$G$53)</f>
        <v>0</v>
      </c>
      <c r="G9" s="482" t="e">
        <f>C9*'1-Client Variables'!$D$11</f>
        <v>#DIV/0!</v>
      </c>
      <c r="I9" s="482">
        <f>IF($G$53=0,0,G9/$G$53)</f>
        <v>0</v>
      </c>
      <c r="J9" s="467"/>
      <c r="K9" s="482" t="e">
        <f>'Detailed Financial Case'!Z9</f>
        <v>#DIV/0!</v>
      </c>
      <c r="M9" s="482">
        <f>IF($G$53=0,0,K9/$G$53)</f>
        <v>0</v>
      </c>
      <c r="N9" s="467"/>
      <c r="O9" s="622" t="e">
        <f>IF(G9=0,"",(K9-G9)/G9)</f>
        <v>#DIV/0!</v>
      </c>
      <c r="S9" s="481" t="str">
        <f>B21</f>
        <v>Bandwidth Costs</v>
      </c>
      <c r="T9" s="483">
        <f>I21</f>
        <v>0</v>
      </c>
      <c r="U9" s="483">
        <f>M21</f>
        <v>0</v>
      </c>
    </row>
    <row r="10" spans="2:25" x14ac:dyDescent="0.2">
      <c r="B10" s="619"/>
      <c r="C10" s="484"/>
      <c r="E10" s="485"/>
      <c r="G10" s="484"/>
      <c r="I10" s="485"/>
      <c r="J10" s="467"/>
      <c r="K10" s="484"/>
      <c r="M10" s="485"/>
      <c r="N10" s="467"/>
      <c r="O10" s="621"/>
      <c r="S10" s="481" t="str">
        <f>B23</f>
        <v>DC Lease (Space) Cost</v>
      </c>
      <c r="T10" s="483">
        <f>I23</f>
        <v>0</v>
      </c>
      <c r="U10" s="483">
        <f>M23</f>
        <v>0</v>
      </c>
    </row>
    <row r="11" spans="2:25" x14ac:dyDescent="0.2">
      <c r="B11" s="619" t="s">
        <v>340</v>
      </c>
      <c r="C11" s="482">
        <f>'Status Quo Estimation'!E19*(1-'Detailed Financial Case'!AD10)</f>
        <v>0</v>
      </c>
      <c r="E11" s="482">
        <f>IF($G$53=0,0,C11/$G$53)</f>
        <v>0</v>
      </c>
      <c r="G11" s="482">
        <f>C11*'1-Client Variables'!$D$11</f>
        <v>0</v>
      </c>
      <c r="I11" s="482">
        <f>IF($G$53=0,0,G11/$G$53)</f>
        <v>0</v>
      </c>
      <c r="J11" s="467"/>
      <c r="K11" s="482">
        <f>'Detailed Financial Case'!Z10</f>
        <v>0</v>
      </c>
      <c r="M11" s="482">
        <f>IF($G$53=0,0,K11/$G$53)</f>
        <v>0</v>
      </c>
      <c r="N11" s="467"/>
      <c r="O11" s="622" t="str">
        <f t="shared" ref="O11:O14" si="0">IF(G11=0,"",(K11-G11)/G11)</f>
        <v/>
      </c>
      <c r="S11" s="481" t="str">
        <f>B24</f>
        <v>DC Power Cost</v>
      </c>
      <c r="T11" s="483">
        <f>I24</f>
        <v>0</v>
      </c>
      <c r="U11" s="483">
        <f>M24</f>
        <v>0</v>
      </c>
    </row>
    <row r="12" spans="2:25" x14ac:dyDescent="0.2">
      <c r="B12" s="619" t="s">
        <v>341</v>
      </c>
      <c r="C12" s="482">
        <f>'Status Quo Estimation'!C102*(1-'Detailed Financial Case'!AD11)</f>
        <v>0</v>
      </c>
      <c r="E12" s="482">
        <f>IF($G$53=0,0,C12/$G$53)</f>
        <v>0</v>
      </c>
      <c r="G12" s="482">
        <f>C12*'1-Client Variables'!$D$11</f>
        <v>0</v>
      </c>
      <c r="I12" s="482">
        <f>IF($G$53=0,0,G12/$G$53)</f>
        <v>0</v>
      </c>
      <c r="J12" s="467"/>
      <c r="K12" s="482">
        <f>'Detailed Financial Case'!Z11</f>
        <v>0</v>
      </c>
      <c r="M12" s="482">
        <f>IF($G$53=0,0,K12/$G$53)</f>
        <v>0</v>
      </c>
      <c r="N12" s="467"/>
      <c r="O12" s="622" t="str">
        <f t="shared" si="0"/>
        <v/>
      </c>
      <c r="S12" s="481" t="str">
        <f>B36</f>
        <v>Licenses Costs</v>
      </c>
      <c r="T12" s="483">
        <f>I36</f>
        <v>0</v>
      </c>
      <c r="U12" s="483">
        <f>M36</f>
        <v>0</v>
      </c>
    </row>
    <row r="13" spans="2:25" x14ac:dyDescent="0.2">
      <c r="B13" s="619" t="s">
        <v>342</v>
      </c>
      <c r="C13" s="482">
        <f>'Status Quo Estimation'!C118*(1-'Detailed Financial Case'!AD12)</f>
        <v>0</v>
      </c>
      <c r="E13" s="482">
        <f>IF($G$53=0,0,C13/$G$53)</f>
        <v>0</v>
      </c>
      <c r="G13" s="482">
        <f>C13*'1-Client Variables'!$D$11</f>
        <v>0</v>
      </c>
      <c r="I13" s="482">
        <f>IF($G$53=0,0,G13/$G$53)</f>
        <v>0</v>
      </c>
      <c r="J13" s="467"/>
      <c r="K13" s="482">
        <f>'Detailed Financial Case'!Z12</f>
        <v>0</v>
      </c>
      <c r="M13" s="482">
        <f>IF($G$53=0,0,K13/$G$53)</f>
        <v>0</v>
      </c>
      <c r="N13" s="467"/>
      <c r="O13" s="622" t="str">
        <f t="shared" si="0"/>
        <v/>
      </c>
      <c r="S13" s="481" t="str">
        <f>B41</f>
        <v>IT Operations Costs</v>
      </c>
      <c r="T13" s="483">
        <f>I41</f>
        <v>0</v>
      </c>
      <c r="U13" s="483">
        <f>M41</f>
        <v>0</v>
      </c>
    </row>
    <row r="14" spans="2:25" x14ac:dyDescent="0.2">
      <c r="B14" s="619" t="s">
        <v>343</v>
      </c>
      <c r="C14" s="482">
        <f>'Status Quo Estimation'!C128*(1-'Detailed Financial Case'!AD13)</f>
        <v>0</v>
      </c>
      <c r="E14" s="482">
        <f>IF($G$53=0,0,C14/$G$53)</f>
        <v>0</v>
      </c>
      <c r="G14" s="482">
        <f>C14*'1-Client Variables'!$D$11</f>
        <v>0</v>
      </c>
      <c r="I14" s="482">
        <f>IF($G$53=0,0,G14/$G$53)</f>
        <v>0</v>
      </c>
      <c r="J14" s="467"/>
      <c r="K14" s="482">
        <f>'Detailed Financial Case'!Z13</f>
        <v>0</v>
      </c>
      <c r="M14" s="482">
        <f>IF($G$53=0,0,K14/$G$53)</f>
        <v>0</v>
      </c>
      <c r="N14" s="467"/>
      <c r="O14" s="622" t="str">
        <f t="shared" si="0"/>
        <v/>
      </c>
      <c r="S14" s="481" t="str">
        <f>B43</f>
        <v>Azure Run Rate</v>
      </c>
      <c r="T14" s="483">
        <f>I43</f>
        <v>0</v>
      </c>
      <c r="U14" s="483">
        <f>M43</f>
        <v>0</v>
      </c>
    </row>
    <row r="15" spans="2:25" x14ac:dyDescent="0.2">
      <c r="B15" s="619"/>
      <c r="C15" s="484"/>
      <c r="E15" s="485"/>
      <c r="G15" s="484"/>
      <c r="I15" s="485"/>
      <c r="J15" s="467"/>
      <c r="K15" s="484"/>
      <c r="M15" s="485"/>
      <c r="N15" s="467"/>
      <c r="O15" s="621"/>
      <c r="S15" s="481" t="str">
        <f>B44</f>
        <v>Azure Compute (New)</v>
      </c>
      <c r="T15" s="483"/>
      <c r="U15" s="483">
        <f>M44</f>
        <v>0</v>
      </c>
    </row>
    <row r="16" spans="2:25" x14ac:dyDescent="0.2">
      <c r="B16" s="619" t="s">
        <v>344</v>
      </c>
      <c r="C16" s="482">
        <f>'Status Quo Estimation'!E32*(1-'Detailed Financial Case'!AD14)</f>
        <v>0</v>
      </c>
      <c r="E16" s="482">
        <f>IF($G$53=0,0,C16/$G$53)</f>
        <v>0</v>
      </c>
      <c r="G16" s="482">
        <f>C16*'1-Client Variables'!$D$11</f>
        <v>0</v>
      </c>
      <c r="I16" s="482">
        <f>IF($G$53=0,0,G16/$G$53)</f>
        <v>0</v>
      </c>
      <c r="J16" s="467"/>
      <c r="K16" s="482">
        <f>'Detailed Financial Case'!Z14</f>
        <v>0</v>
      </c>
      <c r="M16" s="482">
        <f>IF($G$53=0,0,K16/$G$53)</f>
        <v>0</v>
      </c>
      <c r="N16" s="467"/>
      <c r="O16" s="622" t="str">
        <f>IF(G16=0,"",(K16-G16)/G16)</f>
        <v/>
      </c>
      <c r="S16" s="481" t="str">
        <f>B45</f>
        <v>Azure Storage (New)</v>
      </c>
      <c r="T16" s="483"/>
      <c r="U16" s="483">
        <f>M45</f>
        <v>0</v>
      </c>
    </row>
    <row r="17" spans="2:21" x14ac:dyDescent="0.2">
      <c r="B17" s="619" t="s">
        <v>345</v>
      </c>
      <c r="C17" s="482">
        <f>'Status Quo Estimation'!C110*(1-'Detailed Financial Case'!AD15)</f>
        <v>0</v>
      </c>
      <c r="E17" s="482">
        <f>IF($G$53=0,0,C17/$G$53)</f>
        <v>0</v>
      </c>
      <c r="G17" s="482">
        <f>C17*'1-Client Variables'!$D$11</f>
        <v>0</v>
      </c>
      <c r="I17" s="482">
        <f>IF($G$53=0,0,G17/$G$53)</f>
        <v>0</v>
      </c>
      <c r="J17" s="467"/>
      <c r="K17" s="482">
        <f>'Detailed Financial Case'!Z15</f>
        <v>0</v>
      </c>
      <c r="M17" s="482">
        <f>IF($G$53=0,0,K17/$G$53)</f>
        <v>0</v>
      </c>
      <c r="N17" s="467"/>
      <c r="O17" s="622" t="str">
        <f>IF(G17=0,"",(K17-G17)/G17)</f>
        <v/>
      </c>
      <c r="S17" s="481" t="str">
        <f>B46</f>
        <v>Azure Other (New)</v>
      </c>
      <c r="T17" s="483"/>
      <c r="U17" s="483">
        <f>M46</f>
        <v>0</v>
      </c>
    </row>
    <row r="18" spans="2:21" x14ac:dyDescent="0.2">
      <c r="B18" s="620"/>
      <c r="C18" s="484"/>
      <c r="E18" s="485"/>
      <c r="G18" s="612" t="s">
        <v>346</v>
      </c>
      <c r="I18" s="613" t="s">
        <v>346</v>
      </c>
      <c r="J18" s="467"/>
      <c r="K18" s="614" t="s">
        <v>346</v>
      </c>
      <c r="M18" s="613" t="s">
        <v>346</v>
      </c>
      <c r="N18" s="467"/>
      <c r="O18" s="621"/>
    </row>
    <row r="19" spans="2:21" s="59" customFormat="1" x14ac:dyDescent="0.2">
      <c r="B19" s="486" t="s">
        <v>347</v>
      </c>
      <c r="C19" s="487" t="e">
        <f>SUM(C8:C18)</f>
        <v>#DIV/0!</v>
      </c>
      <c r="D19" s="488"/>
      <c r="E19" s="487">
        <f>IF($G$53=0,0,C19/$G$53)</f>
        <v>0</v>
      </c>
      <c r="F19" s="489">
        <f>IF(E$50=0,0,E19/E$50)</f>
        <v>0</v>
      </c>
      <c r="G19" s="487" t="e">
        <f>SUM(G8:G18)</f>
        <v>#DIV/0!</v>
      </c>
      <c r="H19" s="488"/>
      <c r="I19" s="487">
        <f>IF($G$53=0,0,G19/$G$53)</f>
        <v>0</v>
      </c>
      <c r="J19" s="568">
        <f>IF(I$50=0,0,I19/I$50)</f>
        <v>0</v>
      </c>
      <c r="K19" s="487" t="e">
        <f>SUM(K8:K18)</f>
        <v>#DIV/0!</v>
      </c>
      <c r="L19" s="488"/>
      <c r="M19" s="487">
        <f>IF($G$53=0,0,K19/$G$53)</f>
        <v>0</v>
      </c>
      <c r="N19" s="573">
        <f>IF(M$50=0,0,M19/M$50)</f>
        <v>0</v>
      </c>
      <c r="O19" s="622" t="e">
        <f>IF(G19=0,"",(K19-G19)/G19)</f>
        <v>#DIV/0!</v>
      </c>
      <c r="Q19" s="58"/>
      <c r="R19" s="58"/>
      <c r="S19" s="58"/>
      <c r="T19" s="58"/>
      <c r="U19" s="58"/>
    </row>
    <row r="20" spans="2:21" x14ac:dyDescent="0.2">
      <c r="B20" s="324"/>
      <c r="C20" s="484"/>
      <c r="E20" s="485"/>
      <c r="G20" s="484"/>
      <c r="I20" s="485"/>
      <c r="J20" s="467"/>
      <c r="K20" s="484"/>
      <c r="M20" s="485"/>
      <c r="N20" s="467"/>
      <c r="O20" s="621"/>
      <c r="Q20" s="59"/>
      <c r="R20" s="59"/>
      <c r="S20" s="59"/>
      <c r="T20" s="59"/>
      <c r="U20" s="59"/>
    </row>
    <row r="21" spans="2:21" s="59" customFormat="1" x14ac:dyDescent="0.2">
      <c r="B21" s="486" t="s">
        <v>348</v>
      </c>
      <c r="C21" s="487">
        <f>'Status Quo Estimation'!$C$86*(1-'Detailed Financial Case'!AD18)</f>
        <v>0</v>
      </c>
      <c r="D21" s="488"/>
      <c r="E21" s="487">
        <f>IF($G$53=0,0,C21/$G$53)</f>
        <v>0</v>
      </c>
      <c r="F21" s="489">
        <f>IF(E$50=0,0,E21/E$50)</f>
        <v>0</v>
      </c>
      <c r="G21" s="487">
        <f>C21*'1-Client Variables'!$D$11</f>
        <v>0</v>
      </c>
      <c r="H21" s="488"/>
      <c r="I21" s="487">
        <f>IF($G$53=0,0,G21/$G$53)</f>
        <v>0</v>
      </c>
      <c r="J21" s="568">
        <f>IF(I$50=0,0,I21/I$50)</f>
        <v>0</v>
      </c>
      <c r="K21" s="487">
        <f>'Detailed Financial Case'!Z18</f>
        <v>0</v>
      </c>
      <c r="L21" s="488"/>
      <c r="M21" s="487">
        <f>IF($G$53=0,0,K21/$G$53)</f>
        <v>0</v>
      </c>
      <c r="N21" s="573">
        <f>IF(M$50=0,0,M21/M$50)</f>
        <v>0</v>
      </c>
      <c r="O21" s="622" t="str">
        <f>IF(G21=0,"",(K21-G21)/G21)</f>
        <v/>
      </c>
      <c r="Q21" s="58"/>
      <c r="R21" s="58"/>
      <c r="S21" s="58"/>
      <c r="T21" s="58"/>
      <c r="U21" s="58"/>
    </row>
    <row r="22" spans="2:21" s="59" customFormat="1" x14ac:dyDescent="0.2">
      <c r="B22" s="324"/>
      <c r="C22" s="490"/>
      <c r="E22" s="490"/>
      <c r="F22" s="491"/>
      <c r="G22" s="490"/>
      <c r="I22" s="490"/>
      <c r="J22" s="569"/>
      <c r="K22" s="490"/>
      <c r="M22" s="490"/>
      <c r="N22" s="569"/>
      <c r="O22" s="622"/>
    </row>
    <row r="23" spans="2:21" s="59" customFormat="1" x14ac:dyDescent="0.2">
      <c r="B23" s="619" t="s">
        <v>349</v>
      </c>
      <c r="C23" s="482" t="e">
        <f>'Status Quo Estimation'!C59*(1-'Detailed Financial Case'!AD20)</f>
        <v>#DIV/0!</v>
      </c>
      <c r="D23" s="58"/>
      <c r="E23" s="482">
        <f>IF($G$53=0,0,C23/$G$53)</f>
        <v>0</v>
      </c>
      <c r="F23" s="58"/>
      <c r="G23" s="482" t="e">
        <f>C23*'1-Client Variables'!$D$11</f>
        <v>#DIV/0!</v>
      </c>
      <c r="H23" s="58"/>
      <c r="I23" s="482">
        <f>IF($G$53=0,0,G23/$G$53)</f>
        <v>0</v>
      </c>
      <c r="J23" s="467"/>
      <c r="K23" s="482" t="e">
        <f>'Detailed Financial Case'!Z20</f>
        <v>#DIV/0!</v>
      </c>
      <c r="L23" s="58"/>
      <c r="M23" s="482">
        <f>IF($G$53=0,0,K23/$G$53)</f>
        <v>0</v>
      </c>
      <c r="N23" s="569"/>
      <c r="O23" s="622" t="e">
        <f>IF(G23=0,"",(K23-G23)/G23)</f>
        <v>#DIV/0!</v>
      </c>
    </row>
    <row r="24" spans="2:21" x14ac:dyDescent="0.2">
      <c r="B24" s="619" t="s">
        <v>350</v>
      </c>
      <c r="C24" s="482" t="e">
        <f>'Status Quo Estimation'!C60*(1-'Detailed Financial Case'!AD21)</f>
        <v>#DIV/0!</v>
      </c>
      <c r="E24" s="482">
        <f>IF($G$53=0,0,C24/$G$53)</f>
        <v>0</v>
      </c>
      <c r="G24" s="482" t="e">
        <f>C24*'1-Client Variables'!$D$11</f>
        <v>#DIV/0!</v>
      </c>
      <c r="I24" s="482">
        <f>IF($G$53=0,0,G24/$G$53)</f>
        <v>0</v>
      </c>
      <c r="J24" s="467"/>
      <c r="K24" s="482" t="e">
        <f>'Detailed Financial Case'!Z21</f>
        <v>#DIV/0!</v>
      </c>
      <c r="M24" s="482">
        <f>IF($G$53=0,0,K24/$G$53)</f>
        <v>0</v>
      </c>
      <c r="N24" s="467"/>
      <c r="O24" s="622" t="e">
        <f>IF(G24=0,"",(K24-G24)/G24)</f>
        <v>#DIV/0!</v>
      </c>
      <c r="Q24" s="59"/>
      <c r="R24" s="59"/>
      <c r="S24" s="59"/>
      <c r="T24" s="59"/>
      <c r="U24" s="59"/>
    </row>
    <row r="25" spans="2:21" x14ac:dyDescent="0.2">
      <c r="B25" s="620"/>
      <c r="C25" s="485"/>
      <c r="E25" s="485"/>
      <c r="G25" s="613" t="s">
        <v>346</v>
      </c>
      <c r="I25" s="613" t="s">
        <v>346</v>
      </c>
      <c r="J25" s="467"/>
      <c r="K25" s="613" t="s">
        <v>346</v>
      </c>
      <c r="M25" s="613" t="s">
        <v>346</v>
      </c>
      <c r="N25" s="467"/>
      <c r="O25" s="621"/>
    </row>
    <row r="26" spans="2:21" s="59" customFormat="1" x14ac:dyDescent="0.2">
      <c r="B26" s="486" t="s">
        <v>351</v>
      </c>
      <c r="C26" s="487" t="e">
        <f>SUM(C23:C25)</f>
        <v>#DIV/0!</v>
      </c>
      <c r="D26" s="488"/>
      <c r="E26" s="487">
        <f>IF($G$53=0,0,C26/$G$53)</f>
        <v>0</v>
      </c>
      <c r="F26" s="489">
        <f>IF(E$50=0,0,E26/E$50)</f>
        <v>0</v>
      </c>
      <c r="G26" s="487" t="e">
        <f>SUM(G23:G25)</f>
        <v>#DIV/0!</v>
      </c>
      <c r="H26" s="488"/>
      <c r="I26" s="487">
        <f>IF($G$53=0,0,G26/$G$53)</f>
        <v>0</v>
      </c>
      <c r="J26" s="568">
        <f>IF(I$50=0,0,I26/I$50)</f>
        <v>0</v>
      </c>
      <c r="K26" s="487" t="e">
        <f>SUM(K23:K25)</f>
        <v>#DIV/0!</v>
      </c>
      <c r="L26" s="488"/>
      <c r="M26" s="487">
        <f>IF($G$53=0,0,K26/$G$53)</f>
        <v>0</v>
      </c>
      <c r="N26" s="573">
        <f>IF(M$50=0,0,M26/M$50)</f>
        <v>0</v>
      </c>
      <c r="O26" s="622" t="e">
        <f>IF(G26=0,"",(K26-G26)/G26)</f>
        <v>#DIV/0!</v>
      </c>
      <c r="Q26" s="58"/>
      <c r="R26" s="58"/>
      <c r="S26" s="58"/>
      <c r="T26" s="58"/>
      <c r="U26" s="58"/>
    </row>
    <row r="27" spans="2:21" x14ac:dyDescent="0.2">
      <c r="B27" s="324"/>
      <c r="C27" s="484"/>
      <c r="E27" s="485"/>
      <c r="G27" s="484"/>
      <c r="I27" s="485"/>
      <c r="J27" s="467"/>
      <c r="K27" s="484"/>
      <c r="M27" s="485"/>
      <c r="N27" s="467"/>
      <c r="O27" s="621"/>
      <c r="Q27" s="59"/>
      <c r="R27" s="59"/>
      <c r="S27" s="59"/>
      <c r="T27" s="59"/>
      <c r="U27" s="59"/>
    </row>
    <row r="28" spans="2:21" x14ac:dyDescent="0.2">
      <c r="B28" s="619" t="s">
        <v>352</v>
      </c>
      <c r="C28" s="482" t="e">
        <f>'Status Quo Estimation'!I47*(1-'Detailed Financial Case'!AD24)</f>
        <v>#DIV/0!</v>
      </c>
      <c r="E28" s="482">
        <f t="shared" ref="E28:E34" si="1">IF($G$53=0,0,C28/$G$53)</f>
        <v>0</v>
      </c>
      <c r="G28" s="482" t="e">
        <f>C28*'1-Client Variables'!$D$11</f>
        <v>#DIV/0!</v>
      </c>
      <c r="I28" s="482">
        <f t="shared" ref="I28:I34" si="2">IF($G$53=0,0,G28/$G$53)</f>
        <v>0</v>
      </c>
      <c r="J28" s="467"/>
      <c r="K28" s="482" t="e">
        <f>'Detailed Financial Case'!Z24</f>
        <v>#DIV/0!</v>
      </c>
      <c r="M28" s="482">
        <f t="shared" ref="M28:M34" si="3">IF($G$53=0,0,K28/$G$53)</f>
        <v>0</v>
      </c>
      <c r="N28" s="467"/>
      <c r="O28" s="622" t="e">
        <f t="shared" ref="O28:O34" si="4">IF(G28=0,"",(K28-G28)/G28)</f>
        <v>#DIV/0!</v>
      </c>
    </row>
    <row r="29" spans="2:21" x14ac:dyDescent="0.2">
      <c r="B29" s="619" t="s">
        <v>353</v>
      </c>
      <c r="C29" s="482">
        <f>'Status Quo Estimation'!J47*(1-'Detailed Financial Case'!AD25)</f>
        <v>0</v>
      </c>
      <c r="E29" s="482">
        <f t="shared" si="1"/>
        <v>0</v>
      </c>
      <c r="G29" s="482">
        <f>C29*'1-Client Variables'!$D$11</f>
        <v>0</v>
      </c>
      <c r="I29" s="482">
        <f t="shared" si="2"/>
        <v>0</v>
      </c>
      <c r="J29" s="467"/>
      <c r="K29" s="482">
        <f>'Detailed Financial Case'!Z25</f>
        <v>0</v>
      </c>
      <c r="M29" s="482">
        <f t="shared" si="3"/>
        <v>0</v>
      </c>
      <c r="N29" s="467"/>
      <c r="O29" s="622" t="str">
        <f t="shared" si="4"/>
        <v/>
      </c>
    </row>
    <row r="30" spans="2:21" x14ac:dyDescent="0.2">
      <c r="B30" s="619" t="s">
        <v>354</v>
      </c>
      <c r="C30" s="482">
        <f>'Status Quo Estimation'!K47*(1-'Detailed Financial Case'!AD26)</f>
        <v>0</v>
      </c>
      <c r="E30" s="482">
        <f t="shared" si="1"/>
        <v>0</v>
      </c>
      <c r="G30" s="482">
        <f>C30*'1-Client Variables'!$D$11</f>
        <v>0</v>
      </c>
      <c r="I30" s="482">
        <f t="shared" si="2"/>
        <v>0</v>
      </c>
      <c r="J30" s="467"/>
      <c r="K30" s="482">
        <f>'Detailed Financial Case'!Z26</f>
        <v>0</v>
      </c>
      <c r="M30" s="482">
        <f t="shared" si="3"/>
        <v>0</v>
      </c>
      <c r="N30" s="467"/>
      <c r="O30" s="622" t="str">
        <f t="shared" si="4"/>
        <v/>
      </c>
    </row>
    <row r="31" spans="2:21" x14ac:dyDescent="0.2">
      <c r="B31" s="619" t="s">
        <v>355</v>
      </c>
      <c r="C31" s="482">
        <f>'Status Quo Estimation'!L47*(1-'Detailed Financial Case'!AD27)</f>
        <v>0</v>
      </c>
      <c r="E31" s="482">
        <f t="shared" si="1"/>
        <v>0</v>
      </c>
      <c r="G31" s="482">
        <f>C31*'1-Client Variables'!$D$11</f>
        <v>0</v>
      </c>
      <c r="I31" s="482">
        <f t="shared" si="2"/>
        <v>0</v>
      </c>
      <c r="J31" s="467"/>
      <c r="K31" s="482">
        <f>'Detailed Financial Case'!Z27</f>
        <v>0</v>
      </c>
      <c r="M31" s="482">
        <f t="shared" si="3"/>
        <v>0</v>
      </c>
      <c r="N31" s="467"/>
      <c r="O31" s="622" t="str">
        <f t="shared" si="4"/>
        <v/>
      </c>
    </row>
    <row r="32" spans="2:21" x14ac:dyDescent="0.2">
      <c r="B32" s="619" t="s">
        <v>356</v>
      </c>
      <c r="C32" s="482">
        <f>'Status Quo Estimation'!M47*(1-'Detailed Financial Case'!AD28)</f>
        <v>0</v>
      </c>
      <c r="E32" s="482">
        <f t="shared" si="1"/>
        <v>0</v>
      </c>
      <c r="G32" s="482">
        <f>C32*'1-Client Variables'!$D$11</f>
        <v>0</v>
      </c>
      <c r="I32" s="482">
        <f t="shared" si="2"/>
        <v>0</v>
      </c>
      <c r="J32" s="467"/>
      <c r="K32" s="482">
        <f>'Detailed Financial Case'!Z28</f>
        <v>0</v>
      </c>
      <c r="M32" s="482">
        <f t="shared" si="3"/>
        <v>0</v>
      </c>
      <c r="N32" s="467"/>
      <c r="O32" s="622" t="str">
        <f t="shared" si="4"/>
        <v/>
      </c>
    </row>
    <row r="33" spans="2:21" x14ac:dyDescent="0.2">
      <c r="B33" s="619" t="s">
        <v>357</v>
      </c>
      <c r="C33" s="482">
        <f>'Status Quo Estimation'!I54*(1-'Detailed Financial Case'!AD29)</f>
        <v>0</v>
      </c>
      <c r="E33" s="482">
        <f t="shared" si="1"/>
        <v>0</v>
      </c>
      <c r="G33" s="482">
        <f>C33*'1-Client Variables'!$D$11</f>
        <v>0</v>
      </c>
      <c r="I33" s="482">
        <f t="shared" si="2"/>
        <v>0</v>
      </c>
      <c r="J33" s="467"/>
      <c r="K33" s="482">
        <f>'Detailed Financial Case'!Z29</f>
        <v>0</v>
      </c>
      <c r="M33" s="482">
        <f t="shared" si="3"/>
        <v>0</v>
      </c>
      <c r="N33" s="467"/>
      <c r="O33" s="622" t="str">
        <f t="shared" si="4"/>
        <v/>
      </c>
    </row>
    <row r="34" spans="2:21" x14ac:dyDescent="0.2">
      <c r="B34" s="619" t="s">
        <v>358</v>
      </c>
      <c r="C34" s="482">
        <f>'Status Quo Estimation'!J54*(1-'Detailed Financial Case'!AD30)</f>
        <v>0</v>
      </c>
      <c r="E34" s="482">
        <f t="shared" si="1"/>
        <v>0</v>
      </c>
      <c r="G34" s="482">
        <f>C34*'1-Client Variables'!$D$11</f>
        <v>0</v>
      </c>
      <c r="I34" s="482">
        <f t="shared" si="2"/>
        <v>0</v>
      </c>
      <c r="J34" s="467"/>
      <c r="K34" s="482">
        <f>'Detailed Financial Case'!Z30</f>
        <v>0</v>
      </c>
      <c r="M34" s="482">
        <f t="shared" si="3"/>
        <v>0</v>
      </c>
      <c r="N34" s="467"/>
      <c r="O34" s="622" t="str">
        <f t="shared" si="4"/>
        <v/>
      </c>
    </row>
    <row r="35" spans="2:21" x14ac:dyDescent="0.2">
      <c r="B35" s="620"/>
      <c r="C35" s="484"/>
      <c r="E35" s="485"/>
      <c r="G35" s="614" t="s">
        <v>346</v>
      </c>
      <c r="I35" s="613" t="s">
        <v>346</v>
      </c>
      <c r="J35" s="467"/>
      <c r="K35" s="614" t="s">
        <v>346</v>
      </c>
      <c r="M35" s="613" t="s">
        <v>346</v>
      </c>
      <c r="N35" s="467"/>
      <c r="O35" s="621"/>
    </row>
    <row r="36" spans="2:21" s="59" customFormat="1" x14ac:dyDescent="0.2">
      <c r="B36" s="486" t="s">
        <v>359</v>
      </c>
      <c r="C36" s="487" t="e">
        <f>SUM(C28:C34)</f>
        <v>#DIV/0!</v>
      </c>
      <c r="D36" s="488"/>
      <c r="E36" s="487">
        <f>SUM(E28:E34)</f>
        <v>0</v>
      </c>
      <c r="F36" s="489">
        <f>IF(E$50=0,0,E36/E$50)</f>
        <v>0</v>
      </c>
      <c r="G36" s="487" t="e">
        <f>SUM(G28:G34)</f>
        <v>#DIV/0!</v>
      </c>
      <c r="H36" s="488"/>
      <c r="I36" s="487">
        <f>SUM(I28:I34)</f>
        <v>0</v>
      </c>
      <c r="J36" s="568">
        <f>IF(I$50=0,0,I36/I$50)</f>
        <v>0</v>
      </c>
      <c r="K36" s="487" t="e">
        <f>SUM(K28:K34)</f>
        <v>#DIV/0!</v>
      </c>
      <c r="L36" s="488"/>
      <c r="M36" s="487">
        <f>SUM(M28:M34)</f>
        <v>0</v>
      </c>
      <c r="N36" s="573">
        <f>IF(M$50=0,0,M36/M$50)</f>
        <v>0</v>
      </c>
      <c r="O36" s="622" t="e">
        <f>IF(G36=0,"",(K36-G36)/G36)</f>
        <v>#DIV/0!</v>
      </c>
      <c r="Q36" s="58"/>
      <c r="R36" s="58"/>
      <c r="S36" s="58"/>
      <c r="T36" s="58"/>
      <c r="U36" s="58"/>
    </row>
    <row r="37" spans="2:21" x14ac:dyDescent="0.2">
      <c r="B37" s="324"/>
      <c r="C37" s="484"/>
      <c r="E37" s="485"/>
      <c r="G37" s="484"/>
      <c r="I37" s="485"/>
      <c r="J37" s="467"/>
      <c r="K37" s="484"/>
      <c r="M37" s="485"/>
      <c r="N37" s="467"/>
      <c r="O37" s="621"/>
      <c r="Q37" s="59"/>
      <c r="R37" s="59"/>
      <c r="S37" s="59"/>
      <c r="T37" s="59"/>
      <c r="U37" s="59"/>
    </row>
    <row r="38" spans="2:21" x14ac:dyDescent="0.2">
      <c r="B38" s="619" t="s">
        <v>360</v>
      </c>
      <c r="C38" s="482">
        <f>'Status Quo Estimation'!I166*(1-'Detailed Financial Case'!AD33)</f>
        <v>0</v>
      </c>
      <c r="E38" s="482">
        <f>IF($G$53=0,0,C38/$G$53)</f>
        <v>0</v>
      </c>
      <c r="G38" s="482">
        <f>C38*'1-Client Variables'!$D$11</f>
        <v>0</v>
      </c>
      <c r="I38" s="482">
        <f>IF($G$53=0,0,G38/$G$53)</f>
        <v>0</v>
      </c>
      <c r="J38" s="467"/>
      <c r="K38" s="482">
        <f>'Detailed Financial Case'!Z33</f>
        <v>0</v>
      </c>
      <c r="M38" s="482">
        <f>IF($G$53=0,0,K38/$G$53)</f>
        <v>0</v>
      </c>
      <c r="N38" s="467"/>
      <c r="O38" s="622" t="str">
        <f t="shared" ref="O38:O39" si="5">IF(G38=0,"",(K38-G38)/G38)</f>
        <v/>
      </c>
    </row>
    <row r="39" spans="2:21" x14ac:dyDescent="0.2">
      <c r="B39" s="619" t="s">
        <v>361</v>
      </c>
      <c r="C39" s="482"/>
      <c r="E39" s="482">
        <f>IF($G$53=0,0,C39/$G$53)</f>
        <v>0</v>
      </c>
      <c r="G39" s="482"/>
      <c r="I39" s="482">
        <f>IF($G$53=0,0,G39/$G$53)</f>
        <v>0</v>
      </c>
      <c r="J39" s="467"/>
      <c r="K39" s="482"/>
      <c r="M39" s="482">
        <f>IF($G$53=0,0,K39/$G$53)</f>
        <v>0</v>
      </c>
      <c r="N39" s="467"/>
      <c r="O39" s="622" t="str">
        <f t="shared" si="5"/>
        <v/>
      </c>
    </row>
    <row r="40" spans="2:21" x14ac:dyDescent="0.2">
      <c r="B40" s="620"/>
      <c r="C40" s="484"/>
      <c r="E40" s="485"/>
      <c r="G40" s="614" t="s">
        <v>346</v>
      </c>
      <c r="I40" s="613" t="s">
        <v>346</v>
      </c>
      <c r="J40" s="467"/>
      <c r="K40" s="614" t="s">
        <v>346</v>
      </c>
      <c r="M40" s="613" t="s">
        <v>346</v>
      </c>
      <c r="N40" s="467"/>
      <c r="O40" s="621"/>
    </row>
    <row r="41" spans="2:21" s="59" customFormat="1" x14ac:dyDescent="0.2">
      <c r="B41" s="486" t="s">
        <v>362</v>
      </c>
      <c r="C41" s="487">
        <f>SUM(C38:C39)</f>
        <v>0</v>
      </c>
      <c r="D41" s="488"/>
      <c r="E41" s="487">
        <f>SUM(E38:E39)</f>
        <v>0</v>
      </c>
      <c r="F41" s="489">
        <f>IF(E$50=0,0,E41/E$50)</f>
        <v>0</v>
      </c>
      <c r="G41" s="487">
        <f>SUM(G38:G39)</f>
        <v>0</v>
      </c>
      <c r="H41" s="488"/>
      <c r="I41" s="487">
        <f>SUM(I38:I39)</f>
        <v>0</v>
      </c>
      <c r="J41" s="568">
        <f>IF(I$50=0,0,I41/I$50)</f>
        <v>0</v>
      </c>
      <c r="K41" s="487">
        <f>SUM(K38:K39)</f>
        <v>0</v>
      </c>
      <c r="L41" s="488"/>
      <c r="M41" s="487">
        <f>SUM(M38:M39)</f>
        <v>0</v>
      </c>
      <c r="N41" s="573">
        <f>IF(M$50=0,0,M41/M$50)</f>
        <v>0</v>
      </c>
      <c r="O41" s="622" t="str">
        <f>IF(G41=0,"",(K41-G41)/G41)</f>
        <v/>
      </c>
      <c r="Q41" s="58"/>
      <c r="R41" s="58"/>
      <c r="S41" s="58"/>
      <c r="T41" s="58"/>
      <c r="U41" s="58"/>
    </row>
    <row r="42" spans="2:21" x14ac:dyDescent="0.2">
      <c r="B42" s="324"/>
      <c r="C42" s="490"/>
      <c r="E42" s="490"/>
      <c r="F42" s="492"/>
      <c r="G42" s="490"/>
      <c r="I42" s="490"/>
      <c r="J42" s="570"/>
      <c r="K42" s="490"/>
      <c r="M42" s="490"/>
      <c r="N42" s="570"/>
      <c r="O42" s="623"/>
      <c r="Q42" s="59"/>
      <c r="R42" s="59"/>
      <c r="S42" s="59"/>
      <c r="T42" s="59"/>
      <c r="U42" s="59"/>
    </row>
    <row r="43" spans="2:21" x14ac:dyDescent="0.2">
      <c r="B43" s="619" t="s">
        <v>363</v>
      </c>
      <c r="C43" s="482">
        <f>'Azure Run Rate'!C14</f>
        <v>0</v>
      </c>
      <c r="E43" s="482">
        <f>IF($G$53=0,0,C43/$G$53)</f>
        <v>0</v>
      </c>
      <c r="F43" s="492"/>
      <c r="G43" s="482">
        <f>C43*'1-Client Variables'!$D$11</f>
        <v>0</v>
      </c>
      <c r="I43" s="482">
        <f>IF($G$53=0,0,G43/$G$53)</f>
        <v>0</v>
      </c>
      <c r="J43" s="570"/>
      <c r="K43" s="482">
        <f>'Detailed Financial Case'!Z39</f>
        <v>0</v>
      </c>
      <c r="M43" s="482">
        <f>IF($G$53=0,0,K43/$G$53)</f>
        <v>0</v>
      </c>
      <c r="N43" s="570"/>
      <c r="O43" s="622" t="str">
        <f t="shared" ref="O43:O48" si="6">IF(G43=0,"",(K43-G43)/G43)</f>
        <v/>
      </c>
    </row>
    <row r="44" spans="2:21" x14ac:dyDescent="0.2">
      <c r="B44" s="619" t="s">
        <v>364</v>
      </c>
      <c r="C44" s="490"/>
      <c r="E44" s="490"/>
      <c r="F44" s="492"/>
      <c r="G44" s="490"/>
      <c r="I44" s="490"/>
      <c r="J44" s="570"/>
      <c r="K44" s="482">
        <f>'Detailed Financial Case'!Z41</f>
        <v>0</v>
      </c>
      <c r="M44" s="482">
        <f>IF($G$53=0,0,K44/$G$53)</f>
        <v>0</v>
      </c>
      <c r="N44" s="570"/>
      <c r="O44" s="622" t="str">
        <f t="shared" si="6"/>
        <v/>
      </c>
    </row>
    <row r="45" spans="2:21" x14ac:dyDescent="0.2">
      <c r="B45" s="619" t="s">
        <v>365</v>
      </c>
      <c r="C45" s="490"/>
      <c r="E45" s="490"/>
      <c r="F45" s="492"/>
      <c r="G45" s="490"/>
      <c r="I45" s="490"/>
      <c r="J45" s="570"/>
      <c r="K45" s="482">
        <f>'Detailed Financial Case'!Z42</f>
        <v>0</v>
      </c>
      <c r="M45" s="482">
        <f>IF($G$53=0,0,K45/$G$53)</f>
        <v>0</v>
      </c>
      <c r="N45" s="570"/>
      <c r="O45" s="622" t="str">
        <f t="shared" si="6"/>
        <v/>
      </c>
    </row>
    <row r="46" spans="2:21" x14ac:dyDescent="0.2">
      <c r="B46" s="619" t="s">
        <v>366</v>
      </c>
      <c r="C46" s="490"/>
      <c r="E46" s="490"/>
      <c r="F46" s="492"/>
      <c r="G46" s="490"/>
      <c r="I46" s="490"/>
      <c r="J46" s="570"/>
      <c r="K46" s="482">
        <f>'Detailed Financial Case'!Z43</f>
        <v>0</v>
      </c>
      <c r="M46" s="482">
        <f>IF($G$53=0,0,K46/$G$53)</f>
        <v>0</v>
      </c>
      <c r="N46" s="570"/>
      <c r="O46" s="622" t="str">
        <f t="shared" si="6"/>
        <v/>
      </c>
    </row>
    <row r="47" spans="2:21" x14ac:dyDescent="0.2">
      <c r="B47" s="620"/>
      <c r="C47" s="493"/>
      <c r="E47" s="493"/>
      <c r="F47" s="494"/>
      <c r="G47" s="615" t="s">
        <v>346</v>
      </c>
      <c r="I47" s="615" t="s">
        <v>346</v>
      </c>
      <c r="J47" s="571"/>
      <c r="K47" s="613" t="s">
        <v>346</v>
      </c>
      <c r="M47" s="613" t="s">
        <v>346</v>
      </c>
      <c r="N47" s="571"/>
      <c r="O47" s="624"/>
      <c r="S47" s="481"/>
    </row>
    <row r="48" spans="2:21" s="59" customFormat="1" x14ac:dyDescent="0.2">
      <c r="B48" s="486" t="s">
        <v>367</v>
      </c>
      <c r="C48" s="487">
        <f>SUM(C43:C46)</f>
        <v>0</v>
      </c>
      <c r="D48" s="488"/>
      <c r="E48" s="487">
        <f>IF($G$53=0,0,C48/$G$53)</f>
        <v>0</v>
      </c>
      <c r="F48" s="489">
        <f>IF(E$50=0,0,E48/E$50)</f>
        <v>0</v>
      </c>
      <c r="G48" s="487">
        <f>SUM(G43:G46)</f>
        <v>0</v>
      </c>
      <c r="H48" s="488"/>
      <c r="I48" s="487">
        <f>IF($G$53=0,0,G48/$G$53)</f>
        <v>0</v>
      </c>
      <c r="J48" s="568">
        <f>IF(I$50=0,0,I48/I$50)</f>
        <v>0</v>
      </c>
      <c r="K48" s="487">
        <f>SUM(K43:K46)</f>
        <v>0</v>
      </c>
      <c r="L48" s="488"/>
      <c r="M48" s="487">
        <f>IF($G$53=0,0,K48/$G$53)</f>
        <v>0</v>
      </c>
      <c r="N48" s="573">
        <f>IF(M$50=0,0,M48/M$50)</f>
        <v>0</v>
      </c>
      <c r="O48" s="622" t="str">
        <f t="shared" si="6"/>
        <v/>
      </c>
      <c r="Q48" s="58"/>
      <c r="R48" s="58"/>
      <c r="S48" s="481"/>
      <c r="T48" s="58"/>
      <c r="U48" s="58"/>
    </row>
    <row r="49" spans="2:21" ht="16" thickBot="1" x14ac:dyDescent="0.25">
      <c r="B49" s="495"/>
      <c r="C49" s="484"/>
      <c r="E49" s="485"/>
      <c r="G49" s="484"/>
      <c r="I49" s="485"/>
      <c r="J49" s="467"/>
      <c r="K49" s="484"/>
      <c r="M49" s="485"/>
      <c r="N49" s="467"/>
      <c r="O49" s="621"/>
      <c r="Q49" s="59"/>
      <c r="R49" s="59"/>
      <c r="S49" s="59"/>
      <c r="T49" s="59"/>
      <c r="U49" s="59"/>
    </row>
    <row r="50" spans="2:21" s="59" customFormat="1" ht="16" thickBot="1" x14ac:dyDescent="0.25">
      <c r="B50" s="496" t="s">
        <v>368</v>
      </c>
      <c r="C50" s="497" t="e">
        <f>SUM(C19,C21,C26,C36,C41,C48)</f>
        <v>#DIV/0!</v>
      </c>
      <c r="D50" s="498"/>
      <c r="E50" s="497">
        <f>IF($G$53=0,0,C50/$G$53)</f>
        <v>0</v>
      </c>
      <c r="F50" s="499">
        <f>IF(E$50=0,0,E50/E$50)</f>
        <v>0</v>
      </c>
      <c r="G50" s="497" t="e">
        <f>SUM(G19,G21,G26,G36,G41,G48)</f>
        <v>#DIV/0!</v>
      </c>
      <c r="H50" s="498"/>
      <c r="I50" s="497">
        <f>IF($G$53=0,0,G50/$G$53)</f>
        <v>0</v>
      </c>
      <c r="J50" s="572">
        <f>IF(I$50=0,0,I50/I$50)</f>
        <v>0</v>
      </c>
      <c r="K50" s="497" t="e">
        <f>SUM(K19,K21,K26,K36,K41,K48)</f>
        <v>#DIV/0!</v>
      </c>
      <c r="L50" s="498"/>
      <c r="M50" s="497">
        <f>IF($G$53=0,0,K50/$G$53)</f>
        <v>0</v>
      </c>
      <c r="N50" s="574">
        <f>IF(M$50=0,0,M50/M$50)</f>
        <v>0</v>
      </c>
      <c r="O50" s="622" t="e">
        <f>IF(G50=0,"",(K50-G50)/G50)</f>
        <v>#DIV/0!</v>
      </c>
      <c r="Q50" s="58"/>
      <c r="R50" s="58"/>
      <c r="S50" s="481"/>
      <c r="T50" s="58"/>
      <c r="U50" s="58"/>
    </row>
    <row r="51" spans="2:21" x14ac:dyDescent="0.2">
      <c r="B51" s="625" t="s">
        <v>336</v>
      </c>
      <c r="C51" s="625"/>
      <c r="D51" s="625"/>
      <c r="E51" s="625"/>
      <c r="F51" s="625"/>
      <c r="G51" s="625"/>
      <c r="H51" s="625"/>
      <c r="I51" s="625"/>
      <c r="J51" s="625"/>
      <c r="K51" s="626" t="e">
        <f>K50-G50</f>
        <v>#DIV/0!</v>
      </c>
      <c r="L51" s="625"/>
      <c r="M51" s="627" t="e">
        <f>IF(G50=0,0,K51/G50)</f>
        <v>#DIV/0!</v>
      </c>
      <c r="N51" s="628"/>
      <c r="O51" s="330"/>
      <c r="Q51" s="59"/>
      <c r="R51" s="59"/>
      <c r="S51" s="59"/>
      <c r="T51" s="59"/>
      <c r="U51" s="59"/>
    </row>
    <row r="52" spans="2:21" x14ac:dyDescent="0.2">
      <c r="B52" s="500"/>
      <c r="C52" s="330"/>
      <c r="D52" s="330"/>
      <c r="E52" s="330"/>
      <c r="F52" s="330"/>
      <c r="G52" s="501"/>
      <c r="H52" s="330"/>
      <c r="I52" s="330"/>
      <c r="J52" s="330"/>
      <c r="K52" s="330"/>
      <c r="L52" s="330"/>
      <c r="M52" s="330"/>
      <c r="N52" s="330"/>
      <c r="O52" s="330"/>
    </row>
    <row r="53" spans="2:21" x14ac:dyDescent="0.2">
      <c r="B53" s="495" t="s">
        <v>369</v>
      </c>
      <c r="D53" s="330"/>
      <c r="E53" s="330"/>
      <c r="F53" s="330"/>
      <c r="G53" s="502">
        <f>'1-Client Variables'!D41+'1-Client Variables'!D81+'1-Client Variables'!D120</f>
        <v>0</v>
      </c>
      <c r="H53" s="330"/>
      <c r="I53" s="330"/>
      <c r="J53" s="330"/>
      <c r="K53" s="330"/>
      <c r="L53" s="330"/>
      <c r="M53" s="330"/>
      <c r="N53" s="330"/>
      <c r="O53" s="330"/>
    </row>
    <row r="54" spans="2:21" x14ac:dyDescent="0.2">
      <c r="B54" s="330"/>
      <c r="C54" s="330"/>
      <c r="D54" s="330"/>
      <c r="E54" s="330"/>
      <c r="F54" s="330"/>
      <c r="G54" s="503"/>
      <c r="H54" s="330"/>
      <c r="J54" s="330"/>
      <c r="K54" s="330"/>
      <c r="L54" s="330"/>
      <c r="N54" s="330"/>
      <c r="O54" s="330"/>
    </row>
    <row r="55" spans="2:21" x14ac:dyDescent="0.2">
      <c r="B55" s="330"/>
      <c r="C55" s="330"/>
      <c r="D55" s="330"/>
      <c r="E55" s="330"/>
      <c r="F55" s="330"/>
      <c r="G55" s="504"/>
      <c r="H55" s="330"/>
      <c r="J55" s="330"/>
      <c r="K55" s="504"/>
      <c r="L55" s="330"/>
      <c r="N55" s="330"/>
      <c r="O55" s="330"/>
    </row>
    <row r="56" spans="2:21" x14ac:dyDescent="0.2">
      <c r="B56" s="330"/>
      <c r="C56" s="330"/>
      <c r="D56" s="330"/>
      <c r="E56" s="330"/>
      <c r="F56" s="330"/>
      <c r="G56" s="330"/>
      <c r="H56" s="330"/>
      <c r="J56" s="330"/>
      <c r="K56" s="330"/>
      <c r="L56" s="330"/>
      <c r="N56" s="330"/>
      <c r="O56" s="330"/>
    </row>
    <row r="57" spans="2:21" x14ac:dyDescent="0.2">
      <c r="B57" s="330"/>
      <c r="C57" s="330"/>
      <c r="D57" s="330"/>
      <c r="E57" s="330"/>
      <c r="F57" s="330"/>
      <c r="G57" s="330"/>
      <c r="H57" s="330"/>
      <c r="J57" s="330"/>
      <c r="K57" s="330"/>
      <c r="L57" s="330"/>
      <c r="N57" s="330"/>
      <c r="O57" s="330"/>
      <c r="Q57" s="253"/>
    </row>
    <row r="58" spans="2:21" x14ac:dyDescent="0.2">
      <c r="B58" s="330"/>
      <c r="C58" s="330"/>
      <c r="D58" s="330"/>
      <c r="E58" s="330"/>
      <c r="F58" s="330"/>
      <c r="G58" s="330"/>
      <c r="H58" s="330"/>
      <c r="J58" s="330"/>
      <c r="K58" s="330"/>
      <c r="L58" s="330"/>
      <c r="N58" s="330"/>
      <c r="O58" s="330"/>
    </row>
    <row r="59" spans="2:21" x14ac:dyDescent="0.2">
      <c r="B59" s="330"/>
      <c r="C59" s="330"/>
      <c r="D59" s="330"/>
      <c r="E59" s="330"/>
      <c r="F59" s="330"/>
      <c r="G59" s="330"/>
      <c r="H59" s="330"/>
      <c r="J59" s="330"/>
      <c r="K59" s="330"/>
      <c r="L59" s="330"/>
      <c r="N59" s="330"/>
      <c r="O59" s="330"/>
    </row>
    <row r="60" spans="2:21" x14ac:dyDescent="0.2">
      <c r="B60" s="330"/>
      <c r="C60" s="330"/>
      <c r="D60" s="330"/>
      <c r="E60" s="330"/>
      <c r="F60" s="330"/>
      <c r="G60" s="330"/>
      <c r="H60" s="330"/>
      <c r="J60" s="330"/>
      <c r="K60" s="330"/>
      <c r="L60" s="330"/>
      <c r="N60" s="330"/>
      <c r="O60" s="330"/>
    </row>
    <row r="61" spans="2:21" x14ac:dyDescent="0.2">
      <c r="B61" s="330"/>
      <c r="C61" s="330"/>
      <c r="D61" s="330"/>
      <c r="E61" s="330"/>
      <c r="F61" s="330"/>
      <c r="G61" s="330"/>
      <c r="H61" s="330"/>
      <c r="J61" s="330"/>
      <c r="K61" s="330"/>
      <c r="L61" s="330"/>
      <c r="N61" s="330"/>
      <c r="O61" s="330"/>
    </row>
    <row r="62" spans="2:21" x14ac:dyDescent="0.2">
      <c r="B62" s="330"/>
      <c r="C62" s="330"/>
      <c r="D62" s="330"/>
      <c r="E62" s="330"/>
      <c r="F62" s="330"/>
      <c r="G62" s="330"/>
      <c r="H62" s="330"/>
      <c r="I62" s="330"/>
      <c r="J62" s="330"/>
      <c r="K62" s="330"/>
      <c r="L62" s="330"/>
      <c r="M62" s="330"/>
      <c r="N62" s="330"/>
      <c r="O62" s="330"/>
    </row>
    <row r="63" spans="2:21" x14ac:dyDescent="0.2">
      <c r="B63" s="330"/>
      <c r="C63" s="330"/>
      <c r="D63" s="330"/>
      <c r="E63" s="330"/>
      <c r="F63" s="330"/>
      <c r="G63" s="330"/>
      <c r="H63" s="330"/>
      <c r="I63" s="330"/>
      <c r="J63" s="330"/>
      <c r="K63" s="330"/>
      <c r="L63" s="330"/>
      <c r="M63" s="330"/>
      <c r="N63" s="330"/>
      <c r="O63" s="330"/>
    </row>
  </sheetData>
  <mergeCells count="3">
    <mergeCell ref="C4:E4"/>
    <mergeCell ref="G4:I4"/>
    <mergeCell ref="K4:M4"/>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830D-FB8D-4903-81A7-101D2B4C8B87}">
  <sheetPr codeName="Sheet10">
    <tabColor theme="4"/>
  </sheetPr>
  <dimension ref="B1:O33"/>
  <sheetViews>
    <sheetView showGridLines="0" workbookViewId="0">
      <selection activeCell="E38" sqref="E38"/>
    </sheetView>
  </sheetViews>
  <sheetFormatPr baseColWidth="10" defaultColWidth="8.83203125" defaultRowHeight="15" x14ac:dyDescent="0.2"/>
  <cols>
    <col min="1" max="1" width="2" style="58" customWidth="1"/>
    <col min="2" max="2" width="39.83203125" style="58" bestFit="1" customWidth="1"/>
    <col min="3" max="3" width="14.5" style="434" customWidth="1"/>
    <col min="4" max="4" width="10.5" style="58" customWidth="1"/>
    <col min="5" max="5" width="14.5" style="434" customWidth="1"/>
    <col min="6" max="6" width="13.5" style="58" bestFit="1" customWidth="1"/>
    <col min="7" max="7" width="8.83203125" style="58"/>
    <col min="8" max="8" width="11" style="58" bestFit="1" customWidth="1"/>
    <col min="9" max="16384" width="8.83203125" style="58"/>
  </cols>
  <sheetData>
    <row r="1" spans="2:5" x14ac:dyDescent="0.2">
      <c r="E1" s="435"/>
    </row>
    <row r="2" spans="2:5" x14ac:dyDescent="0.2">
      <c r="B2" s="59" t="s">
        <v>370</v>
      </c>
    </row>
    <row r="4" spans="2:5" x14ac:dyDescent="0.2">
      <c r="B4" s="798" t="s">
        <v>371</v>
      </c>
      <c r="C4" s="434" t="s">
        <v>264</v>
      </c>
      <c r="D4" s="797" t="s">
        <v>372</v>
      </c>
      <c r="E4" s="434" t="s">
        <v>264</v>
      </c>
    </row>
    <row r="5" spans="2:5" x14ac:dyDescent="0.2">
      <c r="B5" s="798"/>
      <c r="C5" s="434" t="s">
        <v>373</v>
      </c>
      <c r="D5" s="797"/>
      <c r="E5" s="434" t="s">
        <v>373</v>
      </c>
    </row>
    <row r="6" spans="2:5" x14ac:dyDescent="0.2">
      <c r="B6" s="798"/>
      <c r="C6" s="434" t="s">
        <v>185</v>
      </c>
      <c r="D6" s="797"/>
      <c r="E6" s="434" t="s">
        <v>374</v>
      </c>
    </row>
    <row r="7" spans="2:5" x14ac:dyDescent="0.2">
      <c r="B7" s="505" t="s">
        <v>375</v>
      </c>
      <c r="C7" s="506"/>
      <c r="E7" s="506"/>
    </row>
    <row r="8" spans="2:5" x14ac:dyDescent="0.2">
      <c r="B8" s="58" t="s">
        <v>376</v>
      </c>
      <c r="C8" s="507" t="e">
        <f>'Detailed Financial Case'!C54</f>
        <v>#DIV/0!</v>
      </c>
      <c r="D8" s="508" t="e">
        <f>'1-Client Variables'!$D$47+'1-Client Variables'!$D$87+'1-Client Variables'!$D$126</f>
        <v>#DIV/0!</v>
      </c>
      <c r="E8" s="507" t="e">
        <f>IF(D8=0,0,C8/D8)</f>
        <v>#DIV/0!</v>
      </c>
    </row>
    <row r="9" spans="2:5" x14ac:dyDescent="0.2">
      <c r="B9" s="58" t="s">
        <v>377</v>
      </c>
      <c r="C9" s="507">
        <f>'Detailed Financial Case'!C55</f>
        <v>0</v>
      </c>
      <c r="D9" s="508" t="e">
        <f>'1-Client Variables'!$D$47+'1-Client Variables'!$D$87+'1-Client Variables'!$D$126</f>
        <v>#DIV/0!</v>
      </c>
      <c r="E9" s="507" t="e">
        <f t="shared" ref="E9:E10" si="0">IF(D9=0,0,C9/D9)</f>
        <v>#DIV/0!</v>
      </c>
    </row>
    <row r="10" spans="2:5" x14ac:dyDescent="0.2">
      <c r="B10" s="58" t="s">
        <v>378</v>
      </c>
      <c r="C10" s="507">
        <f>'Detailed Financial Case'!C56</f>
        <v>0</v>
      </c>
      <c r="D10" s="508" t="e">
        <f>'1-Client Variables'!$D$47+'1-Client Variables'!$D$87+'1-Client Variables'!$D$126</f>
        <v>#DIV/0!</v>
      </c>
      <c r="E10" s="507" t="e">
        <f t="shared" si="0"/>
        <v>#DIV/0!</v>
      </c>
    </row>
    <row r="11" spans="2:5" x14ac:dyDescent="0.2">
      <c r="B11" s="58" t="s">
        <v>379</v>
      </c>
      <c r="C11" s="509" t="e">
        <f>SUM(C8:C10)</f>
        <v>#DIV/0!</v>
      </c>
      <c r="D11" s="508"/>
      <c r="E11" s="510"/>
    </row>
    <row r="12" spans="2:5" x14ac:dyDescent="0.2">
      <c r="C12" s="511"/>
      <c r="D12" s="508"/>
      <c r="E12" s="510"/>
    </row>
    <row r="13" spans="2:5" x14ac:dyDescent="0.2">
      <c r="B13" s="505" t="s">
        <v>380</v>
      </c>
      <c r="C13" s="512"/>
      <c r="D13" s="508"/>
      <c r="E13" s="513"/>
    </row>
    <row r="14" spans="2:5" x14ac:dyDescent="0.2">
      <c r="B14" s="58" t="s">
        <v>381</v>
      </c>
      <c r="C14" s="507" t="e">
        <f>'Detailed Financial Case'!C60</f>
        <v>#DIV/0!</v>
      </c>
      <c r="D14" s="508" t="e">
        <f>'1-Client Variables'!$D$47+'1-Client Variables'!$D$87+'1-Client Variables'!$D$126</f>
        <v>#DIV/0!</v>
      </c>
      <c r="E14" s="507" t="e">
        <f t="shared" ref="E14:E29" si="1">IF(D14=0,0,C14/D14)</f>
        <v>#DIV/0!</v>
      </c>
    </row>
    <row r="15" spans="2:5" x14ac:dyDescent="0.2">
      <c r="B15" s="58" t="s">
        <v>382</v>
      </c>
      <c r="C15" s="507">
        <f>'Detailed Financial Case'!C61</f>
        <v>0</v>
      </c>
      <c r="D15" s="508" t="e">
        <f>'1-Client Variables'!$D$47+'1-Client Variables'!$D$87+'1-Client Variables'!$D$126</f>
        <v>#DIV/0!</v>
      </c>
      <c r="E15" s="507" t="e">
        <f t="shared" si="1"/>
        <v>#DIV/0!</v>
      </c>
    </row>
    <row r="16" spans="2:5" x14ac:dyDescent="0.2">
      <c r="B16" s="58" t="s">
        <v>383</v>
      </c>
      <c r="C16" s="507">
        <f>'Detailed Financial Case'!C62</f>
        <v>0</v>
      </c>
      <c r="D16" s="508" t="e">
        <f>'1-Client Variables'!$D$47+'1-Client Variables'!$D$87+'1-Client Variables'!$D$126</f>
        <v>#DIV/0!</v>
      </c>
      <c r="E16" s="507" t="e">
        <f t="shared" ref="E16:E23" si="2">IF(D16=0,0,C16/D16)</f>
        <v>#DIV/0!</v>
      </c>
    </row>
    <row r="17" spans="2:15" x14ac:dyDescent="0.2">
      <c r="B17" s="58" t="s">
        <v>384</v>
      </c>
      <c r="C17" s="507">
        <f>'Detailed Financial Case'!C63</f>
        <v>0</v>
      </c>
      <c r="D17" s="508" t="e">
        <f>'1-Client Variables'!$D$47+'1-Client Variables'!$D$87+'1-Client Variables'!$D$126</f>
        <v>#DIV/0!</v>
      </c>
      <c r="E17" s="507" t="e">
        <f t="shared" si="2"/>
        <v>#DIV/0!</v>
      </c>
    </row>
    <row r="18" spans="2:15" x14ac:dyDescent="0.2">
      <c r="B18" s="58" t="s">
        <v>385</v>
      </c>
      <c r="C18" s="507">
        <f>'Detailed Financial Case'!C64</f>
        <v>0</v>
      </c>
      <c r="D18" s="508" t="e">
        <f>'1-Client Variables'!$D$47+'1-Client Variables'!$D$87+'1-Client Variables'!$D$126</f>
        <v>#DIV/0!</v>
      </c>
      <c r="E18" s="507" t="e">
        <f t="shared" si="2"/>
        <v>#DIV/0!</v>
      </c>
    </row>
    <row r="19" spans="2:15" x14ac:dyDescent="0.2">
      <c r="B19" s="58" t="s">
        <v>386</v>
      </c>
      <c r="C19" s="507" t="e">
        <f>'Detailed Financial Case'!C24</f>
        <v>#DIV/0!</v>
      </c>
      <c r="D19" s="508" t="e">
        <f>'1-Client Variables'!D64+'1-Client Variables'!D104+'1-Client Variables'!D143</f>
        <v>#DIV/0!</v>
      </c>
      <c r="E19" s="507" t="e">
        <f t="shared" si="2"/>
        <v>#DIV/0!</v>
      </c>
    </row>
    <row r="20" spans="2:15" x14ac:dyDescent="0.2">
      <c r="B20" s="58" t="s">
        <v>387</v>
      </c>
      <c r="C20" s="507">
        <f>'Detailed Financial Case'!C25</f>
        <v>0</v>
      </c>
      <c r="D20" s="508">
        <f>'1-Client Variables'!D67+'1-Client Variables'!D106+'1-Client Variables'!D145</f>
        <v>0</v>
      </c>
      <c r="E20" s="507">
        <f t="shared" si="2"/>
        <v>0</v>
      </c>
    </row>
    <row r="21" spans="2:15" x14ac:dyDescent="0.2">
      <c r="B21" s="58" t="s">
        <v>355</v>
      </c>
      <c r="C21" s="507">
        <f>'Detailed Financial Case'!C26</f>
        <v>0</v>
      </c>
      <c r="D21" s="508">
        <f>'1-Client Variables'!D68+'1-Client Variables'!D107+'1-Client Variables'!D146</f>
        <v>0</v>
      </c>
      <c r="E21" s="507">
        <f t="shared" si="2"/>
        <v>0</v>
      </c>
    </row>
    <row r="22" spans="2:15" x14ac:dyDescent="0.2">
      <c r="B22" s="58" t="s">
        <v>388</v>
      </c>
      <c r="C22" s="507">
        <f>'Detailed Financial Case'!C27</f>
        <v>0</v>
      </c>
      <c r="D22" s="508">
        <f>'1-Client Variables'!D70+'1-Client Variables'!D109+'1-Client Variables'!D148</f>
        <v>0</v>
      </c>
      <c r="E22" s="507">
        <f t="shared" si="2"/>
        <v>0</v>
      </c>
    </row>
    <row r="23" spans="2:15" x14ac:dyDescent="0.2">
      <c r="B23" s="58" t="s">
        <v>356</v>
      </c>
      <c r="C23" s="507">
        <f>'Detailed Financial Case'!C28</f>
        <v>0</v>
      </c>
      <c r="D23" s="508">
        <f>'1-Client Variables'!D71+'1-Client Variables'!D110+'1-Client Variables'!D149</f>
        <v>0</v>
      </c>
      <c r="E23" s="507">
        <f t="shared" si="2"/>
        <v>0</v>
      </c>
    </row>
    <row r="24" spans="2:15" x14ac:dyDescent="0.2">
      <c r="B24" s="58" t="s">
        <v>357</v>
      </c>
      <c r="C24" s="507">
        <f>'Detailed Financial Case'!C29</f>
        <v>0</v>
      </c>
      <c r="D24" s="508" t="e">
        <f>'1-Client Variables'!$D$47+'1-Client Variables'!$D$87+'1-Client Variables'!$D$126</f>
        <v>#DIV/0!</v>
      </c>
      <c r="E24" s="507" t="e">
        <f t="shared" ref="E24:E25" si="3">IF(D24=0,0,C24/D24)</f>
        <v>#DIV/0!</v>
      </c>
    </row>
    <row r="25" spans="2:15" x14ac:dyDescent="0.2">
      <c r="B25" s="58" t="s">
        <v>358</v>
      </c>
      <c r="C25" s="507">
        <f>'Detailed Financial Case'!C30</f>
        <v>0</v>
      </c>
      <c r="D25" s="508" t="e">
        <f>'1-Client Variables'!$D$47+'1-Client Variables'!$D$87+'1-Client Variables'!$D$126</f>
        <v>#DIV/0!</v>
      </c>
      <c r="E25" s="507" t="e">
        <f t="shared" si="3"/>
        <v>#DIV/0!</v>
      </c>
    </row>
    <row r="26" spans="2:15" x14ac:dyDescent="0.2">
      <c r="B26" s="58" t="s">
        <v>348</v>
      </c>
      <c r="C26" s="507">
        <f>'Detailed Financial Case'!C65</f>
        <v>0</v>
      </c>
      <c r="D26" s="508" t="e">
        <f>'1-Client Variables'!$D$47+'1-Client Variables'!$D$87+'1-Client Variables'!$D$126</f>
        <v>#DIV/0!</v>
      </c>
      <c r="E26" s="507" t="e">
        <f t="shared" si="1"/>
        <v>#DIV/0!</v>
      </c>
    </row>
    <row r="27" spans="2:15" x14ac:dyDescent="0.2">
      <c r="B27" s="58" t="s">
        <v>349</v>
      </c>
      <c r="C27" s="507" t="e">
        <f>'Detailed Financial Case'!C66</f>
        <v>#DIV/0!</v>
      </c>
      <c r="D27" s="508" t="e">
        <f>'1-Client Variables'!$D$47+'1-Client Variables'!$D$87+'1-Client Variables'!$D$126</f>
        <v>#DIV/0!</v>
      </c>
      <c r="E27" s="507" t="e">
        <f t="shared" si="1"/>
        <v>#DIV/0!</v>
      </c>
    </row>
    <row r="28" spans="2:15" x14ac:dyDescent="0.2">
      <c r="B28" s="58" t="s">
        <v>350</v>
      </c>
      <c r="C28" s="507" t="e">
        <f>'Detailed Financial Case'!C67</f>
        <v>#DIV/0!</v>
      </c>
      <c r="D28" s="508" t="e">
        <f>'1-Client Variables'!$D$47+'1-Client Variables'!$D$87+'1-Client Variables'!$D$126</f>
        <v>#DIV/0!</v>
      </c>
      <c r="E28" s="507" t="e">
        <f t="shared" ref="E28" si="4">IF(D28=0,0,C28/D28)</f>
        <v>#DIV/0!</v>
      </c>
    </row>
    <row r="29" spans="2:15" x14ac:dyDescent="0.2">
      <c r="B29" s="58" t="s">
        <v>362</v>
      </c>
      <c r="C29" s="507">
        <f>'Detailed Financial Case'!C69</f>
        <v>0</v>
      </c>
      <c r="D29" s="508" t="e">
        <f>'1-Client Variables'!$D$47+'1-Client Variables'!$D$87+'1-Client Variables'!$D$126</f>
        <v>#DIV/0!</v>
      </c>
      <c r="E29" s="507" t="e">
        <f t="shared" si="1"/>
        <v>#DIV/0!</v>
      </c>
    </row>
    <row r="30" spans="2:15" x14ac:dyDescent="0.2">
      <c r="B30" s="58" t="s">
        <v>389</v>
      </c>
      <c r="C30" s="509" t="e">
        <f>SUM(C14:C29)</f>
        <v>#DIV/0!</v>
      </c>
      <c r="D30" s="508"/>
      <c r="E30" s="514"/>
    </row>
    <row r="31" spans="2:15" ht="16" thickBot="1" x14ac:dyDescent="0.25">
      <c r="E31" s="511"/>
    </row>
    <row r="32" spans="2:15" ht="16" thickBot="1" x14ac:dyDescent="0.25">
      <c r="B32" s="515" t="s">
        <v>390</v>
      </c>
      <c r="C32" s="516" t="e">
        <f>SUM(C11,C30)</f>
        <v>#DIV/0!</v>
      </c>
      <c r="E32" s="517" t="e">
        <f>SUM(E7:E31)</f>
        <v>#DIV/0!</v>
      </c>
      <c r="F32" s="518"/>
      <c r="G32" s="518"/>
      <c r="H32" s="518"/>
      <c r="I32" s="518"/>
      <c r="J32" s="518"/>
      <c r="K32" s="518"/>
      <c r="L32" s="518"/>
      <c r="M32" s="518"/>
      <c r="N32" s="518"/>
      <c r="O32" s="518"/>
    </row>
    <row r="33" spans="3:6" x14ac:dyDescent="0.2">
      <c r="C33" s="434" t="e">
        <f>C32-('Cost per VM'!G19+'Cost per VM'!G21+'Cost per VM'!G26+'Cost per VM'!G36+'Cost per VM'!G41)</f>
        <v>#DIV/0!</v>
      </c>
      <c r="F33" s="518"/>
    </row>
  </sheetData>
  <mergeCells count="2">
    <mergeCell ref="D4:D6"/>
    <mergeCell ref="B4:B6"/>
  </mergeCells>
  <conditionalFormatting sqref="C33">
    <cfRule type="cellIs" dxfId="63" priority="1" operator="notEqual">
      <formula>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D3C2-7C1D-4061-863D-9AD1085ADB48}">
  <sheetPr codeName="Sheet11">
    <tabColor theme="4"/>
  </sheetPr>
  <dimension ref="B1:G32"/>
  <sheetViews>
    <sheetView showGridLines="0" topLeftCell="A10" zoomScale="110" zoomScaleNormal="110" workbookViewId="0">
      <selection activeCell="E47" sqref="E47"/>
    </sheetView>
  </sheetViews>
  <sheetFormatPr baseColWidth="10" defaultColWidth="8.83203125" defaultRowHeight="15" x14ac:dyDescent="0.2"/>
  <cols>
    <col min="1" max="1" width="1.83203125" style="58" customWidth="1"/>
    <col min="2" max="2" width="31" style="58" bestFit="1" customWidth="1"/>
    <col min="3" max="7" width="13.5" style="58" customWidth="1"/>
    <col min="8" max="16384" width="8.83203125" style="58"/>
  </cols>
  <sheetData>
    <row r="1" spans="2:7" x14ac:dyDescent="0.2">
      <c r="B1" s="434"/>
      <c r="D1" s="435"/>
      <c r="F1" s="434"/>
    </row>
    <row r="2" spans="2:7" x14ac:dyDescent="0.2">
      <c r="B2" s="59" t="s">
        <v>391</v>
      </c>
      <c r="D2" s="434"/>
      <c r="F2" s="434"/>
    </row>
    <row r="3" spans="2:7" x14ac:dyDescent="0.2">
      <c r="C3" s="519"/>
      <c r="D3" s="519"/>
    </row>
    <row r="4" spans="2:7" x14ac:dyDescent="0.2">
      <c r="C4" s="519"/>
      <c r="D4" s="519"/>
      <c r="E4" s="519"/>
    </row>
    <row r="5" spans="2:7" x14ac:dyDescent="0.2">
      <c r="C5" s="519"/>
      <c r="D5" s="519"/>
      <c r="E5" s="519"/>
    </row>
    <row r="7" spans="2:7" x14ac:dyDescent="0.2">
      <c r="C7" s="520" t="s">
        <v>392</v>
      </c>
      <c r="D7" s="520" t="s">
        <v>393</v>
      </c>
      <c r="E7" s="520" t="s">
        <v>394</v>
      </c>
      <c r="F7" s="520" t="s">
        <v>395</v>
      </c>
      <c r="G7" s="520" t="s">
        <v>396</v>
      </c>
    </row>
    <row r="8" spans="2:7" x14ac:dyDescent="0.2">
      <c r="B8" s="58" t="s">
        <v>397</v>
      </c>
      <c r="C8" s="752"/>
      <c r="D8" s="752"/>
      <c r="E8" s="752"/>
      <c r="F8" s="752"/>
      <c r="G8" s="752" t="e">
        <f>'Detailed Financial Case'!M49</f>
        <v>#DIV/0!</v>
      </c>
    </row>
    <row r="9" spans="2:7" x14ac:dyDescent="0.2">
      <c r="B9" s="58" t="s">
        <v>398</v>
      </c>
      <c r="C9" s="752" t="e">
        <f>G8-F9</f>
        <v>#DIV/0!</v>
      </c>
      <c r="D9" s="752"/>
      <c r="E9" s="752"/>
      <c r="F9" s="752" t="e">
        <f>G8-D10</f>
        <v>#DIV/0!</v>
      </c>
      <c r="G9" s="752"/>
    </row>
    <row r="10" spans="2:7" x14ac:dyDescent="0.2">
      <c r="B10" s="58" t="s">
        <v>273</v>
      </c>
      <c r="C10" s="752"/>
      <c r="D10" s="752" t="e">
        <f>'Detailed Financial Case'!Z49</f>
        <v>#DIV/0!</v>
      </c>
      <c r="E10" s="752"/>
      <c r="F10" s="752"/>
      <c r="G10" s="752"/>
    </row>
    <row r="11" spans="2:7" x14ac:dyDescent="0.2">
      <c r="C11" s="346"/>
      <c r="D11" s="346"/>
      <c r="E11" s="346"/>
      <c r="F11" s="346"/>
      <c r="G11" s="346"/>
    </row>
    <row r="12" spans="2:7" x14ac:dyDescent="0.2">
      <c r="C12" s="346"/>
      <c r="D12" s="346"/>
      <c r="E12" s="346"/>
      <c r="F12" s="346"/>
      <c r="G12" s="346"/>
    </row>
    <row r="13" spans="2:7" x14ac:dyDescent="0.2">
      <c r="C13" s="346"/>
      <c r="D13" s="346"/>
      <c r="E13" s="346"/>
      <c r="F13" s="346"/>
      <c r="G13" s="346"/>
    </row>
    <row r="14" spans="2:7" x14ac:dyDescent="0.2">
      <c r="C14" s="346"/>
      <c r="D14" s="346"/>
      <c r="E14" s="346"/>
      <c r="F14" s="346"/>
      <c r="G14" s="346"/>
    </row>
    <row r="15" spans="2:7" x14ac:dyDescent="0.2">
      <c r="C15" s="346"/>
      <c r="D15" s="346"/>
      <c r="E15" s="346"/>
      <c r="F15" s="346"/>
      <c r="G15" s="346"/>
    </row>
    <row r="16" spans="2:7" x14ac:dyDescent="0.2">
      <c r="C16" s="346"/>
      <c r="D16" s="346"/>
      <c r="E16" s="346"/>
      <c r="F16" s="346"/>
      <c r="G16" s="346"/>
    </row>
    <row r="17" spans="2:7" x14ac:dyDescent="0.2">
      <c r="C17" s="346"/>
      <c r="D17" s="346"/>
      <c r="E17" s="346"/>
      <c r="F17" s="346"/>
      <c r="G17" s="346"/>
    </row>
    <row r="18" spans="2:7" x14ac:dyDescent="0.2">
      <c r="C18" s="346"/>
      <c r="D18" s="346"/>
      <c r="E18" s="346"/>
      <c r="F18" s="346"/>
      <c r="G18" s="346"/>
    </row>
    <row r="19" spans="2:7" x14ac:dyDescent="0.2">
      <c r="C19" s="346"/>
      <c r="D19" s="346"/>
      <c r="E19" s="346"/>
      <c r="F19" s="346"/>
      <c r="G19" s="346"/>
    </row>
    <row r="20" spans="2:7" x14ac:dyDescent="0.2">
      <c r="C20" s="346"/>
      <c r="D20" s="346"/>
      <c r="E20" s="346"/>
      <c r="F20" s="346"/>
      <c r="G20" s="346"/>
    </row>
    <row r="21" spans="2:7" x14ac:dyDescent="0.2">
      <c r="C21" s="346"/>
      <c r="D21" s="346"/>
      <c r="E21" s="346"/>
      <c r="F21" s="346"/>
      <c r="G21" s="346"/>
    </row>
    <row r="22" spans="2:7" x14ac:dyDescent="0.2">
      <c r="C22" s="346"/>
      <c r="D22" s="346"/>
      <c r="E22" s="346"/>
      <c r="F22" s="346"/>
      <c r="G22" s="346"/>
    </row>
    <row r="23" spans="2:7" x14ac:dyDescent="0.2">
      <c r="C23" s="754"/>
      <c r="D23" s="754" t="s">
        <v>393</v>
      </c>
      <c r="E23" s="754" t="s">
        <v>399</v>
      </c>
      <c r="F23" s="754" t="s">
        <v>400</v>
      </c>
      <c r="G23" s="754" t="s">
        <v>396</v>
      </c>
    </row>
    <row r="24" spans="2:7" x14ac:dyDescent="0.2">
      <c r="B24" s="58" t="s">
        <v>397</v>
      </c>
      <c r="C24" s="752"/>
      <c r="D24" s="752"/>
      <c r="E24" s="752"/>
      <c r="F24" s="752"/>
      <c r="G24" s="752" t="e">
        <f>'Detailed Financial Case'!M49</f>
        <v>#DIV/0!</v>
      </c>
    </row>
    <row r="25" spans="2:7" x14ac:dyDescent="0.2">
      <c r="B25" s="58" t="s">
        <v>401</v>
      </c>
      <c r="C25" s="752" t="e">
        <f>G24-E25</f>
        <v>#DIV/0!</v>
      </c>
      <c r="D25" s="752"/>
      <c r="E25" s="752" t="e">
        <f>('Cost per VM'!G19-'Cost per VM'!K19)</f>
        <v>#DIV/0!</v>
      </c>
      <c r="F25" s="752"/>
      <c r="G25" s="752"/>
    </row>
    <row r="26" spans="2:7" x14ac:dyDescent="0.2">
      <c r="B26" s="58" t="s">
        <v>402</v>
      </c>
      <c r="C26" s="752" t="e">
        <f>C25-E26</f>
        <v>#DIV/0!</v>
      </c>
      <c r="D26" s="752"/>
      <c r="E26" s="752">
        <f>('Cost per VM'!G21-'Cost per VM'!K21)</f>
        <v>0</v>
      </c>
      <c r="F26" s="752"/>
      <c r="G26" s="752"/>
    </row>
    <row r="27" spans="2:7" x14ac:dyDescent="0.2">
      <c r="B27" s="58" t="s">
        <v>403</v>
      </c>
      <c r="C27" s="752" t="e">
        <f>C26-E27</f>
        <v>#DIV/0!</v>
      </c>
      <c r="D27" s="752"/>
      <c r="E27" s="752" t="e">
        <f>('Cost per VM'!G26-'Cost per VM'!K26)</f>
        <v>#DIV/0!</v>
      </c>
      <c r="F27" s="752"/>
      <c r="G27" s="752"/>
    </row>
    <row r="28" spans="2:7" x14ac:dyDescent="0.2">
      <c r="B28" s="58" t="s">
        <v>404</v>
      </c>
      <c r="C28" s="752" t="e">
        <f>C27-E28</f>
        <v>#DIV/0!</v>
      </c>
      <c r="D28" s="752"/>
      <c r="E28" s="752" t="e">
        <f>('Cost per VM'!G36-'Cost per VM'!K36)</f>
        <v>#DIV/0!</v>
      </c>
      <c r="F28" s="752"/>
      <c r="G28" s="752"/>
    </row>
    <row r="29" spans="2:7" x14ac:dyDescent="0.2">
      <c r="B29" s="58" t="s">
        <v>405</v>
      </c>
      <c r="C29" s="752" t="e">
        <f>C28-E29</f>
        <v>#DIV/0!</v>
      </c>
      <c r="D29" s="752"/>
      <c r="E29" s="752">
        <f>('Cost per VM'!G41-'Cost per VM'!K41)</f>
        <v>0</v>
      </c>
      <c r="F29" s="752"/>
      <c r="G29" s="752"/>
    </row>
    <row r="30" spans="2:7" x14ac:dyDescent="0.2">
      <c r="B30" s="58" t="s">
        <v>406</v>
      </c>
      <c r="C30" s="752" t="e">
        <f>C29-E30</f>
        <v>#DIV/0!</v>
      </c>
      <c r="D30" s="752"/>
      <c r="E30" s="752"/>
      <c r="F30" s="752">
        <f>-('Cost per VM'!G48-'Cost per VM'!K48)</f>
        <v>0</v>
      </c>
      <c r="G30" s="752"/>
    </row>
    <row r="31" spans="2:7" x14ac:dyDescent="0.2">
      <c r="B31" s="58" t="s">
        <v>273</v>
      </c>
      <c r="C31" s="752"/>
      <c r="D31" s="752" t="e">
        <f>'Detailed Financial Case'!Z49</f>
        <v>#DIV/0!</v>
      </c>
      <c r="E31" s="752"/>
      <c r="F31" s="752"/>
      <c r="G31" s="752"/>
    </row>
    <row r="32" spans="2:7" x14ac:dyDescent="0.2">
      <c r="C32" s="753"/>
      <c r="D32" s="753"/>
      <c r="E32" s="753"/>
      <c r="F32" s="753"/>
      <c r="G32" s="753"/>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B860F-30EF-4607-A5A6-64B4633C604B}">
  <sheetPr codeName="Sheet12">
    <tabColor theme="4"/>
  </sheetPr>
  <dimension ref="B2:Q25"/>
  <sheetViews>
    <sheetView showGridLines="0" topLeftCell="E1" workbookViewId="0">
      <selection activeCell="F21" sqref="F21"/>
    </sheetView>
  </sheetViews>
  <sheetFormatPr baseColWidth="10" defaultColWidth="9" defaultRowHeight="15" outlineLevelCol="1" x14ac:dyDescent="0.2"/>
  <cols>
    <col min="1" max="1" width="3" style="58" customWidth="1"/>
    <col min="2" max="2" width="30.83203125" style="58" customWidth="1"/>
    <col min="3" max="5" width="22.5" style="58" customWidth="1"/>
    <col min="6" max="8" width="22.5" style="58" customWidth="1" outlineLevel="1"/>
    <col min="9" max="9" width="4.83203125" style="58" customWidth="1"/>
    <col min="10" max="10" width="22.5" style="58" customWidth="1"/>
    <col min="11" max="11" width="9" style="58"/>
    <col min="12" max="12" width="41.83203125" style="58" bestFit="1" customWidth="1"/>
    <col min="13" max="17" width="19.83203125" style="58" customWidth="1"/>
    <col min="18" max="16384" width="9" style="58"/>
  </cols>
  <sheetData>
    <row r="2" spans="2:17" x14ac:dyDescent="0.2">
      <c r="B2" s="59" t="s">
        <v>407</v>
      </c>
    </row>
    <row r="3" spans="2:17" x14ac:dyDescent="0.2">
      <c r="B3" s="59"/>
    </row>
    <row r="4" spans="2:17" ht="18" x14ac:dyDescent="0.35">
      <c r="B4" s="559" t="s">
        <v>408</v>
      </c>
      <c r="D4" s="545">
        <f>SUM(D5:D7)</f>
        <v>0</v>
      </c>
      <c r="E4" s="545"/>
      <c r="L4" s="555" t="s">
        <v>409</v>
      </c>
      <c r="M4" s="554" t="s">
        <v>410</v>
      </c>
    </row>
    <row r="5" spans="2:17" x14ac:dyDescent="0.2">
      <c r="C5" s="58" t="s">
        <v>411</v>
      </c>
      <c r="D5" s="546">
        <f>'Status Quo Estimation'!S145</f>
        <v>0</v>
      </c>
      <c r="E5" s="546"/>
    </row>
    <row r="6" spans="2:17" x14ac:dyDescent="0.2">
      <c r="C6" s="58" t="s">
        <v>412</v>
      </c>
      <c r="D6" s="546">
        <f>'Status Quo Estimation'!S152</f>
        <v>0</v>
      </c>
      <c r="E6" s="546"/>
    </row>
    <row r="7" spans="2:17" x14ac:dyDescent="0.2">
      <c r="C7" s="58" t="s">
        <v>413</v>
      </c>
      <c r="D7" s="546">
        <f>'Status Quo Estimation'!S159</f>
        <v>0</v>
      </c>
      <c r="E7" s="546"/>
    </row>
    <row r="8" spans="2:17" x14ac:dyDescent="0.2">
      <c r="B8" s="59"/>
      <c r="M8" s="520" t="s">
        <v>392</v>
      </c>
      <c r="N8" s="520" t="s">
        <v>393</v>
      </c>
      <c r="O8" s="520" t="s">
        <v>399</v>
      </c>
      <c r="P8" s="520" t="s">
        <v>400</v>
      </c>
      <c r="Q8" s="520" t="s">
        <v>396</v>
      </c>
    </row>
    <row r="9" spans="2:17" x14ac:dyDescent="0.2">
      <c r="B9" s="547" t="s">
        <v>414</v>
      </c>
      <c r="C9" s="547"/>
      <c r="D9" s="281" t="s">
        <v>415</v>
      </c>
      <c r="E9" s="281" t="s">
        <v>410</v>
      </c>
      <c r="F9" s="548" t="s">
        <v>416</v>
      </c>
      <c r="G9" s="548" t="s">
        <v>417</v>
      </c>
      <c r="H9" s="548" t="s">
        <v>418</v>
      </c>
      <c r="J9" s="556" t="s">
        <v>419</v>
      </c>
      <c r="L9" s="58" t="s">
        <v>397</v>
      </c>
      <c r="M9" s="473"/>
      <c r="N9" s="473"/>
      <c r="O9" s="473"/>
      <c r="P9" s="473"/>
      <c r="Q9" s="473">
        <f>J11</f>
        <v>0</v>
      </c>
    </row>
    <row r="10" spans="2:17" x14ac:dyDescent="0.2">
      <c r="D10" s="520"/>
      <c r="E10" s="520"/>
      <c r="F10" s="520"/>
      <c r="G10" s="520"/>
      <c r="H10" s="520"/>
      <c r="J10" s="557"/>
      <c r="L10" s="58" t="s">
        <v>420</v>
      </c>
      <c r="M10" s="473">
        <f>Q9-O10</f>
        <v>0</v>
      </c>
      <c r="N10" s="473"/>
      <c r="O10" s="473">
        <f>-J12</f>
        <v>0</v>
      </c>
      <c r="P10" s="473"/>
      <c r="Q10" s="473"/>
    </row>
    <row r="11" spans="2:17" x14ac:dyDescent="0.2">
      <c r="B11" s="58" t="s">
        <v>421</v>
      </c>
      <c r="D11" s="546">
        <f>(D5*'Benchmark Assumptions'!$K$65)/'Benchmark Assumptions'!$K$63+(D6*'Benchmark Assumptions'!$K$65)/'Benchmark Assumptions'!$K$63+(D7*'Benchmark Assumptions'!$K$65)/'Benchmark Assumptions'!$K$63</f>
        <v>0</v>
      </c>
      <c r="E11" s="549">
        <f>D11/'Benchmark Assumptions'!$K$65</f>
        <v>0</v>
      </c>
      <c r="F11" s="550">
        <f>IF('1-Client Variables'!$D$31="Yes",ROUND(D5/'Benchmark Assumptions'!$K$63,0)+ROUND(D6/'Benchmark Assumptions'!$K$63,0)+ROUND(D7/'Benchmark Assumptions'!$K$63,0),0)</f>
        <v>0</v>
      </c>
      <c r="G11" s="551">
        <f>F11*'Benchmark Assumptions'!$K$64</f>
        <v>0</v>
      </c>
      <c r="H11" s="546">
        <f>G11*'1-Client Variables'!$D$11</f>
        <v>0</v>
      </c>
      <c r="J11" s="558">
        <f>IF($M$4=$D$9,D11,IF($M$4=$E$9,E11,IF($M$4=$F$9,F11,IF($M$4=$G$9,G11,IF($M$4=$H$9,H11,"Error Selection")))))</f>
        <v>0</v>
      </c>
      <c r="L11" s="58" t="s">
        <v>422</v>
      </c>
      <c r="M11" s="473">
        <f>M10</f>
        <v>0</v>
      </c>
      <c r="N11" s="473"/>
      <c r="O11" s="473"/>
      <c r="P11" s="473">
        <f>J13</f>
        <v>0</v>
      </c>
      <c r="Q11" s="473"/>
    </row>
    <row r="12" spans="2:17" x14ac:dyDescent="0.2">
      <c r="B12" s="58" t="s">
        <v>420</v>
      </c>
      <c r="D12" s="546">
        <f>-D11*'Benchmark Assumptions'!$K$67</f>
        <v>0</v>
      </c>
      <c r="E12" s="549">
        <f>D12/'Benchmark Assumptions'!$K$65</f>
        <v>0</v>
      </c>
      <c r="F12" s="550">
        <f>IF('1-Client Variables'!$D$31="Yes",-ROUND(ROUND(D5/'Benchmark Assumptions'!$K$63,0)*'Benchmark Assumptions'!$K$67+ROUND(D6/'Benchmark Assumptions'!$K$63,0)*'Benchmark Assumptions'!$K$67+ROUND(D7/'Benchmark Assumptions'!$K$63,0)*'Benchmark Assumptions'!$K$67,0),0)</f>
        <v>0</v>
      </c>
      <c r="G12" s="551">
        <f>F12*'Benchmark Assumptions'!$K$64</f>
        <v>0</v>
      </c>
      <c r="H12" s="546">
        <f>G12*'1-Client Variables'!$D$11</f>
        <v>0</v>
      </c>
      <c r="J12" s="558">
        <f>IF($M$4=$D$9,D12,IF($M$4=$E$9,E12,IF($M$4=$F$9,F12,IF($M$4=$G$9,G12,IF($M$4=$H$9,H12,"Error Selection")))))</f>
        <v>0</v>
      </c>
      <c r="L12" s="58" t="s">
        <v>273</v>
      </c>
      <c r="M12" s="473"/>
      <c r="N12" s="473">
        <f>J15</f>
        <v>0</v>
      </c>
      <c r="O12" s="473"/>
      <c r="P12" s="473"/>
      <c r="Q12" s="473"/>
    </row>
    <row r="13" spans="2:17" x14ac:dyDescent="0.2">
      <c r="B13" s="58" t="s">
        <v>422</v>
      </c>
      <c r="D13" s="546">
        <f>-D12*(1-'Benchmark Assumptions'!$K$68)</f>
        <v>0</v>
      </c>
      <c r="E13" s="549">
        <f>D13/'Benchmark Assumptions'!$K$65</f>
        <v>0</v>
      </c>
      <c r="F13" s="552">
        <f>IF('1-Client Variables'!$D$31="Yes",ROUND(ROUND(D5/'Benchmark Assumptions'!$K$63,0)*'Benchmark Assumptions'!$K$67*(1-'Benchmark Assumptions'!$K$68)+ROUND(D6/'Benchmark Assumptions'!$K$63,0)*'Benchmark Assumptions'!$K$67*(1-'Benchmark Assumptions'!$K$68)+ROUND(D7/'Benchmark Assumptions'!$K$63,0)*'Benchmark Assumptions'!$K$67*(1-'Benchmark Assumptions'!$K$68),0),0)</f>
        <v>0</v>
      </c>
      <c r="G13" s="551">
        <f>F13*'Benchmark Assumptions'!$K$64</f>
        <v>0</v>
      </c>
      <c r="H13" s="546">
        <f>G13*'1-Client Variables'!$D$11</f>
        <v>0</v>
      </c>
      <c r="J13" s="558">
        <f>IF($M$4=$D$9,D13,IF($M$4=$E$9,E13,IF($M$4=$F$9,F13,IF($M$4=$G$9,G13,IF($M$4=$H$9,H13,"Error Selection")))))</f>
        <v>0</v>
      </c>
      <c r="M13" s="518"/>
    </row>
    <row r="14" spans="2:17" x14ac:dyDescent="0.2">
      <c r="B14" s="560" t="s">
        <v>423</v>
      </c>
      <c r="C14" s="561"/>
      <c r="D14" s="562">
        <f>D12+D13</f>
        <v>0</v>
      </c>
      <c r="E14" s="563">
        <f>D14/'Benchmark Assumptions'!$K$65</f>
        <v>0</v>
      </c>
      <c r="F14" s="564">
        <f>F12+F13</f>
        <v>0</v>
      </c>
      <c r="G14" s="565">
        <f>F14*'Benchmark Assumptions'!$K$64</f>
        <v>0</v>
      </c>
      <c r="H14" s="566">
        <f>G14*'1-Client Variables'!$D$11</f>
        <v>0</v>
      </c>
      <c r="J14" s="558">
        <f>IF($M$4=$D$9,D14,IF($M$4=$E$9,E14,IF($M$4=$F$9,F14,IF($M$4=$G$9,G14,IF($M$4=$H$9,H14,"Error Selection")))))</f>
        <v>0</v>
      </c>
      <c r="M14" s="508"/>
    </row>
    <row r="15" spans="2:17" x14ac:dyDescent="0.2">
      <c r="B15" s="58" t="s">
        <v>424</v>
      </c>
      <c r="D15" s="546">
        <f>D11+D14</f>
        <v>0</v>
      </c>
      <c r="E15" s="549">
        <f>D15/'Benchmark Assumptions'!$K$65</f>
        <v>0</v>
      </c>
      <c r="F15" s="550">
        <f t="shared" ref="F15:H15" si="0">F11+F14</f>
        <v>0</v>
      </c>
      <c r="G15" s="551">
        <f t="shared" si="0"/>
        <v>0</v>
      </c>
      <c r="H15" s="546">
        <f t="shared" si="0"/>
        <v>0</v>
      </c>
      <c r="J15" s="558">
        <f>IF($M$4=$D$9,D15,IF($M$4=$E$9,E15,IF($M$4=$F$9,F15,IF($M$4=$G$9,G15,IF($M$4=$H$9,H15,"Error Selection")))))</f>
        <v>0</v>
      </c>
    </row>
    <row r="16" spans="2:17" x14ac:dyDescent="0.2">
      <c r="L16" s="467" t="str">
        <f>M4</f>
        <v>Full-Time Equivalent</v>
      </c>
      <c r="N16" s="553"/>
    </row>
    <row r="17" spans="3:8" x14ac:dyDescent="0.2">
      <c r="D17" s="520"/>
      <c r="E17" s="520"/>
      <c r="F17" s="62" t="s">
        <v>425</v>
      </c>
      <c r="G17" s="520"/>
      <c r="H17" s="520"/>
    </row>
    <row r="23" spans="3:8" x14ac:dyDescent="0.2">
      <c r="C23" s="519"/>
    </row>
    <row r="24" spans="3:8" x14ac:dyDescent="0.2">
      <c r="C24" s="519"/>
      <c r="D24" s="519"/>
    </row>
    <row r="25" spans="3:8" x14ac:dyDescent="0.2">
      <c r="C25" s="519"/>
      <c r="D25" s="519"/>
    </row>
  </sheetData>
  <dataValidations count="1">
    <dataValidation type="list" allowBlank="1" showInputMessage="1" showErrorMessage="1" sqref="M4" xr:uid="{D2D7F8AD-7941-47B0-AFD3-9A10B3C97571}">
      <formula1>$D$9:$H$9</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24376-0AB8-45C0-B0DD-65150E8E0CBC}">
  <sheetPr codeName="Sheet13">
    <tabColor theme="4"/>
  </sheetPr>
  <dimension ref="B1:Q19"/>
  <sheetViews>
    <sheetView showGridLines="0" topLeftCell="A13" workbookViewId="0">
      <selection activeCell="U20" sqref="U20"/>
    </sheetView>
  </sheetViews>
  <sheetFormatPr baseColWidth="10" defaultColWidth="8.83203125" defaultRowHeight="15" outlineLevelRow="1" x14ac:dyDescent="0.2"/>
  <cols>
    <col min="1" max="1" width="1" style="58" customWidth="1"/>
    <col min="2" max="2" width="3.5" style="58" customWidth="1"/>
    <col min="3" max="3" width="34.83203125" style="58" customWidth="1"/>
    <col min="4" max="15" width="14.5" style="58" customWidth="1"/>
    <col min="16" max="16384" width="8.83203125" style="58"/>
  </cols>
  <sheetData>
    <row r="1" spans="2:17" x14ac:dyDescent="0.2">
      <c r="B1" s="434"/>
      <c r="D1" s="435"/>
      <c r="F1" s="434"/>
    </row>
    <row r="2" spans="2:17" x14ac:dyDescent="0.2">
      <c r="B2" s="59" t="s">
        <v>426</v>
      </c>
      <c r="D2" s="434"/>
      <c r="F2" s="434"/>
    </row>
    <row r="3" spans="2:17" x14ac:dyDescent="0.2">
      <c r="B3" s="59"/>
      <c r="D3" s="434"/>
      <c r="F3" s="434"/>
      <c r="N3" s="521" t="s">
        <v>427</v>
      </c>
    </row>
    <row r="4" spans="2:17" x14ac:dyDescent="0.2">
      <c r="B4" s="59"/>
      <c r="C4" s="58" t="s">
        <v>428</v>
      </c>
      <c r="D4" s="435"/>
      <c r="F4" s="434"/>
      <c r="M4" s="522" t="s">
        <v>429</v>
      </c>
      <c r="N4" s="523">
        <v>0.03</v>
      </c>
      <c r="O4" s="467" t="s">
        <v>430</v>
      </c>
      <c r="P4" s="467" t="s">
        <v>431</v>
      </c>
    </row>
    <row r="5" spans="2:17" x14ac:dyDescent="0.2">
      <c r="M5" s="522" t="s">
        <v>432</v>
      </c>
      <c r="N5" s="524">
        <f>WACC</f>
        <v>7.0000000000000007E-2</v>
      </c>
    </row>
    <row r="6" spans="2:17" x14ac:dyDescent="0.2">
      <c r="M6" s="522"/>
      <c r="N6" s="525"/>
    </row>
    <row r="7" spans="2:17" x14ac:dyDescent="0.2">
      <c r="D7" s="309">
        <v>0</v>
      </c>
      <c r="E7" s="309">
        <v>1</v>
      </c>
      <c r="F7" s="309">
        <f>E7+1</f>
        <v>2</v>
      </c>
      <c r="G7" s="309">
        <f t="shared" ref="G7:H7" si="0">F7+1</f>
        <v>3</v>
      </c>
      <c r="H7" s="309">
        <f t="shared" si="0"/>
        <v>4</v>
      </c>
      <c r="I7" s="309">
        <f>H7+1</f>
        <v>5</v>
      </c>
      <c r="J7" s="309">
        <f>I7+1</f>
        <v>6</v>
      </c>
      <c r="K7" s="309">
        <f>J7+1</f>
        <v>7</v>
      </c>
      <c r="L7" s="309">
        <f t="shared" ref="L7:N7" si="1">K7+1</f>
        <v>8</v>
      </c>
      <c r="M7" s="309">
        <f t="shared" si="1"/>
        <v>9</v>
      </c>
      <c r="N7" s="309">
        <f t="shared" si="1"/>
        <v>10</v>
      </c>
      <c r="O7" s="526" t="s">
        <v>262</v>
      </c>
    </row>
    <row r="8" spans="2:17" x14ac:dyDescent="0.2">
      <c r="C8" s="58" t="s">
        <v>433</v>
      </c>
      <c r="D8" s="508" t="e">
        <f>'Detailed Financial Case'!C75</f>
        <v>#DIV/0!</v>
      </c>
      <c r="E8" s="508" t="e">
        <f>'Detailed Financial Case'!D75</f>
        <v>#DIV/0!</v>
      </c>
      <c r="F8" s="508" t="e">
        <f>'Detailed Financial Case'!E75</f>
        <v>#DIV/0!</v>
      </c>
      <c r="G8" s="508" t="e">
        <f>'Detailed Financial Case'!F75</f>
        <v>#DIV/0!</v>
      </c>
      <c r="H8" s="508" t="e">
        <f>'Detailed Financial Case'!G75</f>
        <v>#DIV/0!</v>
      </c>
      <c r="I8" s="508" t="e">
        <f>'Detailed Financial Case'!H75</f>
        <v>#DIV/0!</v>
      </c>
      <c r="J8" s="508" t="e">
        <f>'Detailed Financial Case'!I75</f>
        <v>#DIV/0!</v>
      </c>
      <c r="K8" s="508" t="e">
        <f>'Detailed Financial Case'!J75</f>
        <v>#DIV/0!</v>
      </c>
      <c r="L8" s="508" t="e">
        <f>'Detailed Financial Case'!K75</f>
        <v>#DIV/0!</v>
      </c>
      <c r="M8" s="508" t="e">
        <f>'Detailed Financial Case'!L75</f>
        <v>#DIV/0!</v>
      </c>
      <c r="N8" s="508" t="e">
        <f>'Detailed Financial Case'!M75</f>
        <v>#DIV/0!</v>
      </c>
      <c r="O8" s="527"/>
    </row>
    <row r="9" spans="2:17" x14ac:dyDescent="0.2">
      <c r="C9" s="468" t="s">
        <v>434</v>
      </c>
      <c r="D9" s="528" t="e">
        <f>D8</f>
        <v>#DIV/0!</v>
      </c>
      <c r="E9" s="528" t="e">
        <f>'Detailed Financial Case'!Q75</f>
        <v>#DIV/0!</v>
      </c>
      <c r="F9" s="528" t="e">
        <f>'Detailed Financial Case'!R75</f>
        <v>#DIV/0!</v>
      </c>
      <c r="G9" s="528" t="e">
        <f>'Detailed Financial Case'!S75</f>
        <v>#DIV/0!</v>
      </c>
      <c r="H9" s="528" t="e">
        <f>'Detailed Financial Case'!T75</f>
        <v>#DIV/0!</v>
      </c>
      <c r="I9" s="528" t="e">
        <f>'Detailed Financial Case'!U75</f>
        <v>#DIV/0!</v>
      </c>
      <c r="J9" s="528" t="e">
        <f>'Detailed Financial Case'!V75</f>
        <v>#DIV/0!</v>
      </c>
      <c r="K9" s="528" t="e">
        <f>'Detailed Financial Case'!W75</f>
        <v>#DIV/0!</v>
      </c>
      <c r="L9" s="528" t="e">
        <f>'Detailed Financial Case'!X75</f>
        <v>#DIV/0!</v>
      </c>
      <c r="M9" s="528" t="e">
        <f>'Detailed Financial Case'!Y75</f>
        <v>#DIV/0!</v>
      </c>
      <c r="N9" s="528" t="e">
        <f>'Detailed Financial Case'!Z75</f>
        <v>#DIV/0!</v>
      </c>
      <c r="O9" s="529"/>
    </row>
    <row r="10" spans="2:17" x14ac:dyDescent="0.2">
      <c r="C10" s="58" t="s">
        <v>435</v>
      </c>
      <c r="D10" s="508" t="e">
        <f>D8-D9</f>
        <v>#DIV/0!</v>
      </c>
      <c r="E10" s="508" t="e">
        <f t="shared" ref="E10:N10" si="2">E8-E9</f>
        <v>#DIV/0!</v>
      </c>
      <c r="F10" s="508" t="e">
        <f t="shared" si="2"/>
        <v>#DIV/0!</v>
      </c>
      <c r="G10" s="508" t="e">
        <f t="shared" si="2"/>
        <v>#DIV/0!</v>
      </c>
      <c r="H10" s="508" t="e">
        <f t="shared" si="2"/>
        <v>#DIV/0!</v>
      </c>
      <c r="I10" s="508" t="e">
        <f t="shared" si="2"/>
        <v>#DIV/0!</v>
      </c>
      <c r="J10" s="508" t="e">
        <f t="shared" si="2"/>
        <v>#DIV/0!</v>
      </c>
      <c r="K10" s="508" t="e">
        <f t="shared" si="2"/>
        <v>#DIV/0!</v>
      </c>
      <c r="L10" s="508" t="e">
        <f t="shared" si="2"/>
        <v>#DIV/0!</v>
      </c>
      <c r="M10" s="508" t="e">
        <f t="shared" si="2"/>
        <v>#DIV/0!</v>
      </c>
      <c r="N10" s="508" t="e">
        <f t="shared" si="2"/>
        <v>#DIV/0!</v>
      </c>
      <c r="O10" s="530" t="e">
        <f>SUM(E10:N10)</f>
        <v>#DIV/0!</v>
      </c>
      <c r="P10" s="531" t="s">
        <v>436</v>
      </c>
    </row>
    <row r="11" spans="2:17" x14ac:dyDescent="0.2">
      <c r="D11" s="508"/>
      <c r="E11" s="508"/>
      <c r="F11" s="508"/>
      <c r="G11" s="508"/>
      <c r="H11" s="508"/>
      <c r="I11" s="508"/>
      <c r="J11" s="508"/>
      <c r="K11" s="508"/>
      <c r="L11" s="508"/>
      <c r="M11" s="508"/>
      <c r="N11" s="508"/>
      <c r="O11" s="532"/>
    </row>
    <row r="12" spans="2:17" x14ac:dyDescent="0.2">
      <c r="C12" s="59" t="s">
        <v>437</v>
      </c>
      <c r="D12" s="508">
        <v>0</v>
      </c>
      <c r="E12" s="508" t="e">
        <f>D15+D17</f>
        <v>#DIV/0!</v>
      </c>
      <c r="F12" s="508" t="e">
        <f>E15+E17</f>
        <v>#DIV/0!</v>
      </c>
      <c r="G12" s="508" t="e">
        <f t="shared" ref="G12:M12" si="3">F15+F17</f>
        <v>#DIV/0!</v>
      </c>
      <c r="H12" s="508" t="e">
        <f t="shared" si="3"/>
        <v>#DIV/0!</v>
      </c>
      <c r="I12" s="508" t="e">
        <f t="shared" si="3"/>
        <v>#DIV/0!</v>
      </c>
      <c r="J12" s="508" t="e">
        <f>I15+I17</f>
        <v>#DIV/0!</v>
      </c>
      <c r="K12" s="508" t="e">
        <f t="shared" si="3"/>
        <v>#DIV/0!</v>
      </c>
      <c r="L12" s="508" t="e">
        <f t="shared" si="3"/>
        <v>#DIV/0!</v>
      </c>
      <c r="M12" s="508" t="e">
        <f t="shared" si="3"/>
        <v>#DIV/0!</v>
      </c>
      <c r="N12" s="508" t="e">
        <f>M15+M17</f>
        <v>#DIV/0!</v>
      </c>
      <c r="O12" s="532"/>
    </row>
    <row r="13" spans="2:17" x14ac:dyDescent="0.2">
      <c r="C13" s="533" t="s">
        <v>438</v>
      </c>
      <c r="D13" s="528" t="e">
        <f>D10</f>
        <v>#DIV/0!</v>
      </c>
      <c r="E13" s="528" t="e">
        <f t="shared" ref="E13:N13" si="4">E10</f>
        <v>#DIV/0!</v>
      </c>
      <c r="F13" s="528" t="e">
        <f>F10</f>
        <v>#DIV/0!</v>
      </c>
      <c r="G13" s="528" t="e">
        <f t="shared" si="4"/>
        <v>#DIV/0!</v>
      </c>
      <c r="H13" s="528" t="e">
        <f t="shared" si="4"/>
        <v>#DIV/0!</v>
      </c>
      <c r="I13" s="528" t="e">
        <f t="shared" si="4"/>
        <v>#DIV/0!</v>
      </c>
      <c r="J13" s="528" t="e">
        <f t="shared" si="4"/>
        <v>#DIV/0!</v>
      </c>
      <c r="K13" s="528" t="e">
        <f t="shared" si="4"/>
        <v>#DIV/0!</v>
      </c>
      <c r="L13" s="528" t="e">
        <f t="shared" si="4"/>
        <v>#DIV/0!</v>
      </c>
      <c r="M13" s="528" t="e">
        <f t="shared" si="4"/>
        <v>#DIV/0!</v>
      </c>
      <c r="N13" s="528" t="e">
        <f t="shared" si="4"/>
        <v>#DIV/0!</v>
      </c>
      <c r="O13" s="529"/>
      <c r="P13" s="59" t="s">
        <v>439</v>
      </c>
    </row>
    <row r="14" spans="2:17" hidden="1" outlineLevel="1" x14ac:dyDescent="0.2">
      <c r="C14" s="59" t="s">
        <v>440</v>
      </c>
      <c r="D14" s="508"/>
      <c r="E14" s="508"/>
      <c r="F14" s="508"/>
      <c r="G14" s="508"/>
      <c r="H14" s="508"/>
      <c r="I14" s="508"/>
      <c r="J14" s="508"/>
      <c r="K14" s="508"/>
      <c r="L14" s="508"/>
      <c r="M14" s="508"/>
      <c r="N14" s="508"/>
      <c r="O14" s="532"/>
      <c r="P14" s="59" t="s">
        <v>441</v>
      </c>
    </row>
    <row r="15" spans="2:17" collapsed="1" x14ac:dyDescent="0.2">
      <c r="C15" s="59" t="s">
        <v>442</v>
      </c>
      <c r="D15" s="534" t="e">
        <f>SUM(D12:D14)</f>
        <v>#DIV/0!</v>
      </c>
      <c r="E15" s="534" t="e">
        <f t="shared" ref="E15:M15" si="5">SUM(E12:E14)</f>
        <v>#DIV/0!</v>
      </c>
      <c r="F15" s="534" t="e">
        <f>SUM(F12:F14)</f>
        <v>#DIV/0!</v>
      </c>
      <c r="G15" s="534" t="e">
        <f t="shared" si="5"/>
        <v>#DIV/0!</v>
      </c>
      <c r="H15" s="534" t="e">
        <f t="shared" si="5"/>
        <v>#DIV/0!</v>
      </c>
      <c r="I15" s="534" t="e">
        <f>SUM(I12:I14)</f>
        <v>#DIV/0!</v>
      </c>
      <c r="J15" s="534" t="e">
        <f>SUM(J12:J14)</f>
        <v>#DIV/0!</v>
      </c>
      <c r="K15" s="534" t="e">
        <f t="shared" si="5"/>
        <v>#DIV/0!</v>
      </c>
      <c r="L15" s="534" t="e">
        <f t="shared" si="5"/>
        <v>#DIV/0!</v>
      </c>
      <c r="M15" s="534" t="e">
        <f t="shared" si="5"/>
        <v>#DIV/0!</v>
      </c>
      <c r="N15" s="534" t="e">
        <f>SUM(N12:N14)</f>
        <v>#DIV/0!</v>
      </c>
      <c r="O15" s="532"/>
      <c r="Q15" s="535" t="s">
        <v>443</v>
      </c>
    </row>
    <row r="16" spans="2:17" x14ac:dyDescent="0.2">
      <c r="D16" s="508"/>
      <c r="E16" s="508"/>
      <c r="F16" s="508"/>
      <c r="G16" s="508"/>
      <c r="H16" s="508"/>
      <c r="I16" s="508"/>
      <c r="J16" s="508"/>
      <c r="K16" s="508"/>
      <c r="L16" s="508"/>
      <c r="M16" s="508"/>
      <c r="N16" s="508"/>
      <c r="O16" s="532"/>
    </row>
    <row r="17" spans="3:15" ht="16" thickBot="1" x14ac:dyDescent="0.25">
      <c r="C17" s="536" t="s">
        <v>444</v>
      </c>
      <c r="D17" s="537" t="e">
        <f t="shared" ref="D17:J17" si="6">IF(D15&gt;0,D15*$N$4,0)</f>
        <v>#DIV/0!</v>
      </c>
      <c r="E17" s="537" t="e">
        <f>IF(E15&gt;0,E15*$N$4,0)</f>
        <v>#DIV/0!</v>
      </c>
      <c r="F17" s="537" t="e">
        <f>IF(F15&gt;0,F15*$N$4,0)</f>
        <v>#DIV/0!</v>
      </c>
      <c r="G17" s="537" t="e">
        <f>IF(G15&gt;0,G15*$N$4,0)</f>
        <v>#DIV/0!</v>
      </c>
      <c r="H17" s="537" t="e">
        <f t="shared" si="6"/>
        <v>#DIV/0!</v>
      </c>
      <c r="I17" s="537" t="e">
        <f t="shared" si="6"/>
        <v>#DIV/0!</v>
      </c>
      <c r="J17" s="537" t="e">
        <f t="shared" si="6"/>
        <v>#DIV/0!</v>
      </c>
      <c r="K17" s="537" t="e">
        <f t="shared" ref="K17:N17" si="7">IF(K15&gt;0,K15*$N$4,0)</f>
        <v>#DIV/0!</v>
      </c>
      <c r="L17" s="537" t="e">
        <f t="shared" si="7"/>
        <v>#DIV/0!</v>
      </c>
      <c r="M17" s="537" t="e">
        <f t="shared" si="7"/>
        <v>#DIV/0!</v>
      </c>
      <c r="N17" s="537" t="e">
        <f t="shared" si="7"/>
        <v>#DIV/0!</v>
      </c>
      <c r="O17" s="538" t="e">
        <f>SUM(E17:N17)</f>
        <v>#DIV/0!</v>
      </c>
    </row>
    <row r="18" spans="3:15" ht="16" thickBot="1" x14ac:dyDescent="0.25">
      <c r="C18" s="539" t="s">
        <v>445</v>
      </c>
      <c r="D18" s="540" t="e">
        <f>D17</f>
        <v>#DIV/0!</v>
      </c>
      <c r="E18" s="540" t="e">
        <f t="shared" ref="E18:N18" si="8">E17/(1+WACC)^E7</f>
        <v>#DIV/0!</v>
      </c>
      <c r="F18" s="540" t="e">
        <f t="shared" si="8"/>
        <v>#DIV/0!</v>
      </c>
      <c r="G18" s="540" t="e">
        <f t="shared" si="8"/>
        <v>#DIV/0!</v>
      </c>
      <c r="H18" s="540" t="e">
        <f t="shared" si="8"/>
        <v>#DIV/0!</v>
      </c>
      <c r="I18" s="540" t="e">
        <f t="shared" si="8"/>
        <v>#DIV/0!</v>
      </c>
      <c r="J18" s="540" t="e">
        <f t="shared" si="8"/>
        <v>#DIV/0!</v>
      </c>
      <c r="K18" s="540" t="e">
        <f t="shared" si="8"/>
        <v>#DIV/0!</v>
      </c>
      <c r="L18" s="540" t="e">
        <f t="shared" si="8"/>
        <v>#DIV/0!</v>
      </c>
      <c r="M18" s="540" t="e">
        <f t="shared" si="8"/>
        <v>#DIV/0!</v>
      </c>
      <c r="N18" s="540" t="e">
        <f t="shared" si="8"/>
        <v>#DIV/0!</v>
      </c>
      <c r="O18" s="541" t="e">
        <f>SUM(E18:N18)</f>
        <v>#DIV/0!</v>
      </c>
    </row>
    <row r="19" spans="3:15" ht="16" thickBot="1" x14ac:dyDescent="0.25">
      <c r="C19" s="539" t="s">
        <v>446</v>
      </c>
      <c r="D19" s="540" t="e">
        <f>D18</f>
        <v>#DIV/0!</v>
      </c>
      <c r="E19" s="540" t="e">
        <f>E18</f>
        <v>#DIV/0!</v>
      </c>
      <c r="F19" s="540" t="e">
        <f>E19+F18</f>
        <v>#DIV/0!</v>
      </c>
      <c r="G19" s="540" t="e">
        <f t="shared" ref="G19:N19" si="9">F19+G18</f>
        <v>#DIV/0!</v>
      </c>
      <c r="H19" s="540" t="e">
        <f t="shared" si="9"/>
        <v>#DIV/0!</v>
      </c>
      <c r="I19" s="540" t="e">
        <f t="shared" si="9"/>
        <v>#DIV/0!</v>
      </c>
      <c r="J19" s="540" t="e">
        <f t="shared" si="9"/>
        <v>#DIV/0!</v>
      </c>
      <c r="K19" s="540" t="e">
        <f t="shared" si="9"/>
        <v>#DIV/0!</v>
      </c>
      <c r="L19" s="540" t="e">
        <f t="shared" si="9"/>
        <v>#DIV/0!</v>
      </c>
      <c r="M19" s="540" t="e">
        <f t="shared" si="9"/>
        <v>#DIV/0!</v>
      </c>
      <c r="N19" s="540" t="e">
        <f t="shared" si="9"/>
        <v>#DIV/0!</v>
      </c>
      <c r="O19" s="542"/>
    </row>
  </sheetData>
  <conditionalFormatting sqref="D8:N10 O9 D15:N18 O17:O18 D19:O19">
    <cfRule type="cellIs" dxfId="62" priority="4" operator="lessThan">
      <formula>0</formula>
    </cfRule>
  </conditionalFormatting>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037BB-D645-4321-B531-853752D8596F}">
  <sheetPr codeName="Sheet14">
    <tabColor theme="0" tint="-4.9989318521683403E-2"/>
  </sheetPr>
  <dimension ref="B1:O33"/>
  <sheetViews>
    <sheetView showGridLines="0" workbookViewId="0">
      <selection sqref="A1:XFD2"/>
    </sheetView>
  </sheetViews>
  <sheetFormatPr baseColWidth="10" defaultColWidth="8.83203125" defaultRowHeight="13" x14ac:dyDescent="0.2"/>
  <cols>
    <col min="1" max="1" width="1" style="1" customWidth="1"/>
    <col min="2" max="2" width="3.5" style="1" customWidth="1"/>
    <col min="3" max="3" width="32.83203125" style="1" bestFit="1" customWidth="1"/>
    <col min="4" max="14" width="10" style="1" customWidth="1"/>
    <col min="15" max="16384" width="8.83203125" style="1"/>
  </cols>
  <sheetData>
    <row r="1" spans="2:15" x14ac:dyDescent="0.2">
      <c r="B1" s="41"/>
      <c r="D1" s="43"/>
      <c r="F1" s="41"/>
    </row>
    <row r="2" spans="2:15" ht="14" x14ac:dyDescent="0.2">
      <c r="B2" s="2" t="s">
        <v>447</v>
      </c>
      <c r="D2" s="41"/>
      <c r="F2" s="41"/>
    </row>
    <row r="3" spans="2:15" ht="14" x14ac:dyDescent="0.2">
      <c r="B3" s="2"/>
      <c r="D3" s="41"/>
      <c r="F3" s="41"/>
      <c r="N3" s="57" t="s">
        <v>427</v>
      </c>
    </row>
    <row r="4" spans="2:15" ht="14" x14ac:dyDescent="0.2">
      <c r="B4" s="2"/>
      <c r="C4" s="49" t="s">
        <v>448</v>
      </c>
      <c r="D4" s="43"/>
      <c r="F4" s="41"/>
      <c r="M4" s="52" t="s">
        <v>432</v>
      </c>
      <c r="N4" s="53">
        <f>WACC</f>
        <v>7.0000000000000007E-2</v>
      </c>
    </row>
    <row r="6" spans="2:15" x14ac:dyDescent="0.2">
      <c r="D6" s="3">
        <v>0</v>
      </c>
      <c r="E6" s="3">
        <v>1</v>
      </c>
      <c r="F6" s="3">
        <f>E6+1</f>
        <v>2</v>
      </c>
      <c r="G6" s="3">
        <f t="shared" ref="G6:H6" si="0">F6+1</f>
        <v>3</v>
      </c>
      <c r="H6" s="3">
        <f t="shared" si="0"/>
        <v>4</v>
      </c>
      <c r="I6" s="3">
        <f>H6+1</f>
        <v>5</v>
      </c>
      <c r="J6" s="3">
        <f>I6+1</f>
        <v>6</v>
      </c>
      <c r="K6" s="3">
        <f>J6+1</f>
        <v>7</v>
      </c>
      <c r="L6" s="3">
        <f t="shared" ref="L6:N6" si="1">K6+1</f>
        <v>8</v>
      </c>
      <c r="M6" s="3">
        <f t="shared" si="1"/>
        <v>9</v>
      </c>
      <c r="N6" s="3">
        <f t="shared" si="1"/>
        <v>10</v>
      </c>
    </row>
    <row r="7" spans="2:15" x14ac:dyDescent="0.2">
      <c r="C7" s="1" t="s">
        <v>267</v>
      </c>
      <c r="D7" s="42" t="e">
        <f>'Detailed Financial Case'!C75</f>
        <v>#DIV/0!</v>
      </c>
      <c r="E7" s="42" t="e">
        <f>'Detailed Financial Case'!D75</f>
        <v>#DIV/0!</v>
      </c>
      <c r="F7" s="42" t="e">
        <f>'Detailed Financial Case'!E75</f>
        <v>#DIV/0!</v>
      </c>
      <c r="G7" s="42" t="e">
        <f>'Detailed Financial Case'!F75</f>
        <v>#DIV/0!</v>
      </c>
      <c r="H7" s="42" t="e">
        <f>'Detailed Financial Case'!G75</f>
        <v>#DIV/0!</v>
      </c>
      <c r="I7" s="42" t="e">
        <f>'Detailed Financial Case'!H75</f>
        <v>#DIV/0!</v>
      </c>
      <c r="J7" s="42" t="e">
        <f>'Detailed Financial Case'!I75</f>
        <v>#DIV/0!</v>
      </c>
      <c r="K7" s="42" t="e">
        <f>'Detailed Financial Case'!J75</f>
        <v>#DIV/0!</v>
      </c>
      <c r="L7" s="42" t="e">
        <f>'Detailed Financial Case'!K75</f>
        <v>#DIV/0!</v>
      </c>
      <c r="M7" s="42" t="e">
        <f>'Detailed Financial Case'!L75</f>
        <v>#DIV/0!</v>
      </c>
      <c r="N7" s="42" t="e">
        <f>'Detailed Financial Case'!M75</f>
        <v>#DIV/0!</v>
      </c>
    </row>
    <row r="8" spans="2:15" x14ac:dyDescent="0.2">
      <c r="C8" s="45" t="s">
        <v>265</v>
      </c>
      <c r="D8" s="46">
        <v>0</v>
      </c>
      <c r="E8" s="46" t="e">
        <f>SUM('Detailed Financial Case'!Q57,'Detailed Financial Case'!Q60:Q70)</f>
        <v>#DIV/0!</v>
      </c>
      <c r="F8" s="46" t="e">
        <f>SUM('Detailed Financial Case'!R57,'Detailed Financial Case'!R60:R70)</f>
        <v>#DIV/0!</v>
      </c>
      <c r="G8" s="46" t="e">
        <f>SUM('Detailed Financial Case'!S57,'Detailed Financial Case'!S60:S70)</f>
        <v>#DIV/0!</v>
      </c>
      <c r="H8" s="46" t="e">
        <f>SUM('Detailed Financial Case'!T57,'Detailed Financial Case'!T60:T70)</f>
        <v>#DIV/0!</v>
      </c>
      <c r="I8" s="46" t="e">
        <f>SUM('Detailed Financial Case'!U57,'Detailed Financial Case'!U60:U70)</f>
        <v>#DIV/0!</v>
      </c>
      <c r="J8" s="46" t="e">
        <f>SUM('Detailed Financial Case'!V57,'Detailed Financial Case'!V60:V70)</f>
        <v>#DIV/0!</v>
      </c>
      <c r="K8" s="46" t="e">
        <f>SUM('Detailed Financial Case'!W57,'Detailed Financial Case'!W60:W70)</f>
        <v>#DIV/0!</v>
      </c>
      <c r="L8" s="46" t="e">
        <f>SUM('Detailed Financial Case'!X57,'Detailed Financial Case'!X60:X70)</f>
        <v>#DIV/0!</v>
      </c>
      <c r="M8" s="46" t="e">
        <f>SUM('Detailed Financial Case'!Y57,'Detailed Financial Case'!Y60:Y70)</f>
        <v>#DIV/0!</v>
      </c>
      <c r="N8" s="46" t="e">
        <f>SUM('Detailed Financial Case'!Z57,'Detailed Financial Case'!Z60:Z70)</f>
        <v>#DIV/0!</v>
      </c>
    </row>
    <row r="9" spans="2:15" x14ac:dyDescent="0.2">
      <c r="C9" s="49" t="s">
        <v>449</v>
      </c>
      <c r="D9" s="50" t="e">
        <f>D7-D8</f>
        <v>#DIV/0!</v>
      </c>
      <c r="E9" s="50" t="e">
        <f t="shared" ref="E9:N9" si="2">E7-E8</f>
        <v>#DIV/0!</v>
      </c>
      <c r="F9" s="50" t="e">
        <f t="shared" si="2"/>
        <v>#DIV/0!</v>
      </c>
      <c r="G9" s="50" t="e">
        <f t="shared" si="2"/>
        <v>#DIV/0!</v>
      </c>
      <c r="H9" s="50" t="e">
        <f t="shared" si="2"/>
        <v>#DIV/0!</v>
      </c>
      <c r="I9" s="50" t="e">
        <f t="shared" si="2"/>
        <v>#DIV/0!</v>
      </c>
      <c r="J9" s="50" t="e">
        <f t="shared" si="2"/>
        <v>#DIV/0!</v>
      </c>
      <c r="K9" s="50" t="e">
        <f t="shared" si="2"/>
        <v>#DIV/0!</v>
      </c>
      <c r="L9" s="50" t="e">
        <f t="shared" si="2"/>
        <v>#DIV/0!</v>
      </c>
      <c r="M9" s="50" t="e">
        <f t="shared" si="2"/>
        <v>#DIV/0!</v>
      </c>
      <c r="N9" s="50" t="e">
        <f t="shared" si="2"/>
        <v>#DIV/0!</v>
      </c>
      <c r="O9" s="47" t="s">
        <v>450</v>
      </c>
    </row>
    <row r="10" spans="2:15" x14ac:dyDescent="0.2">
      <c r="C10" s="1" t="s">
        <v>279</v>
      </c>
      <c r="D10" s="42">
        <v>0</v>
      </c>
      <c r="E10" s="42">
        <f>-'Detailed Financial Case'!Q71</f>
        <v>0</v>
      </c>
      <c r="F10" s="42">
        <f>-'Detailed Financial Case'!R71</f>
        <v>0</v>
      </c>
      <c r="G10" s="42">
        <f>-'Detailed Financial Case'!S71</f>
        <v>0</v>
      </c>
      <c r="H10" s="42">
        <f>-'Detailed Financial Case'!T71</f>
        <v>0</v>
      </c>
      <c r="I10" s="42">
        <f>-'Detailed Financial Case'!U71</f>
        <v>0</v>
      </c>
      <c r="J10" s="42">
        <f>-'Detailed Financial Case'!V71</f>
        <v>0</v>
      </c>
      <c r="K10" s="42">
        <f>-'Detailed Financial Case'!W71</f>
        <v>0</v>
      </c>
      <c r="L10" s="42">
        <f>-'Detailed Financial Case'!X71</f>
        <v>0</v>
      </c>
      <c r="M10" s="42">
        <f>-'Detailed Financial Case'!Y71</f>
        <v>0</v>
      </c>
      <c r="N10" s="42">
        <f>-'Detailed Financial Case'!Z71</f>
        <v>0</v>
      </c>
      <c r="O10" s="47" t="s">
        <v>450</v>
      </c>
    </row>
    <row r="11" spans="2:15" x14ac:dyDescent="0.2">
      <c r="C11" s="45" t="s">
        <v>451</v>
      </c>
      <c r="D11" s="46">
        <v>0</v>
      </c>
      <c r="E11" s="46">
        <f>-'Detailed Financial Case'!Q72</f>
        <v>0</v>
      </c>
      <c r="F11" s="46">
        <f>-'Detailed Financial Case'!R72</f>
        <v>0</v>
      </c>
      <c r="G11" s="46">
        <f>-'Detailed Financial Case'!S72</f>
        <v>0</v>
      </c>
      <c r="H11" s="46">
        <f>-'Detailed Financial Case'!T72</f>
        <v>0</v>
      </c>
      <c r="I11" s="46">
        <f>-'Detailed Financial Case'!U72</f>
        <v>0</v>
      </c>
      <c r="J11" s="46">
        <f>-'Detailed Financial Case'!V72</f>
        <v>0</v>
      </c>
      <c r="K11" s="46">
        <f>-'Detailed Financial Case'!W72</f>
        <v>0</v>
      </c>
      <c r="L11" s="46">
        <f>-'Detailed Financial Case'!X72</f>
        <v>0</v>
      </c>
      <c r="M11" s="46">
        <f>-'Detailed Financial Case'!Y72</f>
        <v>0</v>
      </c>
      <c r="N11" s="46">
        <f>-'Detailed Financial Case'!Z72</f>
        <v>0</v>
      </c>
      <c r="O11" s="47" t="s">
        <v>452</v>
      </c>
    </row>
    <row r="12" spans="2:15" x14ac:dyDescent="0.2">
      <c r="C12" s="49" t="s">
        <v>453</v>
      </c>
      <c r="D12" s="50" t="e">
        <f>SUM(D9:D11)</f>
        <v>#DIV/0!</v>
      </c>
      <c r="E12" s="50" t="e">
        <f t="shared" ref="E12:N12" si="3">SUM(E9:E11)</f>
        <v>#DIV/0!</v>
      </c>
      <c r="F12" s="50" t="e">
        <f t="shared" si="3"/>
        <v>#DIV/0!</v>
      </c>
      <c r="G12" s="50" t="e">
        <f t="shared" si="3"/>
        <v>#DIV/0!</v>
      </c>
      <c r="H12" s="50" t="e">
        <f t="shared" si="3"/>
        <v>#DIV/0!</v>
      </c>
      <c r="I12" s="50" t="e">
        <f t="shared" si="3"/>
        <v>#DIV/0!</v>
      </c>
      <c r="J12" s="50" t="e">
        <f t="shared" si="3"/>
        <v>#DIV/0!</v>
      </c>
      <c r="K12" s="50" t="e">
        <f t="shared" si="3"/>
        <v>#DIV/0!</v>
      </c>
      <c r="L12" s="50" t="e">
        <f t="shared" si="3"/>
        <v>#DIV/0!</v>
      </c>
      <c r="M12" s="50" t="e">
        <f t="shared" si="3"/>
        <v>#DIV/0!</v>
      </c>
      <c r="N12" s="50" t="e">
        <f t="shared" si="3"/>
        <v>#DIV/0!</v>
      </c>
    </row>
    <row r="13" spans="2:15" x14ac:dyDescent="0.2">
      <c r="D13" s="42"/>
      <c r="E13" s="42"/>
      <c r="F13" s="42"/>
      <c r="G13" s="42"/>
      <c r="H13" s="42"/>
      <c r="I13" s="42"/>
      <c r="J13" s="42"/>
      <c r="K13" s="42"/>
      <c r="L13" s="42"/>
      <c r="M13" s="42"/>
      <c r="N13" s="42"/>
    </row>
    <row r="14" spans="2:15" x14ac:dyDescent="0.2">
      <c r="C14" s="1" t="s">
        <v>454</v>
      </c>
      <c r="D14" s="42" t="e">
        <f>D12</f>
        <v>#DIV/0!</v>
      </c>
      <c r="E14" s="42" t="e">
        <f>E12/(1+WACC)^E6</f>
        <v>#DIV/0!</v>
      </c>
      <c r="F14" s="42" t="e">
        <f t="shared" ref="F14:N14" si="4">F12/(1+WACC)^F6</f>
        <v>#DIV/0!</v>
      </c>
      <c r="G14" s="42" t="e">
        <f>G12/(1+WACC)^G6</f>
        <v>#DIV/0!</v>
      </c>
      <c r="H14" s="42" t="e">
        <f t="shared" si="4"/>
        <v>#DIV/0!</v>
      </c>
      <c r="I14" s="42" t="e">
        <f>I12/(1+WACC)^I6</f>
        <v>#DIV/0!</v>
      </c>
      <c r="J14" s="42" t="e">
        <f t="shared" si="4"/>
        <v>#DIV/0!</v>
      </c>
      <c r="K14" s="42" t="e">
        <f t="shared" si="4"/>
        <v>#DIV/0!</v>
      </c>
      <c r="L14" s="42" t="e">
        <f t="shared" si="4"/>
        <v>#DIV/0!</v>
      </c>
      <c r="M14" s="42" t="e">
        <f t="shared" si="4"/>
        <v>#DIV/0!</v>
      </c>
      <c r="N14" s="42" t="e">
        <f t="shared" si="4"/>
        <v>#DIV/0!</v>
      </c>
    </row>
    <row r="15" spans="2:15" ht="14" thickBot="1" x14ac:dyDescent="0.25">
      <c r="C15" s="51" t="s">
        <v>455</v>
      </c>
      <c r="D15" s="48" t="e">
        <f>D14</f>
        <v>#DIV/0!</v>
      </c>
      <c r="E15" s="48" t="e">
        <f>E14</f>
        <v>#DIV/0!</v>
      </c>
      <c r="F15" s="48" t="e">
        <f>E15+F14</f>
        <v>#DIV/0!</v>
      </c>
      <c r="G15" s="48" t="e">
        <f t="shared" ref="G15:N15" si="5">F15+G14</f>
        <v>#DIV/0!</v>
      </c>
      <c r="H15" s="48" t="e">
        <f t="shared" si="5"/>
        <v>#DIV/0!</v>
      </c>
      <c r="I15" s="48" t="e">
        <f t="shared" si="5"/>
        <v>#DIV/0!</v>
      </c>
      <c r="J15" s="48" t="e">
        <f t="shared" si="5"/>
        <v>#DIV/0!</v>
      </c>
      <c r="K15" s="48" t="e">
        <f t="shared" si="5"/>
        <v>#DIV/0!</v>
      </c>
      <c r="L15" s="48" t="e">
        <f t="shared" si="5"/>
        <v>#DIV/0!</v>
      </c>
      <c r="M15" s="48" t="e">
        <f t="shared" si="5"/>
        <v>#DIV/0!</v>
      </c>
      <c r="N15" s="48" t="e">
        <f t="shared" si="5"/>
        <v>#DIV/0!</v>
      </c>
    </row>
    <row r="16" spans="2:15" x14ac:dyDescent="0.2">
      <c r="C16" s="49" t="s">
        <v>456</v>
      </c>
      <c r="D16" s="44"/>
      <c r="E16" s="44" t="e">
        <f>IF(AND(E15&lt;0,F15&gt;0),E6+(-E15/F14),)</f>
        <v>#DIV/0!</v>
      </c>
      <c r="F16" s="44" t="e">
        <f t="shared" ref="F16:N16" si="6">IF(AND(F15&lt;0,G15&gt;0),F6+(-F15/G14),)</f>
        <v>#DIV/0!</v>
      </c>
      <c r="G16" s="44" t="e">
        <f>IF(AND(G15&lt;0,H15&gt;0),G6+(-G15/H14),)</f>
        <v>#DIV/0!</v>
      </c>
      <c r="H16" s="44" t="e">
        <f t="shared" si="6"/>
        <v>#DIV/0!</v>
      </c>
      <c r="I16" s="44" t="e">
        <f t="shared" si="6"/>
        <v>#DIV/0!</v>
      </c>
      <c r="J16" s="44" t="e">
        <f t="shared" si="6"/>
        <v>#DIV/0!</v>
      </c>
      <c r="K16" s="44" t="e">
        <f t="shared" si="6"/>
        <v>#DIV/0!</v>
      </c>
      <c r="L16" s="44" t="e">
        <f t="shared" si="6"/>
        <v>#DIV/0!</v>
      </c>
      <c r="M16" s="44" t="e">
        <f t="shared" si="6"/>
        <v>#DIV/0!</v>
      </c>
      <c r="N16" s="44" t="e">
        <f t="shared" si="6"/>
        <v>#DIV/0!</v>
      </c>
    </row>
    <row r="21" spans="3:15" x14ac:dyDescent="0.2">
      <c r="C21" s="49" t="s">
        <v>457</v>
      </c>
      <c r="M21" s="52" t="s">
        <v>458</v>
      </c>
      <c r="N21" s="54">
        <v>0</v>
      </c>
    </row>
    <row r="23" spans="3:15" x14ac:dyDescent="0.2">
      <c r="D23" s="3">
        <v>0</v>
      </c>
      <c r="E23" s="3">
        <v>1</v>
      </c>
      <c r="F23" s="3">
        <f>E23+1</f>
        <v>2</v>
      </c>
      <c r="G23" s="3">
        <f t="shared" ref="G23" si="7">F23+1</f>
        <v>3</v>
      </c>
      <c r="H23" s="3">
        <f t="shared" ref="H23" si="8">G23+1</f>
        <v>4</v>
      </c>
      <c r="I23" s="3">
        <f>H23+1</f>
        <v>5</v>
      </c>
      <c r="J23" s="3">
        <f>I23+1</f>
        <v>6</v>
      </c>
      <c r="K23" s="3">
        <f>J23+1</f>
        <v>7</v>
      </c>
      <c r="L23" s="3">
        <f t="shared" ref="L23" si="9">K23+1</f>
        <v>8</v>
      </c>
      <c r="M23" s="3">
        <f t="shared" ref="M23" si="10">L23+1</f>
        <v>9</v>
      </c>
      <c r="N23" s="3">
        <f t="shared" ref="N23" si="11">M23+1</f>
        <v>10</v>
      </c>
    </row>
    <row r="24" spans="3:15" x14ac:dyDescent="0.2">
      <c r="C24" s="1" t="s">
        <v>267</v>
      </c>
      <c r="D24" s="42" t="e">
        <f>'Detailed Financial Case'!C75</f>
        <v>#DIV/0!</v>
      </c>
      <c r="E24" s="42" t="e">
        <f>'Detailed Financial Case'!D75</f>
        <v>#DIV/0!</v>
      </c>
      <c r="F24" s="42" t="e">
        <f>'Detailed Financial Case'!E75</f>
        <v>#DIV/0!</v>
      </c>
      <c r="G24" s="42" t="e">
        <f>'Detailed Financial Case'!F75</f>
        <v>#DIV/0!</v>
      </c>
      <c r="H24" s="42" t="e">
        <f>'Detailed Financial Case'!G75</f>
        <v>#DIV/0!</v>
      </c>
      <c r="I24" s="42" t="e">
        <f>'Detailed Financial Case'!H75</f>
        <v>#DIV/0!</v>
      </c>
      <c r="J24" s="42" t="e">
        <f>'Detailed Financial Case'!I75</f>
        <v>#DIV/0!</v>
      </c>
      <c r="K24" s="42" t="e">
        <f>'Detailed Financial Case'!J75</f>
        <v>#DIV/0!</v>
      </c>
      <c r="L24" s="42" t="e">
        <f>'Detailed Financial Case'!K75</f>
        <v>#DIV/0!</v>
      </c>
      <c r="M24" s="42" t="e">
        <f>'Detailed Financial Case'!L75</f>
        <v>#DIV/0!</v>
      </c>
      <c r="N24" s="42" t="e">
        <f>'Detailed Financial Case'!M75</f>
        <v>#DIV/0!</v>
      </c>
    </row>
    <row r="25" spans="3:15" x14ac:dyDescent="0.2">
      <c r="C25" s="45" t="s">
        <v>265</v>
      </c>
      <c r="D25" s="46">
        <v>0</v>
      </c>
      <c r="E25" s="46" t="e">
        <f>SUM('Detailed Financial Case'!Q57,'Detailed Financial Case'!Q60:Q70)</f>
        <v>#DIV/0!</v>
      </c>
      <c r="F25" s="46" t="e">
        <f>SUM('Detailed Financial Case'!R57,'Detailed Financial Case'!R60:R70)</f>
        <v>#DIV/0!</v>
      </c>
      <c r="G25" s="46" t="e">
        <f>SUM('Detailed Financial Case'!S57,'Detailed Financial Case'!S60:S70)</f>
        <v>#DIV/0!</v>
      </c>
      <c r="H25" s="46" t="e">
        <f>SUM('Detailed Financial Case'!T57,'Detailed Financial Case'!T60:T70)</f>
        <v>#DIV/0!</v>
      </c>
      <c r="I25" s="46" t="e">
        <f>SUM('Detailed Financial Case'!U57,'Detailed Financial Case'!U60:U70)</f>
        <v>#DIV/0!</v>
      </c>
      <c r="J25" s="46" t="e">
        <f>SUM('Detailed Financial Case'!V57,'Detailed Financial Case'!V60:V70)</f>
        <v>#DIV/0!</v>
      </c>
      <c r="K25" s="46" t="e">
        <f>SUM('Detailed Financial Case'!W57,'Detailed Financial Case'!W60:W70)</f>
        <v>#DIV/0!</v>
      </c>
      <c r="L25" s="46" t="e">
        <f>SUM('Detailed Financial Case'!X57,'Detailed Financial Case'!X60:X70)</f>
        <v>#DIV/0!</v>
      </c>
      <c r="M25" s="46" t="e">
        <f>SUM('Detailed Financial Case'!Y57,'Detailed Financial Case'!Y60:Y70)</f>
        <v>#DIV/0!</v>
      </c>
      <c r="N25" s="46" t="e">
        <f>SUM('Detailed Financial Case'!Z57,'Detailed Financial Case'!Z60:Z70)</f>
        <v>#DIV/0!</v>
      </c>
    </row>
    <row r="26" spans="3:15" x14ac:dyDescent="0.2">
      <c r="C26" s="49" t="s">
        <v>449</v>
      </c>
      <c r="D26" s="50" t="e">
        <f>D24-D25</f>
        <v>#DIV/0!</v>
      </c>
      <c r="E26" s="50" t="e">
        <f t="shared" ref="E26:N26" si="12">E24-E25</f>
        <v>#DIV/0!</v>
      </c>
      <c r="F26" s="50" t="e">
        <f t="shared" si="12"/>
        <v>#DIV/0!</v>
      </c>
      <c r="G26" s="50" t="e">
        <f t="shared" si="12"/>
        <v>#DIV/0!</v>
      </c>
      <c r="H26" s="50" t="e">
        <f t="shared" si="12"/>
        <v>#DIV/0!</v>
      </c>
      <c r="I26" s="50" t="e">
        <f t="shared" si="12"/>
        <v>#DIV/0!</v>
      </c>
      <c r="J26" s="50" t="e">
        <f t="shared" si="12"/>
        <v>#DIV/0!</v>
      </c>
      <c r="K26" s="50" t="e">
        <f t="shared" si="12"/>
        <v>#DIV/0!</v>
      </c>
      <c r="L26" s="50" t="e">
        <f t="shared" si="12"/>
        <v>#DIV/0!</v>
      </c>
      <c r="M26" s="50" t="e">
        <f t="shared" si="12"/>
        <v>#DIV/0!</v>
      </c>
      <c r="N26" s="50" t="e">
        <f t="shared" si="12"/>
        <v>#DIV/0!</v>
      </c>
      <c r="O26" s="47" t="s">
        <v>450</v>
      </c>
    </row>
    <row r="27" spans="3:15" x14ac:dyDescent="0.2">
      <c r="C27" s="1" t="s">
        <v>279</v>
      </c>
      <c r="D27" s="42">
        <v>0</v>
      </c>
      <c r="E27" s="42">
        <f>-'Detailed Financial Case'!Q71</f>
        <v>0</v>
      </c>
      <c r="F27" s="42">
        <f>-'Detailed Financial Case'!R71</f>
        <v>0</v>
      </c>
      <c r="G27" s="42">
        <f>-'Detailed Financial Case'!S71</f>
        <v>0</v>
      </c>
      <c r="H27" s="42">
        <f>-'Detailed Financial Case'!T71</f>
        <v>0</v>
      </c>
      <c r="I27" s="42">
        <f>-'Detailed Financial Case'!U71</f>
        <v>0</v>
      </c>
      <c r="J27" s="42">
        <f>-'Detailed Financial Case'!V71</f>
        <v>0</v>
      </c>
      <c r="K27" s="42">
        <f>-'Detailed Financial Case'!W71</f>
        <v>0</v>
      </c>
      <c r="L27" s="42">
        <f>-'Detailed Financial Case'!X71</f>
        <v>0</v>
      </c>
      <c r="M27" s="42">
        <f>-'Detailed Financial Case'!Y71</f>
        <v>0</v>
      </c>
      <c r="N27" s="42">
        <f>-'Detailed Financial Case'!Z71</f>
        <v>0</v>
      </c>
      <c r="O27" s="47" t="s">
        <v>450</v>
      </c>
    </row>
    <row r="28" spans="3:15" x14ac:dyDescent="0.2">
      <c r="C28" s="45" t="s">
        <v>451</v>
      </c>
      <c r="D28" s="46">
        <v>0</v>
      </c>
      <c r="E28" s="46">
        <f>-'Detailed Financial Case'!Q72</f>
        <v>0</v>
      </c>
      <c r="F28" s="46">
        <f>-'Detailed Financial Case'!R72</f>
        <v>0</v>
      </c>
      <c r="G28" s="46">
        <f>-'Detailed Financial Case'!S72</f>
        <v>0</v>
      </c>
      <c r="H28" s="46">
        <f>-'Detailed Financial Case'!T72</f>
        <v>0</v>
      </c>
      <c r="I28" s="46">
        <f>-'Detailed Financial Case'!U72</f>
        <v>0</v>
      </c>
      <c r="J28" s="46">
        <f>-'Detailed Financial Case'!V72</f>
        <v>0</v>
      </c>
      <c r="K28" s="46">
        <f>-'Detailed Financial Case'!W72</f>
        <v>0</v>
      </c>
      <c r="L28" s="46">
        <f>-'Detailed Financial Case'!X72</f>
        <v>0</v>
      </c>
      <c r="M28" s="46">
        <f>-'Detailed Financial Case'!Y72</f>
        <v>0</v>
      </c>
      <c r="N28" s="46">
        <f>-'Detailed Financial Case'!Z72</f>
        <v>0</v>
      </c>
      <c r="O28" s="47" t="s">
        <v>452</v>
      </c>
    </row>
    <row r="29" spans="3:15" x14ac:dyDescent="0.2">
      <c r="C29" s="49" t="s">
        <v>453</v>
      </c>
      <c r="D29" s="50" t="e">
        <f>SUM(D26:D28)</f>
        <v>#DIV/0!</v>
      </c>
      <c r="E29" s="50" t="e">
        <f t="shared" ref="E29:N29" si="13">SUM(E26:E28)</f>
        <v>#DIV/0!</v>
      </c>
      <c r="F29" s="50" t="e">
        <f t="shared" si="13"/>
        <v>#DIV/0!</v>
      </c>
      <c r="G29" s="50" t="e">
        <f t="shared" si="13"/>
        <v>#DIV/0!</v>
      </c>
      <c r="H29" s="50" t="e">
        <f t="shared" si="13"/>
        <v>#DIV/0!</v>
      </c>
      <c r="I29" s="50" t="e">
        <f t="shared" si="13"/>
        <v>#DIV/0!</v>
      </c>
      <c r="J29" s="50" t="e">
        <f t="shared" si="13"/>
        <v>#DIV/0!</v>
      </c>
      <c r="K29" s="50" t="e">
        <f t="shared" si="13"/>
        <v>#DIV/0!</v>
      </c>
      <c r="L29" s="50" t="e">
        <f t="shared" si="13"/>
        <v>#DIV/0!</v>
      </c>
      <c r="M29" s="50" t="e">
        <f t="shared" si="13"/>
        <v>#DIV/0!</v>
      </c>
      <c r="N29" s="50" t="e">
        <f t="shared" si="13"/>
        <v>#DIV/0!</v>
      </c>
    </row>
    <row r="30" spans="3:15" x14ac:dyDescent="0.2">
      <c r="D30" s="42"/>
      <c r="E30" s="42"/>
      <c r="F30" s="42"/>
      <c r="G30" s="42"/>
      <c r="H30" s="42"/>
      <c r="I30" s="42"/>
      <c r="J30" s="42"/>
      <c r="K30" s="42"/>
      <c r="L30" s="42"/>
      <c r="M30" s="42"/>
      <c r="N30" s="42"/>
    </row>
    <row r="31" spans="3:15" x14ac:dyDescent="0.2">
      <c r="C31" s="1" t="s">
        <v>454</v>
      </c>
      <c r="D31" s="42" t="e">
        <f>D29</f>
        <v>#DIV/0!</v>
      </c>
      <c r="E31" s="42" t="e">
        <f>E29/(1+$N$21)^E6</f>
        <v>#DIV/0!</v>
      </c>
      <c r="F31" s="42" t="e">
        <f t="shared" ref="F31:N31" si="14">F29/(1+$N$21)^F6</f>
        <v>#DIV/0!</v>
      </c>
      <c r="G31" s="42" t="e">
        <f t="shared" si="14"/>
        <v>#DIV/0!</v>
      </c>
      <c r="H31" s="42" t="e">
        <f t="shared" si="14"/>
        <v>#DIV/0!</v>
      </c>
      <c r="I31" s="42" t="e">
        <f t="shared" si="14"/>
        <v>#DIV/0!</v>
      </c>
      <c r="J31" s="42" t="e">
        <f t="shared" si="14"/>
        <v>#DIV/0!</v>
      </c>
      <c r="K31" s="42" t="e">
        <f t="shared" si="14"/>
        <v>#DIV/0!</v>
      </c>
      <c r="L31" s="42" t="e">
        <f t="shared" si="14"/>
        <v>#DIV/0!</v>
      </c>
      <c r="M31" s="42" t="e">
        <f t="shared" si="14"/>
        <v>#DIV/0!</v>
      </c>
      <c r="N31" s="42" t="e">
        <f t="shared" si="14"/>
        <v>#DIV/0!</v>
      </c>
    </row>
    <row r="32" spans="3:15" ht="14" thickBot="1" x14ac:dyDescent="0.25">
      <c r="C32" s="51" t="s">
        <v>455</v>
      </c>
      <c r="D32" s="48" t="e">
        <f>D31</f>
        <v>#DIV/0!</v>
      </c>
      <c r="E32" s="48" t="e">
        <f>E31</f>
        <v>#DIV/0!</v>
      </c>
      <c r="F32" s="48" t="e">
        <f>E32+F31</f>
        <v>#DIV/0!</v>
      </c>
      <c r="G32" s="48" t="e">
        <f t="shared" ref="G32" si="15">F32+G31</f>
        <v>#DIV/0!</v>
      </c>
      <c r="H32" s="48" t="e">
        <f t="shared" ref="H32" si="16">G32+H31</f>
        <v>#DIV/0!</v>
      </c>
      <c r="I32" s="48" t="e">
        <f t="shared" ref="I32" si="17">H32+I31</f>
        <v>#DIV/0!</v>
      </c>
      <c r="J32" s="48" t="e">
        <f t="shared" ref="J32" si="18">I32+J31</f>
        <v>#DIV/0!</v>
      </c>
      <c r="K32" s="48" t="e">
        <f t="shared" ref="K32" si="19">J32+K31</f>
        <v>#DIV/0!</v>
      </c>
      <c r="L32" s="48" t="e">
        <f t="shared" ref="L32" si="20">K32+L31</f>
        <v>#DIV/0!</v>
      </c>
      <c r="M32" s="48" t="e">
        <f t="shared" ref="M32" si="21">L32+M31</f>
        <v>#DIV/0!</v>
      </c>
      <c r="N32" s="48" t="e">
        <f t="shared" ref="N32" si="22">M32+N31</f>
        <v>#DIV/0!</v>
      </c>
    </row>
    <row r="33" spans="3:14" x14ac:dyDescent="0.2">
      <c r="C33" s="49" t="s">
        <v>456</v>
      </c>
      <c r="D33" s="44"/>
      <c r="E33" s="44" t="e">
        <f>IF(AND(E32&lt;0,F32&gt;0),E23+(-E32/F31),)</f>
        <v>#DIV/0!</v>
      </c>
      <c r="F33" s="44" t="e">
        <f t="shared" ref="F33" si="23">IF(AND(F32&lt;0,G32&gt;0),F23+(-F32/G31),)</f>
        <v>#DIV/0!</v>
      </c>
      <c r="G33" s="44" t="e">
        <f>IF(AND(G32&lt;0,H32&gt;0),G23+(-G32/H31),)</f>
        <v>#DIV/0!</v>
      </c>
      <c r="H33" s="44" t="e">
        <f t="shared" ref="H33" si="24">IF(AND(H32&lt;0,I32&gt;0),H23+(-H32/I31),)</f>
        <v>#DIV/0!</v>
      </c>
      <c r="I33" s="44" t="e">
        <f t="shared" ref="I33" si="25">IF(AND(I32&lt;0,J32&gt;0),I23+(-I32/J31),)</f>
        <v>#DIV/0!</v>
      </c>
      <c r="J33" s="44" t="e">
        <f t="shared" ref="J33" si="26">IF(AND(J32&lt;0,K32&gt;0),J23+(-J32/K31),)</f>
        <v>#DIV/0!</v>
      </c>
      <c r="K33" s="44" t="e">
        <f t="shared" ref="K33" si="27">IF(AND(K32&lt;0,L32&gt;0),K23+(-K32/L31),)</f>
        <v>#DIV/0!</v>
      </c>
      <c r="L33" s="44" t="e">
        <f t="shared" ref="L33" si="28">IF(AND(L32&lt;0,M32&gt;0),L23+(-L32/M31),)</f>
        <v>#DIV/0!</v>
      </c>
      <c r="M33" s="44" t="e">
        <f t="shared" ref="M33" si="29">IF(AND(M32&lt;0,N32&gt;0),M23+(-M32/N31),)</f>
        <v>#DIV/0!</v>
      </c>
      <c r="N33" s="44" t="e">
        <f t="shared" ref="N33" si="30">IF(AND(N32&lt;0,O32&gt;0),N23+(-N32/O31),)</f>
        <v>#DIV/0!</v>
      </c>
    </row>
  </sheetData>
  <conditionalFormatting sqref="D7:N16">
    <cfRule type="cellIs" dxfId="61" priority="4" operator="lessThan">
      <formula>0</formula>
    </cfRule>
  </conditionalFormatting>
  <conditionalFormatting sqref="D24:N33">
    <cfRule type="cellIs" dxfId="60" priority="2" operator="lessThan">
      <formula>0</formula>
    </cfRule>
  </conditionalFormatting>
  <conditionalFormatting sqref="E16:N16">
    <cfRule type="cellIs" dxfId="59" priority="3" operator="greaterThan">
      <formula>0</formula>
    </cfRule>
  </conditionalFormatting>
  <conditionalFormatting sqref="E33:N33">
    <cfRule type="cellIs" dxfId="58" priority="1" operator="greaterThan">
      <formula>0</formula>
    </cfRule>
  </conditionalFormatting>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A5C7D-8E93-4B32-8C11-2897F7E93DE3}">
  <sheetPr>
    <tabColor rgb="FF00B050"/>
  </sheetPr>
  <dimension ref="A2:N37"/>
  <sheetViews>
    <sheetView zoomScale="140" zoomScaleNormal="140" workbookViewId="0">
      <selection activeCell="D7" sqref="D7"/>
    </sheetView>
  </sheetViews>
  <sheetFormatPr baseColWidth="10" defaultColWidth="8.83203125" defaultRowHeight="12" x14ac:dyDescent="0.15"/>
  <cols>
    <col min="1" max="1" width="8.83203125" style="652"/>
    <col min="2" max="2" width="21.5" style="652" customWidth="1"/>
    <col min="3" max="3" width="21" style="652" customWidth="1"/>
    <col min="4" max="4" width="28" style="652" customWidth="1"/>
    <col min="5" max="5" width="16" style="652" customWidth="1"/>
    <col min="6" max="6" width="11.5" style="652" customWidth="1"/>
    <col min="7" max="7" width="14.83203125" style="652" bestFit="1" customWidth="1"/>
    <col min="8" max="8" width="16.83203125" style="652" bestFit="1" customWidth="1"/>
    <col min="9" max="9" width="12" style="652" bestFit="1" customWidth="1"/>
    <col min="10" max="10" width="17" style="652" bestFit="1" customWidth="1"/>
    <col min="11" max="12" width="8.83203125" style="652"/>
    <col min="13" max="13" width="9.83203125" style="652" bestFit="1" customWidth="1"/>
    <col min="14" max="16384" width="8.83203125" style="652"/>
  </cols>
  <sheetData>
    <row r="2" spans="2:5" x14ac:dyDescent="0.15">
      <c r="B2" s="799" t="s">
        <v>459</v>
      </c>
      <c r="C2" s="799"/>
      <c r="D2" s="739" t="str">
        <f>"--&gt; Annual Run-Rate Post Migration"</f>
        <v>--&gt; Annual Run-Rate Post Migration</v>
      </c>
      <c r="E2" s="651"/>
    </row>
    <row r="4" spans="2:5" x14ac:dyDescent="0.15">
      <c r="B4" s="653"/>
      <c r="C4" s="654" t="s">
        <v>460</v>
      </c>
      <c r="D4" s="655" t="s">
        <v>274</v>
      </c>
    </row>
    <row r="5" spans="2:5" x14ac:dyDescent="0.15">
      <c r="B5" s="656" t="s">
        <v>461</v>
      </c>
      <c r="C5" s="727" t="e">
        <f>SUM('Detailed Financial Case'!H8:H9)</f>
        <v>#DIV/0!</v>
      </c>
      <c r="D5" s="728">
        <f>SUM('Detailed Financial Case'!U41:U41)</f>
        <v>0</v>
      </c>
    </row>
    <row r="6" spans="2:5" x14ac:dyDescent="0.15">
      <c r="B6" s="656" t="s">
        <v>462</v>
      </c>
      <c r="C6" s="727">
        <f>SUM('Detailed Financial Case'!H10:H11)</f>
        <v>0</v>
      </c>
      <c r="D6" s="728">
        <f>SUM('Detailed Financial Case'!U42:U43)</f>
        <v>0</v>
      </c>
    </row>
    <row r="7" spans="2:5" x14ac:dyDescent="0.15">
      <c r="B7" s="656" t="s">
        <v>463</v>
      </c>
      <c r="C7" s="727">
        <f>SUM('Detailed Financial Case'!H14:H15)</f>
        <v>0</v>
      </c>
      <c r="D7" s="728" t="s">
        <v>464</v>
      </c>
      <c r="E7" s="657"/>
    </row>
    <row r="8" spans="2:5" x14ac:dyDescent="0.15">
      <c r="B8" s="656" t="s">
        <v>465</v>
      </c>
      <c r="C8" s="727" t="e">
        <f>SUM('Detailed Financial Case'!H20:H21)</f>
        <v>#DIV/0!</v>
      </c>
      <c r="D8" s="728" t="s">
        <v>464</v>
      </c>
    </row>
    <row r="9" spans="2:5" x14ac:dyDescent="0.15">
      <c r="B9" s="656" t="s">
        <v>466</v>
      </c>
      <c r="C9" s="727" t="e">
        <f>SUM('Detailed Financial Case'!H24)</f>
        <v>#DIV/0!</v>
      </c>
      <c r="D9" s="728" t="s">
        <v>464</v>
      </c>
    </row>
    <row r="10" spans="2:5" x14ac:dyDescent="0.15">
      <c r="B10" s="656" t="s">
        <v>467</v>
      </c>
      <c r="C10" s="727">
        <f>SUM('Detailed Financial Case'!H25:H26)</f>
        <v>0</v>
      </c>
      <c r="D10" s="728">
        <f>SUM('Detailed Financial Case'!U25:U26)</f>
        <v>0</v>
      </c>
    </row>
    <row r="11" spans="2:5" x14ac:dyDescent="0.15">
      <c r="B11" s="656" t="s">
        <v>468</v>
      </c>
      <c r="C11" s="727">
        <f>SUM('Detailed Financial Case'!H27:H28)</f>
        <v>0</v>
      </c>
      <c r="D11" s="728" t="s">
        <v>464</v>
      </c>
    </row>
    <row r="12" spans="2:5" x14ac:dyDescent="0.15">
      <c r="B12" s="658" t="s">
        <v>469</v>
      </c>
      <c r="C12" s="729">
        <f>SUM('Detailed Financial Case'!H33:H34)</f>
        <v>0</v>
      </c>
      <c r="D12" s="730">
        <f>SUM('Detailed Financial Case'!U33:U34)</f>
        <v>0</v>
      </c>
    </row>
    <row r="13" spans="2:5" ht="13" thickBot="1" x14ac:dyDescent="0.2">
      <c r="B13" s="659" t="s">
        <v>470</v>
      </c>
      <c r="C13" s="731" t="e">
        <f>SUM(C5:C12)</f>
        <v>#DIV/0!</v>
      </c>
      <c r="D13" s="732">
        <f>SUM(D5:D12)</f>
        <v>0</v>
      </c>
    </row>
    <row r="14" spans="2:5" ht="14" thickTop="1" thickBot="1" x14ac:dyDescent="0.2">
      <c r="C14" s="733"/>
      <c r="D14" s="733"/>
    </row>
    <row r="15" spans="2:5" ht="13" thickBot="1" x14ac:dyDescent="0.2">
      <c r="C15" s="660" t="s">
        <v>471</v>
      </c>
      <c r="D15" s="738" t="e">
        <f>C13-D13</f>
        <v>#DIV/0!</v>
      </c>
    </row>
    <row r="16" spans="2:5" x14ac:dyDescent="0.15">
      <c r="C16" s="660" t="s">
        <v>472</v>
      </c>
      <c r="D16" s="661" t="e">
        <f>D15/C13</f>
        <v>#DIV/0!</v>
      </c>
    </row>
    <row r="17" spans="1:14" x14ac:dyDescent="0.15">
      <c r="B17" s="662"/>
      <c r="C17" s="663"/>
      <c r="D17" s="663"/>
    </row>
    <row r="19" spans="1:14" x14ac:dyDescent="0.15">
      <c r="C19" s="652" t="str">
        <f>C4</f>
        <v>On-Prem</v>
      </c>
      <c r="D19" s="652" t="str">
        <f>D4</f>
        <v>Azure</v>
      </c>
    </row>
    <row r="20" spans="1:14" x14ac:dyDescent="0.15">
      <c r="B20" s="662" t="s">
        <v>473</v>
      </c>
      <c r="C20" s="734" t="e">
        <f>C13*3</f>
        <v>#DIV/0!</v>
      </c>
      <c r="D20" s="734">
        <f>D13*3</f>
        <v>0</v>
      </c>
    </row>
    <row r="21" spans="1:14" ht="13" thickBot="1" x14ac:dyDescent="0.2">
      <c r="B21" s="662" t="s">
        <v>277</v>
      </c>
      <c r="C21" s="734"/>
      <c r="D21" s="734">
        <f>SUM(D22:D24)</f>
        <v>7080000</v>
      </c>
    </row>
    <row r="22" spans="1:14" x14ac:dyDescent="0.15">
      <c r="B22" s="652" t="s">
        <v>474</v>
      </c>
      <c r="C22" s="733"/>
      <c r="D22" s="735">
        <v>2000000</v>
      </c>
    </row>
    <row r="23" spans="1:14" x14ac:dyDescent="0.15">
      <c r="A23" s="665"/>
      <c r="B23" s="652" t="s">
        <v>475</v>
      </c>
      <c r="C23" s="733"/>
      <c r="D23" s="736">
        <v>5000000</v>
      </c>
    </row>
    <row r="24" spans="1:14" ht="13" thickBot="1" x14ac:dyDescent="0.2">
      <c r="B24" s="652" t="s">
        <v>476</v>
      </c>
      <c r="C24" s="733"/>
      <c r="D24" s="737">
        <v>80000</v>
      </c>
    </row>
    <row r="25" spans="1:14" x14ac:dyDescent="0.15">
      <c r="C25" s="664"/>
      <c r="D25" s="664"/>
    </row>
    <row r="26" spans="1:14" x14ac:dyDescent="0.15">
      <c r="N26" s="662"/>
    </row>
    <row r="31" spans="1:14" x14ac:dyDescent="0.15">
      <c r="D31" s="664"/>
      <c r="E31" s="664"/>
    </row>
    <row r="34" spans="5:7" x14ac:dyDescent="0.15">
      <c r="E34" s="666"/>
      <c r="F34" s="667"/>
      <c r="G34" s="667"/>
    </row>
    <row r="35" spans="5:7" x14ac:dyDescent="0.15">
      <c r="E35" s="666"/>
      <c r="F35" s="667"/>
    </row>
    <row r="36" spans="5:7" x14ac:dyDescent="0.15">
      <c r="E36" s="666"/>
      <c r="F36" s="667"/>
    </row>
    <row r="37" spans="5:7" x14ac:dyDescent="0.15">
      <c r="E37" s="667"/>
      <c r="F37" s="667"/>
    </row>
  </sheetData>
  <mergeCells count="1">
    <mergeCell ref="B2:C2"/>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1FA2C-74EC-4B43-BBFC-D6CB20CBFB52}">
  <sheetPr>
    <tabColor rgb="FF00B050"/>
  </sheetPr>
  <dimension ref="A1:P67"/>
  <sheetViews>
    <sheetView topLeftCell="B26" zoomScaleNormal="100" workbookViewId="0">
      <selection activeCell="B55" sqref="B55"/>
    </sheetView>
  </sheetViews>
  <sheetFormatPr baseColWidth="10" defaultColWidth="9.5" defaultRowHeight="11" x14ac:dyDescent="0.15"/>
  <cols>
    <col min="1" max="1" width="13.5" style="669" bestFit="1" customWidth="1"/>
    <col min="2" max="2" width="37.5" style="669" customWidth="1"/>
    <col min="3" max="3" width="10.5" style="669" bestFit="1" customWidth="1"/>
    <col min="4" max="4" width="11" style="669" bestFit="1" customWidth="1"/>
    <col min="5" max="13" width="10.5" style="669" bestFit="1" customWidth="1"/>
    <col min="14" max="14" width="11.5" style="669" bestFit="1" customWidth="1"/>
    <col min="15" max="15" width="12.83203125" style="669" customWidth="1"/>
    <col min="16" max="16" width="93.5" style="669" bestFit="1" customWidth="1"/>
    <col min="17" max="16384" width="9.5" style="669"/>
  </cols>
  <sheetData>
    <row r="1" spans="1:16" x14ac:dyDescent="0.15">
      <c r="B1" s="740" t="s">
        <v>477</v>
      </c>
    </row>
    <row r="3" spans="1:16" ht="11.25" customHeight="1" thickBot="1" x14ac:dyDescent="0.2">
      <c r="A3" s="668" t="s">
        <v>478</v>
      </c>
    </row>
    <row r="4" spans="1:16" ht="12" customHeight="1" x14ac:dyDescent="0.15">
      <c r="A4" s="668" t="s">
        <v>479</v>
      </c>
      <c r="B4" s="668" t="s">
        <v>918</v>
      </c>
      <c r="C4" s="670" t="s">
        <v>480</v>
      </c>
      <c r="D4" s="671">
        <v>1</v>
      </c>
      <c r="E4" s="671">
        <f>D4+1</f>
        <v>2</v>
      </c>
      <c r="F4" s="671">
        <f t="shared" ref="F4" si="0">E4+1</f>
        <v>3</v>
      </c>
      <c r="G4" s="671">
        <f>F4+1</f>
        <v>4</v>
      </c>
      <c r="H4" s="671">
        <f t="shared" ref="H4:M4" si="1">G4+1</f>
        <v>5</v>
      </c>
      <c r="I4" s="671">
        <f t="shared" si="1"/>
        <v>6</v>
      </c>
      <c r="J4" s="671">
        <f t="shared" si="1"/>
        <v>7</v>
      </c>
      <c r="K4" s="671">
        <f t="shared" si="1"/>
        <v>8</v>
      </c>
      <c r="L4" s="671">
        <f t="shared" si="1"/>
        <v>9</v>
      </c>
      <c r="M4" s="671">
        <f t="shared" si="1"/>
        <v>10</v>
      </c>
      <c r="N4" s="671" t="s">
        <v>185</v>
      </c>
      <c r="O4" s="772" t="s">
        <v>920</v>
      </c>
      <c r="P4" s="672" t="s">
        <v>481</v>
      </c>
    </row>
    <row r="5" spans="1:16" s="673" customFormat="1" ht="12" x14ac:dyDescent="0.15">
      <c r="A5" s="673" t="s">
        <v>266</v>
      </c>
      <c r="B5" s="674" t="s">
        <v>376</v>
      </c>
      <c r="C5" s="675" t="e">
        <f>'Detailed Financial Case'!C54</f>
        <v>#DIV/0!</v>
      </c>
      <c r="D5" s="676" t="e">
        <f>'Detailed Financial Case'!D54</f>
        <v>#DIV/0!</v>
      </c>
      <c r="E5" s="676" t="e">
        <f>'Detailed Financial Case'!E54</f>
        <v>#DIV/0!</v>
      </c>
      <c r="F5" s="676" t="e">
        <f>'Detailed Financial Case'!F54</f>
        <v>#DIV/0!</v>
      </c>
      <c r="G5" s="676" t="e">
        <f>'Detailed Financial Case'!G54</f>
        <v>#DIV/0!</v>
      </c>
      <c r="H5" s="676" t="e">
        <f>'Detailed Financial Case'!H54</f>
        <v>#DIV/0!</v>
      </c>
      <c r="I5" s="676" t="e">
        <f>'Detailed Financial Case'!I54</f>
        <v>#DIV/0!</v>
      </c>
      <c r="J5" s="676" t="e">
        <f>'Detailed Financial Case'!J54</f>
        <v>#DIV/0!</v>
      </c>
      <c r="K5" s="676" t="e">
        <f>'Detailed Financial Case'!K54</f>
        <v>#DIV/0!</v>
      </c>
      <c r="L5" s="676" t="e">
        <f>'Detailed Financial Case'!L54</f>
        <v>#DIV/0!</v>
      </c>
      <c r="M5" s="676" t="e">
        <f>'Detailed Financial Case'!M54</f>
        <v>#DIV/0!</v>
      </c>
      <c r="N5" s="777" t="e">
        <f>SUM(D5:M5)</f>
        <v>#DIV/0!</v>
      </c>
      <c r="O5" s="773" t="e">
        <f t="shared" ref="O5:O15" si="2">SUM(D5:H5)</f>
        <v>#DIV/0!</v>
      </c>
      <c r="P5" s="677"/>
    </row>
    <row r="6" spans="1:16" s="673" customFormat="1" ht="12" x14ac:dyDescent="0.15">
      <c r="A6" s="673" t="s">
        <v>266</v>
      </c>
      <c r="B6" s="674" t="s">
        <v>482</v>
      </c>
      <c r="C6" s="675">
        <f>SUM('Detailed Financial Case'!C55:C56)</f>
        <v>0</v>
      </c>
      <c r="D6" s="678">
        <f>SUM('Detailed Financial Case'!D55:D56)</f>
        <v>0</v>
      </c>
      <c r="E6" s="678">
        <f>SUM('Detailed Financial Case'!E55:E56)</f>
        <v>0</v>
      </c>
      <c r="F6" s="678">
        <f>SUM('Detailed Financial Case'!F55:F56)</f>
        <v>0</v>
      </c>
      <c r="G6" s="678">
        <f>SUM('Detailed Financial Case'!G55:G56)</f>
        <v>0</v>
      </c>
      <c r="H6" s="678">
        <f>SUM('Detailed Financial Case'!H55:H56)</f>
        <v>0</v>
      </c>
      <c r="I6" s="678">
        <f>SUM('Detailed Financial Case'!I55:I56)</f>
        <v>0</v>
      </c>
      <c r="J6" s="678">
        <f>SUM('Detailed Financial Case'!J55:J56)</f>
        <v>0</v>
      </c>
      <c r="K6" s="678">
        <f>SUM('Detailed Financial Case'!K55:K56)</f>
        <v>0</v>
      </c>
      <c r="L6" s="678">
        <f>SUM('Detailed Financial Case'!L55:L56)</f>
        <v>0</v>
      </c>
      <c r="M6" s="678">
        <f>SUM('Detailed Financial Case'!M55:M56)</f>
        <v>0</v>
      </c>
      <c r="N6" s="777">
        <f t="shared" ref="N6:N15" si="3">SUM(D6:M6)</f>
        <v>0</v>
      </c>
      <c r="O6" s="773">
        <f t="shared" si="2"/>
        <v>0</v>
      </c>
      <c r="P6" s="677"/>
    </row>
    <row r="7" spans="1:16" s="673" customFormat="1" ht="12" x14ac:dyDescent="0.15">
      <c r="A7" s="673" t="s">
        <v>268</v>
      </c>
      <c r="B7" s="674" t="s">
        <v>483</v>
      </c>
      <c r="C7" s="675" t="e">
        <f>SUM('Detailed Financial Case'!C60:C62)</f>
        <v>#DIV/0!</v>
      </c>
      <c r="D7" s="678" t="e">
        <f>SUM('Detailed Financial Case'!D60:D62)</f>
        <v>#DIV/0!</v>
      </c>
      <c r="E7" s="678" t="e">
        <f>SUM('Detailed Financial Case'!E60:E62)</f>
        <v>#DIV/0!</v>
      </c>
      <c r="F7" s="678" t="e">
        <f>SUM('Detailed Financial Case'!F60:F62)</f>
        <v>#DIV/0!</v>
      </c>
      <c r="G7" s="678" t="e">
        <f>SUM('Detailed Financial Case'!G60:G62)</f>
        <v>#DIV/0!</v>
      </c>
      <c r="H7" s="678" t="e">
        <f>SUM('Detailed Financial Case'!H60:H62)</f>
        <v>#DIV/0!</v>
      </c>
      <c r="I7" s="678" t="e">
        <f>SUM('Detailed Financial Case'!I60:I62)</f>
        <v>#DIV/0!</v>
      </c>
      <c r="J7" s="678" t="e">
        <f>SUM('Detailed Financial Case'!J60:J62)</f>
        <v>#DIV/0!</v>
      </c>
      <c r="K7" s="678" t="e">
        <f>SUM('Detailed Financial Case'!K60:K62)</f>
        <v>#DIV/0!</v>
      </c>
      <c r="L7" s="678" t="e">
        <f>SUM('Detailed Financial Case'!L60:L62)</f>
        <v>#DIV/0!</v>
      </c>
      <c r="M7" s="678" t="e">
        <f>SUM('Detailed Financial Case'!M60:M62)</f>
        <v>#DIV/0!</v>
      </c>
      <c r="N7" s="777" t="e">
        <f t="shared" si="3"/>
        <v>#DIV/0!</v>
      </c>
      <c r="O7" s="773" t="e">
        <f t="shared" si="2"/>
        <v>#DIV/0!</v>
      </c>
      <c r="P7" s="677"/>
    </row>
    <row r="8" spans="1:16" s="673" customFormat="1" ht="12" x14ac:dyDescent="0.15">
      <c r="A8" s="673" t="s">
        <v>268</v>
      </c>
      <c r="B8" s="674" t="s">
        <v>485</v>
      </c>
      <c r="C8" s="675">
        <f>SUM('Detailed Financial Case'!C63:C64,'Detailed Financial Case'!C29:C30)</f>
        <v>0</v>
      </c>
      <c r="D8" s="678">
        <f>SUM('Detailed Financial Case'!D63:D64,'Detailed Financial Case'!D29:D30)</f>
        <v>0</v>
      </c>
      <c r="E8" s="678">
        <f>SUM('Detailed Financial Case'!E63:E64,'Detailed Financial Case'!E29:E30)</f>
        <v>0</v>
      </c>
      <c r="F8" s="678">
        <f>SUM('Detailed Financial Case'!F63:F64,'Detailed Financial Case'!F29:F30)</f>
        <v>0</v>
      </c>
      <c r="G8" s="678">
        <f>SUM('Detailed Financial Case'!G63:G64,'Detailed Financial Case'!G29:G30)</f>
        <v>0</v>
      </c>
      <c r="H8" s="678">
        <f>SUM('Detailed Financial Case'!H63:H64,'Detailed Financial Case'!H29:H30)</f>
        <v>0</v>
      </c>
      <c r="I8" s="678">
        <f>SUM('Detailed Financial Case'!I63:I64,'Detailed Financial Case'!I29:I30)</f>
        <v>0</v>
      </c>
      <c r="J8" s="678">
        <f>SUM('Detailed Financial Case'!J63:J64,'Detailed Financial Case'!J29:J30)</f>
        <v>0</v>
      </c>
      <c r="K8" s="678">
        <f>SUM('Detailed Financial Case'!K63:K64,'Detailed Financial Case'!K29:K30)</f>
        <v>0</v>
      </c>
      <c r="L8" s="678">
        <f>SUM('Detailed Financial Case'!L63:L64,'Detailed Financial Case'!L29:L30)</f>
        <v>0</v>
      </c>
      <c r="M8" s="678">
        <f>SUM('Detailed Financial Case'!M63:M64,'Detailed Financial Case'!M29:M30)</f>
        <v>0</v>
      </c>
      <c r="N8" s="777">
        <f t="shared" si="3"/>
        <v>0</v>
      </c>
      <c r="O8" s="773">
        <f t="shared" si="2"/>
        <v>0</v>
      </c>
      <c r="P8" s="677"/>
    </row>
    <row r="9" spans="1:16" s="673" customFormat="1" ht="12" x14ac:dyDescent="0.15">
      <c r="A9" s="673" t="s">
        <v>268</v>
      </c>
      <c r="B9" s="674" t="s">
        <v>486</v>
      </c>
      <c r="C9" s="675" t="e">
        <f>SUM('Detailed Financial Case'!C65:C67)</f>
        <v>#DIV/0!</v>
      </c>
      <c r="D9" s="678" t="e">
        <f>SUM('Detailed Financial Case'!D65:D67)</f>
        <v>#DIV/0!</v>
      </c>
      <c r="E9" s="678" t="e">
        <f>SUM('Detailed Financial Case'!E65:E67)</f>
        <v>#DIV/0!</v>
      </c>
      <c r="F9" s="678" t="e">
        <f>SUM('Detailed Financial Case'!F65:F67)</f>
        <v>#DIV/0!</v>
      </c>
      <c r="G9" s="678" t="e">
        <f>SUM('Detailed Financial Case'!G65:G67)</f>
        <v>#DIV/0!</v>
      </c>
      <c r="H9" s="678" t="e">
        <f>SUM('Detailed Financial Case'!H65:H67)</f>
        <v>#DIV/0!</v>
      </c>
      <c r="I9" s="678" t="e">
        <f>SUM('Detailed Financial Case'!I65:I67)</f>
        <v>#DIV/0!</v>
      </c>
      <c r="J9" s="678" t="e">
        <f>SUM('Detailed Financial Case'!J65:J67)</f>
        <v>#DIV/0!</v>
      </c>
      <c r="K9" s="678" t="e">
        <f>SUM('Detailed Financial Case'!K65:K67)</f>
        <v>#DIV/0!</v>
      </c>
      <c r="L9" s="678" t="e">
        <f>SUM('Detailed Financial Case'!L65:L67)</f>
        <v>#DIV/0!</v>
      </c>
      <c r="M9" s="678" t="e">
        <f>SUM('Detailed Financial Case'!M65:M67)</f>
        <v>#DIV/0!</v>
      </c>
      <c r="N9" s="777" t="e">
        <f t="shared" si="3"/>
        <v>#DIV/0!</v>
      </c>
      <c r="O9" s="773" t="e">
        <f t="shared" si="2"/>
        <v>#DIV/0!</v>
      </c>
      <c r="P9" s="677"/>
    </row>
    <row r="10" spans="1:16" s="673" customFormat="1" ht="12" x14ac:dyDescent="0.15">
      <c r="A10" s="673" t="s">
        <v>268</v>
      </c>
      <c r="B10" s="674" t="s">
        <v>487</v>
      </c>
      <c r="C10" s="675" t="e">
        <f>SUM('Detailed Financial Case'!C24)</f>
        <v>#DIV/0!</v>
      </c>
      <c r="D10" s="678" t="e">
        <f>SUM('Detailed Financial Case'!D24)</f>
        <v>#DIV/0!</v>
      </c>
      <c r="E10" s="678" t="e">
        <f>SUM('Detailed Financial Case'!E24)</f>
        <v>#DIV/0!</v>
      </c>
      <c r="F10" s="678" t="e">
        <f>SUM('Detailed Financial Case'!F24)</f>
        <v>#DIV/0!</v>
      </c>
      <c r="G10" s="678" t="e">
        <f>SUM('Detailed Financial Case'!G24)</f>
        <v>#DIV/0!</v>
      </c>
      <c r="H10" s="678" t="e">
        <f>SUM('Detailed Financial Case'!H24)</f>
        <v>#DIV/0!</v>
      </c>
      <c r="I10" s="678" t="e">
        <f>SUM('Detailed Financial Case'!I24)</f>
        <v>#DIV/0!</v>
      </c>
      <c r="J10" s="678" t="e">
        <f>SUM('Detailed Financial Case'!J24)</f>
        <v>#DIV/0!</v>
      </c>
      <c r="K10" s="678" t="e">
        <f>SUM('Detailed Financial Case'!K24)</f>
        <v>#DIV/0!</v>
      </c>
      <c r="L10" s="678" t="e">
        <f>SUM('Detailed Financial Case'!L24)</f>
        <v>#DIV/0!</v>
      </c>
      <c r="M10" s="678" t="e">
        <f>SUM('Detailed Financial Case'!M24)</f>
        <v>#DIV/0!</v>
      </c>
      <c r="N10" s="777" t="e">
        <f t="shared" si="3"/>
        <v>#DIV/0!</v>
      </c>
      <c r="O10" s="773" t="e">
        <f t="shared" si="2"/>
        <v>#DIV/0!</v>
      </c>
      <c r="P10" s="677"/>
    </row>
    <row r="11" spans="1:16" s="673" customFormat="1" ht="12" x14ac:dyDescent="0.15">
      <c r="A11" s="673" t="s">
        <v>268</v>
      </c>
      <c r="B11" s="674" t="s">
        <v>488</v>
      </c>
      <c r="C11" s="675">
        <f>SUM('Detailed Financial Case'!C25:C26)</f>
        <v>0</v>
      </c>
      <c r="D11" s="678">
        <f>SUM('Detailed Financial Case'!D25:D26)</f>
        <v>0</v>
      </c>
      <c r="E11" s="678">
        <f>SUM('Detailed Financial Case'!E25:E26)</f>
        <v>0</v>
      </c>
      <c r="F11" s="678">
        <f>SUM('Detailed Financial Case'!F25:F26)</f>
        <v>0</v>
      </c>
      <c r="G11" s="678">
        <f>SUM('Detailed Financial Case'!G25:G26)</f>
        <v>0</v>
      </c>
      <c r="H11" s="678">
        <f>SUM('Detailed Financial Case'!H25:H26)</f>
        <v>0</v>
      </c>
      <c r="I11" s="678">
        <f>SUM('Detailed Financial Case'!I25:I26)</f>
        <v>0</v>
      </c>
      <c r="J11" s="678">
        <f>SUM('Detailed Financial Case'!J25:J26)</f>
        <v>0</v>
      </c>
      <c r="K11" s="678">
        <f>SUM('Detailed Financial Case'!K25:K26)</f>
        <v>0</v>
      </c>
      <c r="L11" s="678">
        <f>SUM('Detailed Financial Case'!L25:L26)</f>
        <v>0</v>
      </c>
      <c r="M11" s="678">
        <f>SUM('Detailed Financial Case'!M25:M26)</f>
        <v>0</v>
      </c>
      <c r="N11" s="777">
        <f t="shared" si="3"/>
        <v>0</v>
      </c>
      <c r="O11" s="773">
        <f t="shared" si="2"/>
        <v>0</v>
      </c>
      <c r="P11" s="677"/>
    </row>
    <row r="12" spans="1:16" s="673" customFormat="1" ht="12" x14ac:dyDescent="0.15">
      <c r="A12" s="673" t="s">
        <v>268</v>
      </c>
      <c r="B12" s="674" t="s">
        <v>489</v>
      </c>
      <c r="C12" s="675">
        <f>SUM('Detailed Financial Case'!C27:C28)</f>
        <v>0</v>
      </c>
      <c r="D12" s="678">
        <f>SUM('Detailed Financial Case'!D27:D28)</f>
        <v>0</v>
      </c>
      <c r="E12" s="678">
        <f>SUM('Detailed Financial Case'!E27:E28)</f>
        <v>0</v>
      </c>
      <c r="F12" s="678">
        <f>SUM('Detailed Financial Case'!F27:F28)</f>
        <v>0</v>
      </c>
      <c r="G12" s="678">
        <f>SUM('Detailed Financial Case'!G27:G28)</f>
        <v>0</v>
      </c>
      <c r="H12" s="678">
        <f>SUM('Detailed Financial Case'!H27:H28)</f>
        <v>0</v>
      </c>
      <c r="I12" s="678">
        <f>SUM('Detailed Financial Case'!I27:I28)</f>
        <v>0</v>
      </c>
      <c r="J12" s="678">
        <f>SUM('Detailed Financial Case'!J27:J28)</f>
        <v>0</v>
      </c>
      <c r="K12" s="678">
        <f>SUM('Detailed Financial Case'!K27:K28)</f>
        <v>0</v>
      </c>
      <c r="L12" s="678">
        <f>SUM('Detailed Financial Case'!L27:L28)</f>
        <v>0</v>
      </c>
      <c r="M12" s="678">
        <f>SUM('Detailed Financial Case'!M27:M28)</f>
        <v>0</v>
      </c>
      <c r="N12" s="777">
        <f t="shared" si="3"/>
        <v>0</v>
      </c>
      <c r="O12" s="773">
        <f t="shared" si="2"/>
        <v>0</v>
      </c>
      <c r="P12" s="677"/>
    </row>
    <row r="13" spans="1:16" s="673" customFormat="1" ht="12" x14ac:dyDescent="0.15">
      <c r="A13" s="673" t="s">
        <v>268</v>
      </c>
      <c r="B13" s="674" t="s">
        <v>362</v>
      </c>
      <c r="C13" s="675">
        <f>SUM('Detailed Financial Case'!C69)</f>
        <v>0</v>
      </c>
      <c r="D13" s="678">
        <f>SUM('Detailed Financial Case'!D69)</f>
        <v>0</v>
      </c>
      <c r="E13" s="678">
        <f>SUM('Detailed Financial Case'!E69)</f>
        <v>0</v>
      </c>
      <c r="F13" s="678">
        <f>SUM('Detailed Financial Case'!F69)</f>
        <v>0</v>
      </c>
      <c r="G13" s="678">
        <f>SUM('Detailed Financial Case'!G69)</f>
        <v>0</v>
      </c>
      <c r="H13" s="678">
        <f>SUM('Detailed Financial Case'!H69)</f>
        <v>0</v>
      </c>
      <c r="I13" s="678">
        <f>SUM('Detailed Financial Case'!I69)</f>
        <v>0</v>
      </c>
      <c r="J13" s="678">
        <f>SUM('Detailed Financial Case'!J69)</f>
        <v>0</v>
      </c>
      <c r="K13" s="678">
        <f>SUM('Detailed Financial Case'!K69)</f>
        <v>0</v>
      </c>
      <c r="L13" s="678">
        <f>SUM('Detailed Financial Case'!L69)</f>
        <v>0</v>
      </c>
      <c r="M13" s="678">
        <f>SUM('Detailed Financial Case'!M69)</f>
        <v>0</v>
      </c>
      <c r="N13" s="777">
        <f t="shared" si="3"/>
        <v>0</v>
      </c>
      <c r="O13" s="773">
        <f t="shared" si="2"/>
        <v>0</v>
      </c>
      <c r="P13" s="677"/>
    </row>
    <row r="14" spans="1:16" s="673" customFormat="1" ht="12" x14ac:dyDescent="0.15">
      <c r="A14" s="673" t="s">
        <v>490</v>
      </c>
      <c r="B14" s="674" t="s">
        <v>491</v>
      </c>
      <c r="C14" s="675">
        <f>SUM('Detailed Financial Case'!C71)</f>
        <v>0</v>
      </c>
      <c r="D14" s="678">
        <f>SUM('Detailed Financial Case'!D71)</f>
        <v>0</v>
      </c>
      <c r="E14" s="678">
        <f>SUM('Detailed Financial Case'!E71)</f>
        <v>0</v>
      </c>
      <c r="F14" s="678">
        <f>SUM('Detailed Financial Case'!F71)</f>
        <v>0</v>
      </c>
      <c r="G14" s="678">
        <f>SUM('Detailed Financial Case'!G71)</f>
        <v>0</v>
      </c>
      <c r="H14" s="678">
        <f>SUM('Detailed Financial Case'!H71)</f>
        <v>0</v>
      </c>
      <c r="I14" s="678">
        <f>SUM('Detailed Financial Case'!I71)</f>
        <v>0</v>
      </c>
      <c r="J14" s="678">
        <f>SUM('Detailed Financial Case'!J71)</f>
        <v>0</v>
      </c>
      <c r="K14" s="678">
        <f>SUM('Detailed Financial Case'!K71)</f>
        <v>0</v>
      </c>
      <c r="L14" s="678">
        <f>SUM('Detailed Financial Case'!L71)</f>
        <v>0</v>
      </c>
      <c r="M14" s="678">
        <f>SUM('Detailed Financial Case'!M71)</f>
        <v>0</v>
      </c>
      <c r="N14" s="777">
        <f t="shared" si="3"/>
        <v>0</v>
      </c>
      <c r="O14" s="773">
        <f t="shared" si="2"/>
        <v>0</v>
      </c>
      <c r="P14" s="677"/>
    </row>
    <row r="15" spans="1:16" s="673" customFormat="1" ht="12" x14ac:dyDescent="0.15">
      <c r="A15" s="673" t="s">
        <v>492</v>
      </c>
      <c r="B15" s="674" t="s">
        <v>493</v>
      </c>
      <c r="C15" s="675">
        <f>SUM('Detailed Financial Case'!C70)</f>
        <v>0</v>
      </c>
      <c r="D15" s="678">
        <f>SUM('Detailed Financial Case'!D70)</f>
        <v>0</v>
      </c>
      <c r="E15" s="678">
        <f>SUM('Detailed Financial Case'!E70)</f>
        <v>0</v>
      </c>
      <c r="F15" s="678">
        <f>SUM('Detailed Financial Case'!F70)</f>
        <v>0</v>
      </c>
      <c r="G15" s="678">
        <f>SUM('Detailed Financial Case'!G70)</f>
        <v>0</v>
      </c>
      <c r="H15" s="678">
        <f>SUM('Detailed Financial Case'!H70)</f>
        <v>0</v>
      </c>
      <c r="I15" s="678">
        <f>SUM('Detailed Financial Case'!I70)</f>
        <v>0</v>
      </c>
      <c r="J15" s="678">
        <f>SUM('Detailed Financial Case'!J70)</f>
        <v>0</v>
      </c>
      <c r="K15" s="678">
        <f>SUM('Detailed Financial Case'!K70)</f>
        <v>0</v>
      </c>
      <c r="L15" s="678">
        <f>SUM('Detailed Financial Case'!L70)</f>
        <v>0</v>
      </c>
      <c r="M15" s="678">
        <f>SUM('Detailed Financial Case'!M70)</f>
        <v>0</v>
      </c>
      <c r="N15" s="777">
        <f t="shared" si="3"/>
        <v>0</v>
      </c>
      <c r="O15" s="773">
        <f t="shared" si="2"/>
        <v>0</v>
      </c>
      <c r="P15" s="677"/>
    </row>
    <row r="16" spans="1:16" ht="12" thickBot="1" x14ac:dyDescent="0.2">
      <c r="B16" s="679" t="s">
        <v>494</v>
      </c>
      <c r="C16" s="680" t="e">
        <f>SUM(C5:C15)</f>
        <v>#DIV/0!</v>
      </c>
      <c r="D16" s="680" t="e">
        <f t="shared" ref="D16:M16" si="4">SUM(D5:D15)</f>
        <v>#DIV/0!</v>
      </c>
      <c r="E16" s="680" t="e">
        <f t="shared" si="4"/>
        <v>#DIV/0!</v>
      </c>
      <c r="F16" s="680" t="e">
        <f>SUM(F5:F15)</f>
        <v>#DIV/0!</v>
      </c>
      <c r="G16" s="680" t="e">
        <f t="shared" si="4"/>
        <v>#DIV/0!</v>
      </c>
      <c r="H16" s="680" t="e">
        <f t="shared" si="4"/>
        <v>#DIV/0!</v>
      </c>
      <c r="I16" s="680" t="e">
        <f t="shared" si="4"/>
        <v>#DIV/0!</v>
      </c>
      <c r="J16" s="680" t="e">
        <f t="shared" si="4"/>
        <v>#DIV/0!</v>
      </c>
      <c r="K16" s="680" t="e">
        <f t="shared" si="4"/>
        <v>#DIV/0!</v>
      </c>
      <c r="L16" s="680" t="e">
        <f>SUM(L5:L15)</f>
        <v>#DIV/0!</v>
      </c>
      <c r="M16" s="680" t="e">
        <f t="shared" si="4"/>
        <v>#DIV/0!</v>
      </c>
      <c r="N16" s="680" t="e">
        <f>SUM(N5:N15)</f>
        <v>#DIV/0!</v>
      </c>
      <c r="O16" s="778" t="e">
        <f>SUM(O5:O15)</f>
        <v>#DIV/0!</v>
      </c>
    </row>
    <row r="17" spans="1:16" ht="2.25" customHeight="1" x14ac:dyDescent="0.15">
      <c r="C17" s="681"/>
      <c r="D17" s="681"/>
      <c r="E17" s="681"/>
      <c r="F17" s="681"/>
      <c r="G17" s="681"/>
      <c r="H17" s="681"/>
      <c r="I17" s="681"/>
      <c r="J17" s="681"/>
      <c r="K17" s="681"/>
      <c r="L17" s="681"/>
      <c r="M17" s="681"/>
      <c r="N17" s="682"/>
    </row>
    <row r="18" spans="1:16" ht="2.25" customHeight="1" x14ac:dyDescent="0.15">
      <c r="C18" s="681"/>
      <c r="D18" s="681"/>
      <c r="E18" s="683"/>
      <c r="F18" s="681"/>
      <c r="G18" s="683"/>
      <c r="H18" s="681"/>
      <c r="N18" s="682"/>
    </row>
    <row r="19" spans="1:16" ht="8.5" customHeight="1" thickBot="1" x14ac:dyDescent="0.2">
      <c r="A19" s="668" t="s">
        <v>495</v>
      </c>
      <c r="N19" s="684"/>
    </row>
    <row r="20" spans="1:16" ht="11.5" customHeight="1" x14ac:dyDescent="0.15">
      <c r="A20" s="668" t="s">
        <v>479</v>
      </c>
      <c r="B20" s="668" t="s">
        <v>919</v>
      </c>
      <c r="C20" s="670" t="s">
        <v>480</v>
      </c>
      <c r="D20" s="671">
        <v>1</v>
      </c>
      <c r="E20" s="671">
        <f>D20+1</f>
        <v>2</v>
      </c>
      <c r="F20" s="671">
        <f t="shared" ref="F20" si="5">E20+1</f>
        <v>3</v>
      </c>
      <c r="G20" s="671">
        <f>F20+1</f>
        <v>4</v>
      </c>
      <c r="H20" s="671">
        <f t="shared" ref="H20:M20" si="6">G20+1</f>
        <v>5</v>
      </c>
      <c r="I20" s="671">
        <f t="shared" si="6"/>
        <v>6</v>
      </c>
      <c r="J20" s="671">
        <f t="shared" si="6"/>
        <v>7</v>
      </c>
      <c r="K20" s="671">
        <f t="shared" si="6"/>
        <v>8</v>
      </c>
      <c r="L20" s="671">
        <f t="shared" si="6"/>
        <v>9</v>
      </c>
      <c r="M20" s="671">
        <f t="shared" si="6"/>
        <v>10</v>
      </c>
      <c r="N20" s="671" t="s">
        <v>185</v>
      </c>
      <c r="O20" s="772" t="s">
        <v>920</v>
      </c>
      <c r="P20" s="672" t="s">
        <v>481</v>
      </c>
    </row>
    <row r="21" spans="1:16" s="673" customFormat="1" ht="12" x14ac:dyDescent="0.15">
      <c r="A21" s="673" t="s">
        <v>266</v>
      </c>
      <c r="B21" s="674" t="s">
        <v>376</v>
      </c>
      <c r="C21" s="675" t="e">
        <f>C5</f>
        <v>#DIV/0!</v>
      </c>
      <c r="D21" s="678" t="e">
        <f>SUM('Detailed Financial Case'!Q54)</f>
        <v>#DIV/0!</v>
      </c>
      <c r="E21" s="678" t="e">
        <f>SUM('Detailed Financial Case'!R54)</f>
        <v>#DIV/0!</v>
      </c>
      <c r="F21" s="678" t="e">
        <f>SUM('Detailed Financial Case'!S54)</f>
        <v>#DIV/0!</v>
      </c>
      <c r="G21" s="678" t="e">
        <f>SUM('Detailed Financial Case'!T54)</f>
        <v>#DIV/0!</v>
      </c>
      <c r="H21" s="678" t="e">
        <f>SUM('Detailed Financial Case'!U54)</f>
        <v>#DIV/0!</v>
      </c>
      <c r="I21" s="678" t="e">
        <f>SUM('Detailed Financial Case'!V54)</f>
        <v>#DIV/0!</v>
      </c>
      <c r="J21" s="678" t="e">
        <f>SUM('Detailed Financial Case'!W54)</f>
        <v>#DIV/0!</v>
      </c>
      <c r="K21" s="678" t="e">
        <f>SUM('Detailed Financial Case'!X54)</f>
        <v>#DIV/0!</v>
      </c>
      <c r="L21" s="678" t="e">
        <f>SUM('Detailed Financial Case'!Y54)</f>
        <v>#DIV/0!</v>
      </c>
      <c r="M21" s="678" t="e">
        <f>SUM('Detailed Financial Case'!Z54)</f>
        <v>#DIV/0!</v>
      </c>
      <c r="N21" s="777" t="e">
        <f>SUM(D21:M21)</f>
        <v>#DIV/0!</v>
      </c>
      <c r="O21" s="773" t="e">
        <f t="shared" ref="O21:O34" si="7">SUM(D21:H21)</f>
        <v>#DIV/0!</v>
      </c>
      <c r="P21" s="677"/>
    </row>
    <row r="22" spans="1:16" s="673" customFormat="1" ht="12" x14ac:dyDescent="0.15">
      <c r="A22" s="673" t="s">
        <v>266</v>
      </c>
      <c r="B22" s="674" t="s">
        <v>482</v>
      </c>
      <c r="C22" s="675">
        <f t="shared" ref="C22:C31" si="8">C6</f>
        <v>0</v>
      </c>
      <c r="D22" s="678">
        <f>SUM('Detailed Financial Case'!Q55:Q56)</f>
        <v>0</v>
      </c>
      <c r="E22" s="678">
        <f>SUM('Detailed Financial Case'!R55:R56)</f>
        <v>0</v>
      </c>
      <c r="F22" s="678">
        <f>SUM('Detailed Financial Case'!S55:S56)</f>
        <v>0</v>
      </c>
      <c r="G22" s="678">
        <f>SUM('Detailed Financial Case'!T55:T56)</f>
        <v>0</v>
      </c>
      <c r="H22" s="678">
        <f>SUM('Detailed Financial Case'!U55:U56)</f>
        <v>0</v>
      </c>
      <c r="I22" s="678">
        <f>SUM('Detailed Financial Case'!V55:V56)</f>
        <v>0</v>
      </c>
      <c r="J22" s="678">
        <f>SUM('Detailed Financial Case'!W55:W56)</f>
        <v>0</v>
      </c>
      <c r="K22" s="678">
        <f>SUM('Detailed Financial Case'!X55:X56)</f>
        <v>0</v>
      </c>
      <c r="L22" s="678">
        <f>SUM('Detailed Financial Case'!Y55:Y56)</f>
        <v>0</v>
      </c>
      <c r="M22" s="678">
        <f>SUM('Detailed Financial Case'!Z55:Z56)</f>
        <v>0</v>
      </c>
      <c r="N22" s="777">
        <f t="shared" ref="N22:N34" si="9">SUM(D22:M22)</f>
        <v>0</v>
      </c>
      <c r="O22" s="773">
        <f t="shared" si="7"/>
        <v>0</v>
      </c>
      <c r="P22" s="677"/>
    </row>
    <row r="23" spans="1:16" s="673" customFormat="1" ht="12" x14ac:dyDescent="0.15">
      <c r="A23" s="673" t="s">
        <v>268</v>
      </c>
      <c r="B23" s="674" t="s">
        <v>483</v>
      </c>
      <c r="C23" s="675" t="e">
        <f t="shared" si="8"/>
        <v>#DIV/0!</v>
      </c>
      <c r="D23" s="678" t="e">
        <f>SUM('Detailed Financial Case'!Q60:Q62)</f>
        <v>#DIV/0!</v>
      </c>
      <c r="E23" s="678" t="e">
        <f>SUM('Detailed Financial Case'!R60:R62)</f>
        <v>#DIV/0!</v>
      </c>
      <c r="F23" s="678" t="e">
        <f>SUM('Detailed Financial Case'!S60:S62)</f>
        <v>#DIV/0!</v>
      </c>
      <c r="G23" s="678" t="e">
        <f>SUM('Detailed Financial Case'!T60:T62)</f>
        <v>#DIV/0!</v>
      </c>
      <c r="H23" s="678" t="e">
        <f>SUM('Detailed Financial Case'!U60:U62)</f>
        <v>#DIV/0!</v>
      </c>
      <c r="I23" s="678" t="e">
        <f>SUM('Detailed Financial Case'!V60:V62)</f>
        <v>#DIV/0!</v>
      </c>
      <c r="J23" s="678" t="e">
        <f>SUM('Detailed Financial Case'!W60:W62)</f>
        <v>#DIV/0!</v>
      </c>
      <c r="K23" s="678" t="e">
        <f>SUM('Detailed Financial Case'!X60:X62)</f>
        <v>#DIV/0!</v>
      </c>
      <c r="L23" s="678" t="e">
        <f>SUM('Detailed Financial Case'!Y60:Y62)</f>
        <v>#DIV/0!</v>
      </c>
      <c r="M23" s="678" t="e">
        <f>SUM('Detailed Financial Case'!Z60:Z62)</f>
        <v>#DIV/0!</v>
      </c>
      <c r="N23" s="777" t="e">
        <f t="shared" si="9"/>
        <v>#DIV/0!</v>
      </c>
      <c r="O23" s="773" t="e">
        <f t="shared" si="7"/>
        <v>#DIV/0!</v>
      </c>
      <c r="P23" s="677"/>
    </row>
    <row r="24" spans="1:16" s="673" customFormat="1" ht="12" x14ac:dyDescent="0.15">
      <c r="A24" s="673" t="s">
        <v>268</v>
      </c>
      <c r="B24" s="674" t="s">
        <v>496</v>
      </c>
      <c r="C24" s="675">
        <f t="shared" si="8"/>
        <v>0</v>
      </c>
      <c r="D24" s="678">
        <f>SUM('Detailed Financial Case'!Q63:Q64,'Detailed Financial Case'!Q29:Q30)</f>
        <v>0</v>
      </c>
      <c r="E24" s="678">
        <f>SUM('Detailed Financial Case'!R63:R64,'Detailed Financial Case'!R29:R30)</f>
        <v>0</v>
      </c>
      <c r="F24" s="678">
        <f>SUM('Detailed Financial Case'!S63:S64,'Detailed Financial Case'!S29:S30)</f>
        <v>0</v>
      </c>
      <c r="G24" s="678">
        <f>SUM('Detailed Financial Case'!T63:T64,'Detailed Financial Case'!T29:T30)</f>
        <v>0</v>
      </c>
      <c r="H24" s="678">
        <f>SUM('Detailed Financial Case'!U63:U64,'Detailed Financial Case'!U29:U30)</f>
        <v>0</v>
      </c>
      <c r="I24" s="678">
        <f>SUM('Detailed Financial Case'!V63:V64,'Detailed Financial Case'!V29:V30)</f>
        <v>0</v>
      </c>
      <c r="J24" s="678">
        <f>SUM('Detailed Financial Case'!W63:W64,'Detailed Financial Case'!W29:W30)</f>
        <v>0</v>
      </c>
      <c r="K24" s="678">
        <f>SUM('Detailed Financial Case'!X63:X64,'Detailed Financial Case'!X29:X30)</f>
        <v>0</v>
      </c>
      <c r="L24" s="678">
        <f>SUM('Detailed Financial Case'!Y63:Y64,'Detailed Financial Case'!Y29:Y30)</f>
        <v>0</v>
      </c>
      <c r="M24" s="678">
        <f>SUM('Detailed Financial Case'!Z63:Z64,'Detailed Financial Case'!Z29:Z30)</f>
        <v>0</v>
      </c>
      <c r="N24" s="777">
        <f t="shared" si="9"/>
        <v>0</v>
      </c>
      <c r="O24" s="773">
        <f t="shared" si="7"/>
        <v>0</v>
      </c>
      <c r="P24" s="677"/>
    </row>
    <row r="25" spans="1:16" s="673" customFormat="1" ht="12" x14ac:dyDescent="0.15">
      <c r="A25" s="673" t="s">
        <v>268</v>
      </c>
      <c r="B25" s="674" t="s">
        <v>486</v>
      </c>
      <c r="C25" s="675" t="e">
        <f t="shared" si="8"/>
        <v>#DIV/0!</v>
      </c>
      <c r="D25" s="678" t="e">
        <f>SUM('Detailed Financial Case'!Q65:Q67)</f>
        <v>#DIV/0!</v>
      </c>
      <c r="E25" s="678" t="e">
        <f>SUM('Detailed Financial Case'!R65:R67)</f>
        <v>#DIV/0!</v>
      </c>
      <c r="F25" s="678" t="e">
        <f>SUM('Detailed Financial Case'!S65:S67)</f>
        <v>#DIV/0!</v>
      </c>
      <c r="G25" s="678" t="e">
        <f>SUM('Detailed Financial Case'!T65:T67)</f>
        <v>#DIV/0!</v>
      </c>
      <c r="H25" s="678" t="e">
        <f>SUM('Detailed Financial Case'!U65:U67)</f>
        <v>#DIV/0!</v>
      </c>
      <c r="I25" s="678" t="e">
        <f>SUM('Detailed Financial Case'!V65:V67)</f>
        <v>#DIV/0!</v>
      </c>
      <c r="J25" s="678" t="e">
        <f>SUM('Detailed Financial Case'!W65:W67)</f>
        <v>#DIV/0!</v>
      </c>
      <c r="K25" s="678" t="e">
        <f>SUM('Detailed Financial Case'!X65:X67)</f>
        <v>#DIV/0!</v>
      </c>
      <c r="L25" s="678" t="e">
        <f>SUM('Detailed Financial Case'!Y65:Y67)</f>
        <v>#DIV/0!</v>
      </c>
      <c r="M25" s="678" t="e">
        <f>SUM('Detailed Financial Case'!Z65:Z67)</f>
        <v>#DIV/0!</v>
      </c>
      <c r="N25" s="777" t="e">
        <f t="shared" si="9"/>
        <v>#DIV/0!</v>
      </c>
      <c r="O25" s="773" t="e">
        <f t="shared" si="7"/>
        <v>#DIV/0!</v>
      </c>
      <c r="P25" s="677"/>
    </row>
    <row r="26" spans="1:16" s="673" customFormat="1" ht="12" x14ac:dyDescent="0.15">
      <c r="A26" s="673" t="s">
        <v>268</v>
      </c>
      <c r="B26" s="674" t="s">
        <v>487</v>
      </c>
      <c r="C26" s="675" t="e">
        <f t="shared" si="8"/>
        <v>#DIV/0!</v>
      </c>
      <c r="D26" s="678" t="e">
        <f>SUM('Detailed Financial Case'!Q24)</f>
        <v>#DIV/0!</v>
      </c>
      <c r="E26" s="678" t="e">
        <f>SUM('Detailed Financial Case'!R24)</f>
        <v>#DIV/0!</v>
      </c>
      <c r="F26" s="678" t="e">
        <f>SUM('Detailed Financial Case'!S24)</f>
        <v>#DIV/0!</v>
      </c>
      <c r="G26" s="678" t="e">
        <f>SUM('Detailed Financial Case'!T24)</f>
        <v>#DIV/0!</v>
      </c>
      <c r="H26" s="678" t="e">
        <f>SUM('Detailed Financial Case'!U24)</f>
        <v>#DIV/0!</v>
      </c>
      <c r="I26" s="678" t="e">
        <f>SUM('Detailed Financial Case'!V24)</f>
        <v>#DIV/0!</v>
      </c>
      <c r="J26" s="678" t="e">
        <f>SUM('Detailed Financial Case'!W24)</f>
        <v>#DIV/0!</v>
      </c>
      <c r="K26" s="678" t="e">
        <f>SUM('Detailed Financial Case'!X24)</f>
        <v>#DIV/0!</v>
      </c>
      <c r="L26" s="678" t="e">
        <f>SUM('Detailed Financial Case'!Y24)</f>
        <v>#DIV/0!</v>
      </c>
      <c r="M26" s="678" t="e">
        <f>SUM('Detailed Financial Case'!Z24)</f>
        <v>#DIV/0!</v>
      </c>
      <c r="N26" s="777" t="e">
        <f t="shared" si="9"/>
        <v>#DIV/0!</v>
      </c>
      <c r="O26" s="773" t="e">
        <f t="shared" si="7"/>
        <v>#DIV/0!</v>
      </c>
      <c r="P26" s="677"/>
    </row>
    <row r="27" spans="1:16" s="673" customFormat="1" ht="12" x14ac:dyDescent="0.15">
      <c r="A27" s="673" t="s">
        <v>268</v>
      </c>
      <c r="B27" s="674" t="s">
        <v>488</v>
      </c>
      <c r="C27" s="675">
        <f t="shared" si="8"/>
        <v>0</v>
      </c>
      <c r="D27" s="678">
        <f>SUM('Detailed Financial Case'!Q25:Q26)</f>
        <v>0</v>
      </c>
      <c r="E27" s="678">
        <f>SUM('Detailed Financial Case'!R25:R26)</f>
        <v>0</v>
      </c>
      <c r="F27" s="678">
        <f>SUM('Detailed Financial Case'!S25:S26)</f>
        <v>0</v>
      </c>
      <c r="G27" s="678">
        <f>SUM('Detailed Financial Case'!T25:T26)</f>
        <v>0</v>
      </c>
      <c r="H27" s="678">
        <f>SUM('Detailed Financial Case'!U25:U26)</f>
        <v>0</v>
      </c>
      <c r="I27" s="678">
        <f>SUM('Detailed Financial Case'!V25:V26)</f>
        <v>0</v>
      </c>
      <c r="J27" s="678">
        <f>SUM('Detailed Financial Case'!W25:W26)</f>
        <v>0</v>
      </c>
      <c r="K27" s="678">
        <f>SUM('Detailed Financial Case'!X25:X26)</f>
        <v>0</v>
      </c>
      <c r="L27" s="678">
        <f>SUM('Detailed Financial Case'!Y25:Y26)</f>
        <v>0</v>
      </c>
      <c r="M27" s="678">
        <f>SUM('Detailed Financial Case'!Z25:Z26)</f>
        <v>0</v>
      </c>
      <c r="N27" s="777">
        <f t="shared" si="9"/>
        <v>0</v>
      </c>
      <c r="O27" s="773">
        <f t="shared" si="7"/>
        <v>0</v>
      </c>
      <c r="P27" s="677"/>
    </row>
    <row r="28" spans="1:16" s="673" customFormat="1" ht="12" x14ac:dyDescent="0.15">
      <c r="A28" s="673" t="s">
        <v>268</v>
      </c>
      <c r="B28" s="674" t="s">
        <v>489</v>
      </c>
      <c r="C28" s="675">
        <f t="shared" si="8"/>
        <v>0</v>
      </c>
      <c r="D28" s="678">
        <f>SUM('Detailed Financial Case'!Q27:Q28)</f>
        <v>0</v>
      </c>
      <c r="E28" s="678">
        <f>SUM('Detailed Financial Case'!R27:R28)</f>
        <v>0</v>
      </c>
      <c r="F28" s="678">
        <f>SUM('Detailed Financial Case'!S27:S28)</f>
        <v>0</v>
      </c>
      <c r="G28" s="678">
        <f>SUM('Detailed Financial Case'!T27:T28)</f>
        <v>0</v>
      </c>
      <c r="H28" s="678">
        <f>SUM('Detailed Financial Case'!U27:U28)</f>
        <v>0</v>
      </c>
      <c r="I28" s="678">
        <f>SUM('Detailed Financial Case'!V27:V28)</f>
        <v>0</v>
      </c>
      <c r="J28" s="678">
        <f>SUM('Detailed Financial Case'!W27:W28)</f>
        <v>0</v>
      </c>
      <c r="K28" s="678">
        <f>SUM('Detailed Financial Case'!X27:X28)</f>
        <v>0</v>
      </c>
      <c r="L28" s="678">
        <f>SUM('Detailed Financial Case'!Y27:Y28)</f>
        <v>0</v>
      </c>
      <c r="M28" s="678">
        <f>SUM('Detailed Financial Case'!Z27:Z28)</f>
        <v>0</v>
      </c>
      <c r="N28" s="777">
        <f t="shared" si="9"/>
        <v>0</v>
      </c>
      <c r="O28" s="773">
        <f t="shared" si="7"/>
        <v>0</v>
      </c>
      <c r="P28" s="677"/>
    </row>
    <row r="29" spans="1:16" s="673" customFormat="1" ht="12" x14ac:dyDescent="0.15">
      <c r="A29" s="673" t="s">
        <v>268</v>
      </c>
      <c r="B29" s="674" t="s">
        <v>362</v>
      </c>
      <c r="C29" s="675">
        <f t="shared" si="8"/>
        <v>0</v>
      </c>
      <c r="D29" s="678">
        <f>'Detailed Financial Case'!Q69</f>
        <v>0</v>
      </c>
      <c r="E29" s="678">
        <f>'Detailed Financial Case'!R69</f>
        <v>0</v>
      </c>
      <c r="F29" s="678">
        <f>'Detailed Financial Case'!S69</f>
        <v>0</v>
      </c>
      <c r="G29" s="678">
        <f>'Detailed Financial Case'!T69</f>
        <v>0</v>
      </c>
      <c r="H29" s="678">
        <f>'Detailed Financial Case'!U69</f>
        <v>0</v>
      </c>
      <c r="I29" s="678">
        <f>'Detailed Financial Case'!V69</f>
        <v>0</v>
      </c>
      <c r="J29" s="678">
        <f>'Detailed Financial Case'!W69</f>
        <v>0</v>
      </c>
      <c r="K29" s="678">
        <f>'Detailed Financial Case'!X69</f>
        <v>0</v>
      </c>
      <c r="L29" s="678">
        <f>'Detailed Financial Case'!Y69</f>
        <v>0</v>
      </c>
      <c r="M29" s="678">
        <f>'Detailed Financial Case'!Z69</f>
        <v>0</v>
      </c>
      <c r="N29" s="777">
        <f t="shared" si="9"/>
        <v>0</v>
      </c>
      <c r="O29" s="773">
        <f t="shared" si="7"/>
        <v>0</v>
      </c>
      <c r="P29" s="677"/>
    </row>
    <row r="30" spans="1:16" s="673" customFormat="1" ht="12" x14ac:dyDescent="0.15">
      <c r="A30" s="673" t="s">
        <v>490</v>
      </c>
      <c r="B30" s="674" t="s">
        <v>491</v>
      </c>
      <c r="C30" s="675">
        <f t="shared" si="8"/>
        <v>0</v>
      </c>
      <c r="D30" s="725">
        <f>'Detailed Financial Case'!Q71</f>
        <v>0</v>
      </c>
      <c r="E30" s="725">
        <f>'Detailed Financial Case'!R71</f>
        <v>0</v>
      </c>
      <c r="F30" s="725">
        <f>'Detailed Financial Case'!S71</f>
        <v>0</v>
      </c>
      <c r="G30" s="725">
        <f>'Detailed Financial Case'!T71</f>
        <v>0</v>
      </c>
      <c r="H30" s="725">
        <f>'Detailed Financial Case'!U71</f>
        <v>0</v>
      </c>
      <c r="I30" s="725">
        <f>'Detailed Financial Case'!V71</f>
        <v>0</v>
      </c>
      <c r="J30" s="725">
        <f>'Detailed Financial Case'!W71</f>
        <v>0</v>
      </c>
      <c r="K30" s="725">
        <f>'Detailed Financial Case'!X71</f>
        <v>0</v>
      </c>
      <c r="L30" s="725">
        <f>'Detailed Financial Case'!Y71</f>
        <v>0</v>
      </c>
      <c r="M30" s="725">
        <f>'Detailed Financial Case'!Z71</f>
        <v>0</v>
      </c>
      <c r="N30" s="777">
        <f t="shared" si="9"/>
        <v>0</v>
      </c>
      <c r="O30" s="773">
        <f t="shared" si="7"/>
        <v>0</v>
      </c>
      <c r="P30" s="677"/>
    </row>
    <row r="31" spans="1:16" s="673" customFormat="1" ht="12" x14ac:dyDescent="0.15">
      <c r="A31" s="673" t="s">
        <v>492</v>
      </c>
      <c r="B31" s="674" t="s">
        <v>493</v>
      </c>
      <c r="C31" s="675">
        <f t="shared" si="8"/>
        <v>0</v>
      </c>
      <c r="D31" s="678">
        <f>'Detailed Financial Case'!Q39</f>
        <v>0</v>
      </c>
      <c r="E31" s="678">
        <f>'Detailed Financial Case'!R39</f>
        <v>0</v>
      </c>
      <c r="F31" s="678">
        <f>'Detailed Financial Case'!S39</f>
        <v>0</v>
      </c>
      <c r="G31" s="678">
        <f>'Detailed Financial Case'!T39</f>
        <v>0</v>
      </c>
      <c r="H31" s="678">
        <f>'Detailed Financial Case'!U39</f>
        <v>0</v>
      </c>
      <c r="I31" s="678">
        <f>'Detailed Financial Case'!V39</f>
        <v>0</v>
      </c>
      <c r="J31" s="678">
        <f>'Detailed Financial Case'!W39</f>
        <v>0</v>
      </c>
      <c r="K31" s="678">
        <f>'Detailed Financial Case'!X39</f>
        <v>0</v>
      </c>
      <c r="L31" s="678">
        <f>'Detailed Financial Case'!Y39</f>
        <v>0</v>
      </c>
      <c r="M31" s="678">
        <f>'Detailed Financial Case'!Z39</f>
        <v>0</v>
      </c>
      <c r="N31" s="777">
        <f t="shared" si="9"/>
        <v>0</v>
      </c>
      <c r="O31" s="773">
        <f t="shared" si="7"/>
        <v>0</v>
      </c>
      <c r="P31" s="677"/>
    </row>
    <row r="32" spans="1:16" s="673" customFormat="1" ht="12" x14ac:dyDescent="0.15">
      <c r="A32" s="673" t="s">
        <v>492</v>
      </c>
      <c r="B32" s="674" t="s">
        <v>364</v>
      </c>
      <c r="C32" s="675">
        <v>0</v>
      </c>
      <c r="D32" s="678">
        <f>'Detailed Financial Case'!Q41</f>
        <v>0</v>
      </c>
      <c r="E32" s="678">
        <f>'Detailed Financial Case'!R41</f>
        <v>0</v>
      </c>
      <c r="F32" s="678">
        <f>'Detailed Financial Case'!S41</f>
        <v>0</v>
      </c>
      <c r="G32" s="678">
        <f>'Detailed Financial Case'!T41</f>
        <v>0</v>
      </c>
      <c r="H32" s="678">
        <f>'Detailed Financial Case'!U41</f>
        <v>0</v>
      </c>
      <c r="I32" s="678">
        <f>'Detailed Financial Case'!V41</f>
        <v>0</v>
      </c>
      <c r="J32" s="678">
        <f>'Detailed Financial Case'!W41</f>
        <v>0</v>
      </c>
      <c r="K32" s="678">
        <f>'Detailed Financial Case'!X41</f>
        <v>0</v>
      </c>
      <c r="L32" s="678">
        <f>'Detailed Financial Case'!Y41</f>
        <v>0</v>
      </c>
      <c r="M32" s="678">
        <f>'Detailed Financial Case'!Z41</f>
        <v>0</v>
      </c>
      <c r="N32" s="777">
        <f t="shared" si="9"/>
        <v>0</v>
      </c>
      <c r="O32" s="773">
        <f t="shared" si="7"/>
        <v>0</v>
      </c>
      <c r="P32" s="677"/>
    </row>
    <row r="33" spans="1:16" s="673" customFormat="1" ht="12" x14ac:dyDescent="0.15">
      <c r="A33" s="673" t="s">
        <v>492</v>
      </c>
      <c r="B33" s="674" t="s">
        <v>365</v>
      </c>
      <c r="C33" s="675">
        <v>0</v>
      </c>
      <c r="D33" s="678">
        <f>'Detailed Financial Case'!Q42</f>
        <v>0</v>
      </c>
      <c r="E33" s="678">
        <f>'Detailed Financial Case'!R42</f>
        <v>0</v>
      </c>
      <c r="F33" s="678">
        <f>'Detailed Financial Case'!S42</f>
        <v>0</v>
      </c>
      <c r="G33" s="678">
        <f>'Detailed Financial Case'!T42</f>
        <v>0</v>
      </c>
      <c r="H33" s="678">
        <f>'Detailed Financial Case'!U42</f>
        <v>0</v>
      </c>
      <c r="I33" s="678">
        <f>'Detailed Financial Case'!V42</f>
        <v>0</v>
      </c>
      <c r="J33" s="678">
        <f>'Detailed Financial Case'!W42</f>
        <v>0</v>
      </c>
      <c r="K33" s="678">
        <f>'Detailed Financial Case'!X42</f>
        <v>0</v>
      </c>
      <c r="L33" s="678">
        <f>'Detailed Financial Case'!Y42</f>
        <v>0</v>
      </c>
      <c r="M33" s="678">
        <f>'Detailed Financial Case'!Z42</f>
        <v>0</v>
      </c>
      <c r="N33" s="777">
        <f t="shared" si="9"/>
        <v>0</v>
      </c>
      <c r="O33" s="773">
        <f t="shared" si="7"/>
        <v>0</v>
      </c>
      <c r="P33" s="677"/>
    </row>
    <row r="34" spans="1:16" s="673" customFormat="1" ht="12" x14ac:dyDescent="0.15">
      <c r="A34" s="673" t="s">
        <v>492</v>
      </c>
      <c r="B34" s="674" t="s">
        <v>366</v>
      </c>
      <c r="C34" s="675">
        <v>0</v>
      </c>
      <c r="D34" s="678">
        <f>'Detailed Financial Case'!Q43</f>
        <v>0</v>
      </c>
      <c r="E34" s="678">
        <f>'Detailed Financial Case'!R43</f>
        <v>0</v>
      </c>
      <c r="F34" s="678">
        <f>'Detailed Financial Case'!S43</f>
        <v>0</v>
      </c>
      <c r="G34" s="678">
        <f>'Detailed Financial Case'!T43</f>
        <v>0</v>
      </c>
      <c r="H34" s="678">
        <f>'Detailed Financial Case'!U43</f>
        <v>0</v>
      </c>
      <c r="I34" s="678">
        <f>'Detailed Financial Case'!V43</f>
        <v>0</v>
      </c>
      <c r="J34" s="678">
        <f>'Detailed Financial Case'!W43</f>
        <v>0</v>
      </c>
      <c r="K34" s="678">
        <f>'Detailed Financial Case'!X43</f>
        <v>0</v>
      </c>
      <c r="L34" s="678">
        <f>'Detailed Financial Case'!Y43</f>
        <v>0</v>
      </c>
      <c r="M34" s="678">
        <f>'Detailed Financial Case'!Z43</f>
        <v>0</v>
      </c>
      <c r="N34" s="777">
        <f t="shared" si="9"/>
        <v>0</v>
      </c>
      <c r="O34" s="773">
        <f t="shared" si="7"/>
        <v>0</v>
      </c>
      <c r="P34" s="677"/>
    </row>
    <row r="35" spans="1:16" x14ac:dyDescent="0.15">
      <c r="B35" s="679" t="s">
        <v>494</v>
      </c>
      <c r="C35" s="681" t="e">
        <f>SUM(C21:C34)</f>
        <v>#DIV/0!</v>
      </c>
      <c r="D35" s="681" t="e">
        <f>SUM(D21:D34)</f>
        <v>#DIV/0!</v>
      </c>
      <c r="E35" s="681" t="e">
        <f t="shared" ref="E35:M35" si="10">SUM(E21:E34)</f>
        <v>#DIV/0!</v>
      </c>
      <c r="F35" s="681" t="e">
        <f t="shared" si="10"/>
        <v>#DIV/0!</v>
      </c>
      <c r="G35" s="681" t="e">
        <f t="shared" si="10"/>
        <v>#DIV/0!</v>
      </c>
      <c r="H35" s="681" t="e">
        <f t="shared" si="10"/>
        <v>#DIV/0!</v>
      </c>
      <c r="I35" s="681" t="e">
        <f t="shared" si="10"/>
        <v>#DIV/0!</v>
      </c>
      <c r="J35" s="681" t="e">
        <f t="shared" si="10"/>
        <v>#DIV/0!</v>
      </c>
      <c r="K35" s="681" t="e">
        <f t="shared" si="10"/>
        <v>#DIV/0!</v>
      </c>
      <c r="L35" s="681" t="e">
        <f t="shared" si="10"/>
        <v>#DIV/0!</v>
      </c>
      <c r="M35" s="681" t="e">
        <f t="shared" si="10"/>
        <v>#DIV/0!</v>
      </c>
      <c r="N35" s="681" t="e">
        <f>SUM(N21:N34)</f>
        <v>#DIV/0!</v>
      </c>
      <c r="O35" s="779" t="e">
        <f>SUM(O21:O34)</f>
        <v>#DIV/0!</v>
      </c>
    </row>
    <row r="36" spans="1:16" x14ac:dyDescent="0.15">
      <c r="B36" s="685" t="s">
        <v>283</v>
      </c>
      <c r="C36" s="686"/>
      <c r="D36" s="687"/>
      <c r="E36" s="688" t="e">
        <f>E35-E16</f>
        <v>#DIV/0!</v>
      </c>
      <c r="F36" s="688" t="e">
        <f t="shared" ref="F36:M36" si="11">F35-F16</f>
        <v>#DIV/0!</v>
      </c>
      <c r="G36" s="688" t="e">
        <f t="shared" si="11"/>
        <v>#DIV/0!</v>
      </c>
      <c r="H36" s="688" t="e">
        <f t="shared" si="11"/>
        <v>#DIV/0!</v>
      </c>
      <c r="I36" s="688" t="e">
        <f t="shared" si="11"/>
        <v>#DIV/0!</v>
      </c>
      <c r="J36" s="688" t="e">
        <f t="shared" si="11"/>
        <v>#DIV/0!</v>
      </c>
      <c r="K36" s="688" t="e">
        <f t="shared" si="11"/>
        <v>#DIV/0!</v>
      </c>
      <c r="L36" s="688" t="e">
        <f t="shared" si="11"/>
        <v>#DIV/0!</v>
      </c>
      <c r="M36" s="688" t="e">
        <f t="shared" si="11"/>
        <v>#DIV/0!</v>
      </c>
      <c r="N36" s="688" t="e">
        <f>N35-N16</f>
        <v>#DIV/0!</v>
      </c>
      <c r="O36" s="780" t="e">
        <f>O35-O16</f>
        <v>#DIV/0!</v>
      </c>
      <c r="P36" s="726" t="s">
        <v>497</v>
      </c>
    </row>
    <row r="37" spans="1:16" ht="12" thickBot="1" x14ac:dyDescent="0.2">
      <c r="C37" s="689"/>
      <c r="E37" s="690"/>
      <c r="F37" s="681"/>
      <c r="N37" s="691" t="e">
        <f>(N35-N16)/N16</f>
        <v>#DIV/0!</v>
      </c>
      <c r="O37" s="781" t="e">
        <f>(O35-O16)/O16</f>
        <v>#DIV/0!</v>
      </c>
    </row>
    <row r="38" spans="1:16" x14ac:dyDescent="0.15">
      <c r="C38" s="689"/>
      <c r="E38" s="690"/>
      <c r="F38" s="681"/>
      <c r="N38" s="692"/>
    </row>
    <row r="39" spans="1:16" ht="12" thickBot="1" x14ac:dyDescent="0.2">
      <c r="C39" s="689"/>
      <c r="E39" s="690"/>
      <c r="F39" s="681"/>
      <c r="N39" s="692"/>
    </row>
    <row r="40" spans="1:16" x14ac:dyDescent="0.15">
      <c r="A40" s="669" t="s">
        <v>484</v>
      </c>
      <c r="C40" s="670" t="s">
        <v>332</v>
      </c>
      <c r="D40" s="671">
        <v>1</v>
      </c>
      <c r="E40" s="671">
        <f>D40+1</f>
        <v>2</v>
      </c>
      <c r="F40" s="671">
        <f t="shared" ref="F40" si="12">E40+1</f>
        <v>3</v>
      </c>
      <c r="G40" s="671">
        <f>F40+1</f>
        <v>4</v>
      </c>
      <c r="H40" s="671">
        <f t="shared" ref="H40:M40" si="13">G40+1</f>
        <v>5</v>
      </c>
      <c r="I40" s="671">
        <f t="shared" si="13"/>
        <v>6</v>
      </c>
      <c r="J40" s="671">
        <f t="shared" si="13"/>
        <v>7</v>
      </c>
      <c r="K40" s="671">
        <f t="shared" si="13"/>
        <v>8</v>
      </c>
      <c r="L40" s="671">
        <f t="shared" si="13"/>
        <v>9</v>
      </c>
      <c r="M40" s="671">
        <f t="shared" si="13"/>
        <v>10</v>
      </c>
      <c r="N40" s="693"/>
      <c r="O40" s="772" t="s">
        <v>920</v>
      </c>
    </row>
    <row r="41" spans="1:16" x14ac:dyDescent="0.15">
      <c r="B41" s="743" t="s">
        <v>498</v>
      </c>
      <c r="C41" s="741" t="e">
        <f>C$16</f>
        <v>#DIV/0!</v>
      </c>
      <c r="D41" s="741" t="e">
        <f>D$16</f>
        <v>#DIV/0!</v>
      </c>
      <c r="E41" s="741" t="e">
        <f t="shared" ref="E41:M41" si="14">E$16</f>
        <v>#DIV/0!</v>
      </c>
      <c r="F41" s="741" t="e">
        <f t="shared" si="14"/>
        <v>#DIV/0!</v>
      </c>
      <c r="G41" s="741" t="e">
        <f t="shared" si="14"/>
        <v>#DIV/0!</v>
      </c>
      <c r="H41" s="741" t="e">
        <f t="shared" si="14"/>
        <v>#DIV/0!</v>
      </c>
      <c r="I41" s="741" t="e">
        <f t="shared" si="14"/>
        <v>#DIV/0!</v>
      </c>
      <c r="J41" s="741" t="e">
        <f t="shared" si="14"/>
        <v>#DIV/0!</v>
      </c>
      <c r="K41" s="741" t="e">
        <f t="shared" si="14"/>
        <v>#DIV/0!</v>
      </c>
      <c r="L41" s="741" t="e">
        <f t="shared" si="14"/>
        <v>#DIV/0!</v>
      </c>
      <c r="M41" s="741" t="e">
        <f t="shared" si="14"/>
        <v>#DIV/0!</v>
      </c>
      <c r="N41" s="741" t="e">
        <f>SUM(D41:M41)</f>
        <v>#DIV/0!</v>
      </c>
      <c r="O41" s="773" t="e">
        <f t="shared" ref="O41:O47" si="15">SUM(D41:H41)</f>
        <v>#DIV/0!</v>
      </c>
    </row>
    <row r="42" spans="1:16" x14ac:dyDescent="0.15">
      <c r="B42" s="744" t="s">
        <v>266</v>
      </c>
      <c r="C42" s="742" t="e">
        <f>SUMIF($A$21:$A$34,"CAPEX",C21:C34)</f>
        <v>#DIV/0!</v>
      </c>
      <c r="D42" s="742" t="e">
        <f t="shared" ref="D42:M42" si="16">SUMIF($A$21:$A$34,"CAPEX",D21:D34)</f>
        <v>#DIV/0!</v>
      </c>
      <c r="E42" s="742" t="e">
        <f t="shared" si="16"/>
        <v>#DIV/0!</v>
      </c>
      <c r="F42" s="742" t="e">
        <f t="shared" si="16"/>
        <v>#DIV/0!</v>
      </c>
      <c r="G42" s="742" t="e">
        <f t="shared" si="16"/>
        <v>#DIV/0!</v>
      </c>
      <c r="H42" s="742" t="e">
        <f t="shared" si="16"/>
        <v>#DIV/0!</v>
      </c>
      <c r="I42" s="742" t="e">
        <f t="shared" si="16"/>
        <v>#DIV/0!</v>
      </c>
      <c r="J42" s="742" t="e">
        <f t="shared" si="16"/>
        <v>#DIV/0!</v>
      </c>
      <c r="K42" s="742" t="e">
        <f t="shared" si="16"/>
        <v>#DIV/0!</v>
      </c>
      <c r="L42" s="742" t="e">
        <f t="shared" si="16"/>
        <v>#DIV/0!</v>
      </c>
      <c r="M42" s="742" t="e">
        <f t="shared" si="16"/>
        <v>#DIV/0!</v>
      </c>
      <c r="N42" s="742" t="e">
        <f t="shared" ref="N42:N47" si="17">SUM(D42:M42)</f>
        <v>#DIV/0!</v>
      </c>
      <c r="O42" s="773" t="e">
        <f t="shared" si="15"/>
        <v>#DIV/0!</v>
      </c>
    </row>
    <row r="43" spans="1:16" x14ac:dyDescent="0.15">
      <c r="B43" s="745" t="s">
        <v>268</v>
      </c>
      <c r="C43" s="742" t="e">
        <f>SUMIF($A$21:$A$34,"OPEX",C21:C34)</f>
        <v>#DIV/0!</v>
      </c>
      <c r="D43" s="742" t="e">
        <f t="shared" ref="D43:M43" si="18">SUMIF($A$21:$A$34,"OPEX",D21:D34)</f>
        <v>#DIV/0!</v>
      </c>
      <c r="E43" s="742" t="e">
        <f t="shared" si="18"/>
        <v>#DIV/0!</v>
      </c>
      <c r="F43" s="742" t="e">
        <f t="shared" si="18"/>
        <v>#DIV/0!</v>
      </c>
      <c r="G43" s="742" t="e">
        <f t="shared" si="18"/>
        <v>#DIV/0!</v>
      </c>
      <c r="H43" s="742" t="e">
        <f t="shared" si="18"/>
        <v>#DIV/0!</v>
      </c>
      <c r="I43" s="742" t="e">
        <f t="shared" si="18"/>
        <v>#DIV/0!</v>
      </c>
      <c r="J43" s="742" t="e">
        <f t="shared" si="18"/>
        <v>#DIV/0!</v>
      </c>
      <c r="K43" s="742" t="e">
        <f t="shared" si="18"/>
        <v>#DIV/0!</v>
      </c>
      <c r="L43" s="742" t="e">
        <f t="shared" si="18"/>
        <v>#DIV/0!</v>
      </c>
      <c r="M43" s="742" t="e">
        <f t="shared" si="18"/>
        <v>#DIV/0!</v>
      </c>
      <c r="N43" s="742" t="e">
        <f t="shared" si="17"/>
        <v>#DIV/0!</v>
      </c>
      <c r="O43" s="774" t="e">
        <f t="shared" si="15"/>
        <v>#DIV/0!</v>
      </c>
    </row>
    <row r="44" spans="1:16" x14ac:dyDescent="0.15">
      <c r="B44" s="746" t="s">
        <v>270</v>
      </c>
      <c r="C44" s="742">
        <f>SUMIF($A$21:$A$34,"Azure OPEX",C21:C34)</f>
        <v>0</v>
      </c>
      <c r="D44" s="742">
        <f t="shared" ref="D44:M44" si="19">SUMIF($A$21:$A$34,"Azure OPEX",D21:D34)</f>
        <v>0</v>
      </c>
      <c r="E44" s="742">
        <f t="shared" si="19"/>
        <v>0</v>
      </c>
      <c r="F44" s="742">
        <f t="shared" si="19"/>
        <v>0</v>
      </c>
      <c r="G44" s="742">
        <f t="shared" si="19"/>
        <v>0</v>
      </c>
      <c r="H44" s="742">
        <f t="shared" si="19"/>
        <v>0</v>
      </c>
      <c r="I44" s="742">
        <f t="shared" si="19"/>
        <v>0</v>
      </c>
      <c r="J44" s="742">
        <f t="shared" si="19"/>
        <v>0</v>
      </c>
      <c r="K44" s="742">
        <f t="shared" si="19"/>
        <v>0</v>
      </c>
      <c r="L44" s="742">
        <f t="shared" si="19"/>
        <v>0</v>
      </c>
      <c r="M44" s="742">
        <f t="shared" si="19"/>
        <v>0</v>
      </c>
      <c r="N44" s="742">
        <f t="shared" si="17"/>
        <v>0</v>
      </c>
      <c r="O44" s="774">
        <f t="shared" si="15"/>
        <v>0</v>
      </c>
    </row>
    <row r="45" spans="1:16" x14ac:dyDescent="0.15">
      <c r="B45" s="747" t="s">
        <v>499</v>
      </c>
      <c r="C45" s="742">
        <f>SUMIF($A$21:$A$34,"Prof Services OPEX",C21:C34)</f>
        <v>0</v>
      </c>
      <c r="D45" s="742">
        <f t="shared" ref="D45:M45" si="20">SUMIF($A$21:$A$34,"Prof Services OPEX",D21:D34)</f>
        <v>0</v>
      </c>
      <c r="E45" s="742">
        <f t="shared" si="20"/>
        <v>0</v>
      </c>
      <c r="F45" s="742">
        <f t="shared" si="20"/>
        <v>0</v>
      </c>
      <c r="G45" s="742">
        <f t="shared" si="20"/>
        <v>0</v>
      </c>
      <c r="H45" s="742">
        <f t="shared" si="20"/>
        <v>0</v>
      </c>
      <c r="I45" s="742">
        <f t="shared" si="20"/>
        <v>0</v>
      </c>
      <c r="J45" s="742">
        <f t="shared" si="20"/>
        <v>0</v>
      </c>
      <c r="K45" s="742">
        <f t="shared" si="20"/>
        <v>0</v>
      </c>
      <c r="L45" s="742">
        <f t="shared" si="20"/>
        <v>0</v>
      </c>
      <c r="M45" s="742">
        <f t="shared" si="20"/>
        <v>0</v>
      </c>
      <c r="N45" s="742">
        <f t="shared" si="17"/>
        <v>0</v>
      </c>
      <c r="O45" s="774">
        <f t="shared" si="15"/>
        <v>0</v>
      </c>
    </row>
    <row r="46" spans="1:16" s="693" customFormat="1" x14ac:dyDescent="0.15">
      <c r="B46" s="748" t="s">
        <v>500</v>
      </c>
      <c r="C46" s="741" t="e">
        <f>C$35</f>
        <v>#DIV/0!</v>
      </c>
      <c r="D46" s="741" t="e">
        <f t="shared" ref="D46:M46" si="21">D$35</f>
        <v>#DIV/0!</v>
      </c>
      <c r="E46" s="741" t="e">
        <f t="shared" si="21"/>
        <v>#DIV/0!</v>
      </c>
      <c r="F46" s="741" t="e">
        <f t="shared" si="21"/>
        <v>#DIV/0!</v>
      </c>
      <c r="G46" s="741" t="e">
        <f t="shared" si="21"/>
        <v>#DIV/0!</v>
      </c>
      <c r="H46" s="741" t="e">
        <f t="shared" si="21"/>
        <v>#DIV/0!</v>
      </c>
      <c r="I46" s="741" t="e">
        <f t="shared" si="21"/>
        <v>#DIV/0!</v>
      </c>
      <c r="J46" s="741" t="e">
        <f t="shared" si="21"/>
        <v>#DIV/0!</v>
      </c>
      <c r="K46" s="741" t="e">
        <f t="shared" si="21"/>
        <v>#DIV/0!</v>
      </c>
      <c r="L46" s="741" t="e">
        <f t="shared" si="21"/>
        <v>#DIV/0!</v>
      </c>
      <c r="M46" s="741" t="e">
        <f t="shared" si="21"/>
        <v>#DIV/0!</v>
      </c>
      <c r="N46" s="742" t="e">
        <f t="shared" si="17"/>
        <v>#DIV/0!</v>
      </c>
      <c r="O46" s="775" t="e">
        <f t="shared" si="15"/>
        <v>#DIV/0!</v>
      </c>
    </row>
    <row r="47" spans="1:16" ht="12" thickBot="1" x14ac:dyDescent="0.2">
      <c r="B47" s="749" t="s">
        <v>293</v>
      </c>
      <c r="C47" s="742"/>
      <c r="D47" s="742" t="e">
        <f t="shared" ref="D47:M47" si="22">D$46-D$41</f>
        <v>#DIV/0!</v>
      </c>
      <c r="E47" s="742" t="e">
        <f t="shared" si="22"/>
        <v>#DIV/0!</v>
      </c>
      <c r="F47" s="742" t="e">
        <f t="shared" si="22"/>
        <v>#DIV/0!</v>
      </c>
      <c r="G47" s="742" t="e">
        <f t="shared" si="22"/>
        <v>#DIV/0!</v>
      </c>
      <c r="H47" s="742" t="e">
        <f t="shared" si="22"/>
        <v>#DIV/0!</v>
      </c>
      <c r="I47" s="742" t="e">
        <f t="shared" si="22"/>
        <v>#DIV/0!</v>
      </c>
      <c r="J47" s="742" t="e">
        <f t="shared" si="22"/>
        <v>#DIV/0!</v>
      </c>
      <c r="K47" s="742" t="e">
        <f t="shared" si="22"/>
        <v>#DIV/0!</v>
      </c>
      <c r="L47" s="742" t="e">
        <f t="shared" si="22"/>
        <v>#DIV/0!</v>
      </c>
      <c r="M47" s="742" t="e">
        <f t="shared" si="22"/>
        <v>#DIV/0!</v>
      </c>
      <c r="N47" s="741" t="e">
        <f t="shared" si="17"/>
        <v>#DIV/0!</v>
      </c>
      <c r="O47" s="776" t="e">
        <f t="shared" si="15"/>
        <v>#DIV/0!</v>
      </c>
      <c r="P47" s="726" t="s">
        <v>497</v>
      </c>
    </row>
    <row r="48" spans="1:16" x14ac:dyDescent="0.15">
      <c r="B48" s="694" t="s">
        <v>501</v>
      </c>
      <c r="C48" s="741"/>
      <c r="D48" s="741" t="e">
        <f>D$47</f>
        <v>#DIV/0!</v>
      </c>
      <c r="E48" s="741" t="e">
        <f t="shared" ref="E48:M48" si="23">E$47+D$48</f>
        <v>#DIV/0!</v>
      </c>
      <c r="F48" s="741" t="e">
        <f t="shared" si="23"/>
        <v>#DIV/0!</v>
      </c>
      <c r="G48" s="741" t="e">
        <f t="shared" si="23"/>
        <v>#DIV/0!</v>
      </c>
      <c r="H48" s="741" t="e">
        <f t="shared" si="23"/>
        <v>#DIV/0!</v>
      </c>
      <c r="I48" s="741" t="e">
        <f t="shared" si="23"/>
        <v>#DIV/0!</v>
      </c>
      <c r="J48" s="741" t="e">
        <f t="shared" si="23"/>
        <v>#DIV/0!</v>
      </c>
      <c r="K48" s="741" t="e">
        <f t="shared" si="23"/>
        <v>#DIV/0!</v>
      </c>
      <c r="L48" s="741" t="e">
        <f t="shared" si="23"/>
        <v>#DIV/0!</v>
      </c>
      <c r="M48" s="741" t="e">
        <f t="shared" si="23"/>
        <v>#DIV/0!</v>
      </c>
      <c r="N48" s="741"/>
      <c r="P48" s="726" t="s">
        <v>497</v>
      </c>
    </row>
    <row r="49" spans="2:16" x14ac:dyDescent="0.15">
      <c r="B49" s="750" t="s">
        <v>502</v>
      </c>
      <c r="C49" s="751"/>
      <c r="D49" s="751" t="e">
        <f>IF(D$47&gt;0,0,-D$47)</f>
        <v>#DIV/0!</v>
      </c>
      <c r="E49" s="751" t="e">
        <f t="shared" ref="E49:M49" si="24">IF(E$47&gt;0,0,-E$47)</f>
        <v>#DIV/0!</v>
      </c>
      <c r="F49" s="751" t="e">
        <f t="shared" si="24"/>
        <v>#DIV/0!</v>
      </c>
      <c r="G49" s="751" t="e">
        <f t="shared" si="24"/>
        <v>#DIV/0!</v>
      </c>
      <c r="H49" s="751" t="e">
        <f t="shared" si="24"/>
        <v>#DIV/0!</v>
      </c>
      <c r="I49" s="751" t="e">
        <f t="shared" si="24"/>
        <v>#DIV/0!</v>
      </c>
      <c r="J49" s="751" t="e">
        <f t="shared" si="24"/>
        <v>#DIV/0!</v>
      </c>
      <c r="K49" s="751" t="e">
        <f t="shared" si="24"/>
        <v>#DIV/0!</v>
      </c>
      <c r="L49" s="751" t="e">
        <f t="shared" si="24"/>
        <v>#DIV/0!</v>
      </c>
      <c r="M49" s="751" t="e">
        <f t="shared" si="24"/>
        <v>#DIV/0!</v>
      </c>
      <c r="N49" s="741"/>
      <c r="P49" s="669" t="s">
        <v>503</v>
      </c>
    </row>
    <row r="50" spans="2:16" x14ac:dyDescent="0.15">
      <c r="F50" s="695"/>
      <c r="H50" s="695"/>
    </row>
    <row r="51" spans="2:16" x14ac:dyDescent="0.15">
      <c r="F51" s="695"/>
      <c r="H51" s="695"/>
    </row>
    <row r="52" spans="2:16" x14ac:dyDescent="0.15">
      <c r="F52" s="695"/>
      <c r="H52" s="695"/>
    </row>
    <row r="53" spans="2:16" x14ac:dyDescent="0.15">
      <c r="F53" s="695"/>
      <c r="H53" s="695"/>
    </row>
    <row r="54" spans="2:16" x14ac:dyDescent="0.15">
      <c r="F54" s="695"/>
      <c r="H54" s="695"/>
    </row>
    <row r="55" spans="2:16" x14ac:dyDescent="0.15">
      <c r="F55" s="695"/>
      <c r="H55" s="695"/>
      <c r="P55" s="669" t="s">
        <v>484</v>
      </c>
    </row>
    <row r="56" spans="2:16" x14ac:dyDescent="0.15">
      <c r="F56" s="695"/>
      <c r="H56" s="695"/>
    </row>
    <row r="57" spans="2:16" x14ac:dyDescent="0.15">
      <c r="F57" s="695"/>
      <c r="H57" s="695"/>
    </row>
    <row r="58" spans="2:16" x14ac:dyDescent="0.15">
      <c r="F58" s="695"/>
      <c r="H58" s="695"/>
    </row>
    <row r="59" spans="2:16" x14ac:dyDescent="0.15">
      <c r="F59" s="695"/>
      <c r="H59" s="695"/>
    </row>
    <row r="60" spans="2:16" x14ac:dyDescent="0.15">
      <c r="F60" s="695"/>
      <c r="H60" s="695"/>
    </row>
    <row r="61" spans="2:16" x14ac:dyDescent="0.15">
      <c r="F61" s="695"/>
      <c r="H61" s="695"/>
    </row>
    <row r="62" spans="2:16" x14ac:dyDescent="0.15">
      <c r="F62" s="695"/>
      <c r="H62" s="695"/>
    </row>
    <row r="63" spans="2:16" x14ac:dyDescent="0.15">
      <c r="F63" s="695"/>
      <c r="H63" s="695"/>
    </row>
    <row r="64" spans="2:16" x14ac:dyDescent="0.15">
      <c r="F64" s="695"/>
      <c r="H64" s="695"/>
    </row>
    <row r="65" spans="6:8" x14ac:dyDescent="0.15">
      <c r="F65" s="695"/>
      <c r="H65" s="695"/>
    </row>
    <row r="66" spans="6:8" x14ac:dyDescent="0.15">
      <c r="F66" s="695"/>
      <c r="H66" s="695"/>
    </row>
    <row r="67" spans="6:8" s="696" customFormat="1" ht="12" thickBot="1" x14ac:dyDescent="0.2"/>
  </sheetData>
  <autoFilter ref="A20:N34" xr:uid="{DA8741AC-A819-4C98-BB03-58A18D6198A3}">
    <sortState xmlns:xlrd2="http://schemas.microsoft.com/office/spreadsheetml/2017/richdata2" ref="A21:N37">
      <sortCondition ref="A20:A34"/>
    </sortState>
  </autoFilter>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006A4-6A10-43B8-A006-19D7BE392C65}">
  <sheetPr codeName="Sheet5">
    <tabColor theme="4" tint="-0.499984740745262"/>
    <pageSetUpPr fitToPage="1"/>
  </sheetPr>
  <dimension ref="A1:AH101"/>
  <sheetViews>
    <sheetView showGridLines="0" zoomScale="90" zoomScaleNormal="90" workbookViewId="0">
      <pane xSplit="2" ySplit="6" topLeftCell="C29" activePane="bottomRight" state="frozen"/>
      <selection pane="topRight" activeCell="D3" sqref="D3:E4"/>
      <selection pane="bottomLeft" activeCell="D3" sqref="D3:E4"/>
      <selection pane="bottomRight" activeCell="U42" sqref="U42"/>
    </sheetView>
  </sheetViews>
  <sheetFormatPr baseColWidth="10" defaultColWidth="9" defaultRowHeight="15" outlineLevelCol="1" x14ac:dyDescent="0.2"/>
  <cols>
    <col min="1" max="1" width="5.83203125" style="58" customWidth="1"/>
    <col min="2" max="2" width="55.5" style="58" customWidth="1"/>
    <col min="3" max="3" width="10.5" style="58" customWidth="1"/>
    <col min="4" max="4" width="11.5" style="58" customWidth="1" outlineLevel="1"/>
    <col min="5" max="8" width="9.83203125" style="58" customWidth="1" outlineLevel="1"/>
    <col min="9" max="9" width="10.5" style="58" customWidth="1" outlineLevel="1"/>
    <col min="10" max="13" width="11.83203125" style="58" customWidth="1" outlineLevel="1"/>
    <col min="14" max="14" width="13" style="58" customWidth="1" outlineLevel="1"/>
    <col min="15" max="15" width="9.83203125" style="58" customWidth="1" outlineLevel="1"/>
    <col min="16" max="16" width="2.83203125" style="58" customWidth="1" outlineLevel="1"/>
    <col min="17" max="20" width="9.83203125" style="58" customWidth="1"/>
    <col min="21" max="22" width="10" style="58" customWidth="1"/>
    <col min="23" max="26" width="11.83203125" style="58" customWidth="1"/>
    <col min="27" max="27" width="12.5" style="58" customWidth="1"/>
    <col min="28" max="28" width="11" style="58" customWidth="1"/>
    <col min="29" max="29" width="9" style="58"/>
    <col min="30" max="30" width="18.83203125" style="58" customWidth="1"/>
    <col min="31" max="31" width="9" style="58" customWidth="1"/>
    <col min="32" max="32" width="9.5" style="300" bestFit="1" customWidth="1"/>
    <col min="33" max="33" width="16" style="301" bestFit="1" customWidth="1"/>
    <col min="34" max="34" width="18.83203125" style="301" bestFit="1" customWidth="1"/>
    <col min="35" max="16384" width="9" style="301"/>
  </cols>
  <sheetData>
    <row r="1" spans="1:34" ht="16.5" customHeight="1" x14ac:dyDescent="0.2">
      <c r="A1" s="298"/>
      <c r="B1" s="299" t="str">
        <f>CONCATENATE('1-Client Variables'!D9," Cloud Transformation Financial Analysis (Local Currency)")</f>
        <v>Contoso Cloud Transformation Financial Analysis (Local Currency)</v>
      </c>
      <c r="C1" s="298"/>
      <c r="D1" s="298"/>
      <c r="E1" s="298"/>
      <c r="F1" s="298"/>
      <c r="G1" s="298"/>
      <c r="H1" s="298"/>
      <c r="I1" s="298"/>
      <c r="J1" s="298"/>
      <c r="K1" s="298"/>
      <c r="L1" s="298"/>
      <c r="M1" s="298"/>
      <c r="N1" s="298"/>
      <c r="O1" s="298"/>
      <c r="P1" s="298"/>
      <c r="Q1" s="298"/>
      <c r="R1" s="298"/>
      <c r="S1" s="298"/>
      <c r="T1" s="298"/>
      <c r="U1" s="298"/>
      <c r="V1" s="298"/>
      <c r="W1" s="298"/>
      <c r="X1" s="298"/>
      <c r="Y1" s="298"/>
      <c r="Z1" s="298"/>
      <c r="AA1" s="298"/>
      <c r="AB1" s="298"/>
    </row>
    <row r="2" spans="1:34" ht="5.25" customHeight="1" x14ac:dyDescent="0.2">
      <c r="A2" s="298"/>
      <c r="B2" s="298"/>
      <c r="C2" s="298"/>
      <c r="D2" s="298"/>
      <c r="E2" s="298"/>
      <c r="F2" s="298"/>
      <c r="G2" s="298"/>
      <c r="H2" s="298"/>
      <c r="I2" s="298"/>
      <c r="J2" s="298"/>
      <c r="K2" s="298"/>
      <c r="L2" s="298"/>
      <c r="M2" s="298"/>
      <c r="N2" s="298"/>
      <c r="O2" s="298"/>
      <c r="P2" s="298"/>
      <c r="Q2" s="298"/>
      <c r="R2" s="298"/>
      <c r="S2" s="298"/>
      <c r="T2" s="298"/>
      <c r="U2" s="298"/>
      <c r="V2" s="298"/>
      <c r="W2" s="298"/>
      <c r="X2" s="298"/>
      <c r="Y2" s="298"/>
      <c r="Z2" s="298"/>
      <c r="AA2" s="298"/>
      <c r="AB2" s="298"/>
    </row>
    <row r="3" spans="1:34" ht="16.5" customHeight="1" x14ac:dyDescent="0.2">
      <c r="A3" s="298"/>
      <c r="B3" s="298"/>
      <c r="C3" s="298"/>
      <c r="D3" s="298"/>
      <c r="E3" s="298"/>
      <c r="F3" s="298"/>
      <c r="G3" s="298"/>
      <c r="H3" s="298"/>
      <c r="I3" s="298"/>
      <c r="J3" s="298"/>
      <c r="K3" s="298"/>
      <c r="L3" s="298"/>
      <c r="M3" s="298"/>
      <c r="N3" s="298"/>
      <c r="O3" s="298"/>
      <c r="P3" s="298"/>
      <c r="Q3" s="298"/>
      <c r="R3" s="298"/>
      <c r="S3" s="298"/>
      <c r="T3" s="298"/>
      <c r="U3" s="298"/>
      <c r="V3" s="298"/>
      <c r="W3" s="298"/>
      <c r="X3" s="298"/>
      <c r="Y3" s="298"/>
      <c r="Z3" s="298"/>
      <c r="AA3" s="298"/>
      <c r="AB3" s="298"/>
    </row>
    <row r="4" spans="1:34" s="58" customFormat="1" ht="16.5" customHeight="1" x14ac:dyDescent="0.2">
      <c r="B4" s="302"/>
      <c r="C4" s="302"/>
      <c r="D4" s="302"/>
      <c r="E4" s="302"/>
      <c r="F4" s="59"/>
      <c r="G4" s="59"/>
      <c r="H4" s="59"/>
      <c r="I4" s="59"/>
      <c r="J4" s="59"/>
      <c r="K4" s="59"/>
      <c r="L4" s="59"/>
      <c r="M4" s="59"/>
      <c r="P4" s="59"/>
      <c r="R4" s="59"/>
      <c r="S4" s="59"/>
      <c r="T4" s="59"/>
      <c r="W4" s="59"/>
      <c r="X4" s="59"/>
      <c r="Y4" s="59"/>
      <c r="Z4" s="59"/>
      <c r="AF4" s="303"/>
    </row>
    <row r="5" spans="1:34" x14ac:dyDescent="0.2">
      <c r="B5" s="304"/>
      <c r="C5" s="305" t="s">
        <v>332</v>
      </c>
      <c r="D5" s="306" t="s">
        <v>267</v>
      </c>
      <c r="E5" s="306"/>
      <c r="F5" s="306"/>
      <c r="G5" s="306"/>
      <c r="H5" s="306"/>
      <c r="I5" s="306"/>
      <c r="J5" s="306"/>
      <c r="K5" s="306"/>
      <c r="L5" s="306"/>
      <c r="M5" s="306"/>
      <c r="N5" s="307"/>
      <c r="O5" s="307"/>
      <c r="Q5" s="306" t="s">
        <v>265</v>
      </c>
      <c r="R5" s="306"/>
      <c r="S5" s="306"/>
      <c r="T5" s="306"/>
      <c r="U5" s="306"/>
      <c r="V5" s="306"/>
      <c r="W5" s="306"/>
      <c r="X5" s="306"/>
      <c r="Y5" s="306"/>
      <c r="Z5" s="306"/>
      <c r="AA5" s="307"/>
      <c r="AB5" s="307"/>
      <c r="AD5" s="800" t="s">
        <v>504</v>
      </c>
      <c r="AH5" s="301" t="s">
        <v>505</v>
      </c>
    </row>
    <row r="6" spans="1:34" ht="22" x14ac:dyDescent="0.3">
      <c r="B6" s="308" t="s">
        <v>331</v>
      </c>
      <c r="C6" s="309">
        <v>0</v>
      </c>
      <c r="D6" s="309">
        <v>1</v>
      </c>
      <c r="E6" s="309">
        <f>D6+1</f>
        <v>2</v>
      </c>
      <c r="F6" s="309">
        <f t="shared" ref="F6:G6" si="0">E6+1</f>
        <v>3</v>
      </c>
      <c r="G6" s="309">
        <f t="shared" si="0"/>
        <v>4</v>
      </c>
      <c r="H6" s="309">
        <f>G6+1</f>
        <v>5</v>
      </c>
      <c r="I6" s="309">
        <f>H6+1</f>
        <v>6</v>
      </c>
      <c r="J6" s="309">
        <f>I6+1</f>
        <v>7</v>
      </c>
      <c r="K6" s="309">
        <f t="shared" ref="K6:M6" si="1">J6+1</f>
        <v>8</v>
      </c>
      <c r="L6" s="309">
        <f t="shared" si="1"/>
        <v>9</v>
      </c>
      <c r="M6" s="309">
        <f t="shared" si="1"/>
        <v>10</v>
      </c>
      <c r="N6" s="309" t="s">
        <v>185</v>
      </c>
      <c r="O6" s="310" t="s">
        <v>506</v>
      </c>
      <c r="P6" s="311"/>
      <c r="Q6" s="309">
        <v>1</v>
      </c>
      <c r="R6" s="309">
        <f>Q6+1</f>
        <v>2</v>
      </c>
      <c r="S6" s="309">
        <f t="shared" ref="S6:T6" si="2">R6+1</f>
        <v>3</v>
      </c>
      <c r="T6" s="309">
        <f t="shared" si="2"/>
        <v>4</v>
      </c>
      <c r="U6" s="309">
        <f>T6+1</f>
        <v>5</v>
      </c>
      <c r="V6" s="309">
        <f>U6+1</f>
        <v>6</v>
      </c>
      <c r="W6" s="309">
        <f>V6+1</f>
        <v>7</v>
      </c>
      <c r="X6" s="309">
        <f t="shared" ref="X6:Z6" si="3">W6+1</f>
        <v>8</v>
      </c>
      <c r="Y6" s="309">
        <f t="shared" si="3"/>
        <v>9</v>
      </c>
      <c r="Z6" s="309">
        <f t="shared" si="3"/>
        <v>10</v>
      </c>
      <c r="AA6" s="309" t="s">
        <v>185</v>
      </c>
      <c r="AB6" s="310" t="s">
        <v>506</v>
      </c>
      <c r="AD6" s="800"/>
      <c r="AE6" s="59"/>
      <c r="AH6" s="312">
        <v>1</v>
      </c>
    </row>
    <row r="7" spans="1:34" ht="17" thickBot="1" x14ac:dyDescent="0.25">
      <c r="B7" s="313" t="s">
        <v>460</v>
      </c>
      <c r="AH7" s="314"/>
    </row>
    <row r="8" spans="1:34" x14ac:dyDescent="0.2">
      <c r="B8" s="315" t="s">
        <v>338</v>
      </c>
      <c r="C8" s="316" t="e">
        <f>'Status Quo Estimation'!E7*'1-Client Variables'!$D$11*(1-$AD8)</f>
        <v>#DIV/0!</v>
      </c>
      <c r="D8" s="317" t="e">
        <f>'Depreciation Schedule'!M282*'1-Client Variables'!$D$11*(1-$AD8)</f>
        <v>#DIV/0!</v>
      </c>
      <c r="E8" s="317" t="e">
        <f>'Depreciation Schedule'!N282*'1-Client Variables'!$D$11*(1-$AD8)</f>
        <v>#DIV/0!</v>
      </c>
      <c r="F8" s="317" t="e">
        <f>'Depreciation Schedule'!O282*'1-Client Variables'!$D$11*(1-$AD8)</f>
        <v>#DIV/0!</v>
      </c>
      <c r="G8" s="317" t="e">
        <f>'Depreciation Schedule'!P282*'1-Client Variables'!$D$11*(1-$AD8)</f>
        <v>#DIV/0!</v>
      </c>
      <c r="H8" s="317" t="e">
        <f>'Depreciation Schedule'!Q282*'1-Client Variables'!$D$11*(1-$AD8)</f>
        <v>#DIV/0!</v>
      </c>
      <c r="I8" s="317" t="e">
        <f>'Depreciation Schedule'!R282*'1-Client Variables'!$D$11*(1-$AD8)</f>
        <v>#DIV/0!</v>
      </c>
      <c r="J8" s="317" t="e">
        <f>'Depreciation Schedule'!S282*'1-Client Variables'!$D$11*(1-$AD8)</f>
        <v>#DIV/0!</v>
      </c>
      <c r="K8" s="317" t="e">
        <f>'Depreciation Schedule'!T282*'1-Client Variables'!$D$11*(1-$AD8)</f>
        <v>#DIV/0!</v>
      </c>
      <c r="L8" s="317" t="e">
        <f>'Depreciation Schedule'!U282*'1-Client Variables'!$D$11*(1-$AD8)</f>
        <v>#DIV/0!</v>
      </c>
      <c r="M8" s="317" t="e">
        <f>'Depreciation Schedule'!V282*'1-Client Variables'!$D$11*(1-$AD8)</f>
        <v>#DIV/0!</v>
      </c>
      <c r="N8" s="318" t="e">
        <f>SUM($D8:M8)</f>
        <v>#DIV/0!</v>
      </c>
      <c r="O8" s="319" t="str">
        <f>IFERROR((M8/$C8)^(1/COUNT($D$6:M$6))-1,"NA")</f>
        <v>NA</v>
      </c>
      <c r="Q8" s="317" t="e">
        <f>'Depreciation Schedule'!Y282*'1-Client Variables'!$D$11*(1-$AD8)</f>
        <v>#DIV/0!</v>
      </c>
      <c r="R8" s="317" t="e">
        <f>'Depreciation Schedule'!Z282*'1-Client Variables'!$D$11*(1-$AD8)</f>
        <v>#DIV/0!</v>
      </c>
      <c r="S8" s="317" t="e">
        <f>'Depreciation Schedule'!AA282*'1-Client Variables'!$D$11*(1-$AD8)</f>
        <v>#DIV/0!</v>
      </c>
      <c r="T8" s="317" t="e">
        <f>'Depreciation Schedule'!AB282*'1-Client Variables'!$D$11*(1-$AD8)</f>
        <v>#DIV/0!</v>
      </c>
      <c r="U8" s="317" t="e">
        <f>'Depreciation Schedule'!AC282*'1-Client Variables'!$D$11*(1-$AD8)</f>
        <v>#DIV/0!</v>
      </c>
      <c r="V8" s="317" t="e">
        <f>'Depreciation Schedule'!AD282*'1-Client Variables'!$D$11*(1-$AD8)</f>
        <v>#DIV/0!</v>
      </c>
      <c r="W8" s="317" t="e">
        <f>'Depreciation Schedule'!AE282*'1-Client Variables'!$D$11*(1-$AD8)</f>
        <v>#DIV/0!</v>
      </c>
      <c r="X8" s="317" t="e">
        <f>'Depreciation Schedule'!AF282*'1-Client Variables'!$D$11*(1-$AD8)</f>
        <v>#DIV/0!</v>
      </c>
      <c r="Y8" s="317" t="e">
        <f>'Depreciation Schedule'!AG282*'1-Client Variables'!$D$11*(1-$AD8)</f>
        <v>#DIV/0!</v>
      </c>
      <c r="Z8" s="317" t="e">
        <f>'Depreciation Schedule'!AH282*'1-Client Variables'!$D$11*(1-$AD8)</f>
        <v>#DIV/0!</v>
      </c>
      <c r="AA8" s="318" t="e">
        <f>SUM($Q8:Z8)</f>
        <v>#DIV/0!</v>
      </c>
      <c r="AB8" s="319" t="str">
        <f>IFERROR((Z8/$C8)^(1/COUNT($Q$6:Z$6))-1,"NA")</f>
        <v>NA</v>
      </c>
      <c r="AD8" s="320">
        <v>0</v>
      </c>
      <c r="AH8" s="301" t="s">
        <v>268</v>
      </c>
    </row>
    <row r="9" spans="1:34" x14ac:dyDescent="0.2">
      <c r="B9" s="315" t="s">
        <v>339</v>
      </c>
      <c r="C9" s="316" t="e">
        <f>'Status Quo Estimation'!C94*'1-Client Variables'!$D$11*(1-$AD9)</f>
        <v>#DIV/0!</v>
      </c>
      <c r="D9" s="317" t="e">
        <f>'Depreciation Schedule'!M283*'1-Client Variables'!$D$11*(1-$AD9)</f>
        <v>#DIV/0!</v>
      </c>
      <c r="E9" s="317" t="e">
        <f>'Depreciation Schedule'!N283*'1-Client Variables'!$D$11*(1-$AD9)</f>
        <v>#DIV/0!</v>
      </c>
      <c r="F9" s="317" t="e">
        <f>'Depreciation Schedule'!O283*'1-Client Variables'!$D$11*(1-$AD9)</f>
        <v>#DIV/0!</v>
      </c>
      <c r="G9" s="317" t="e">
        <f>'Depreciation Schedule'!P283*'1-Client Variables'!$D$11*(1-$AD9)</f>
        <v>#DIV/0!</v>
      </c>
      <c r="H9" s="317" t="e">
        <f>'Depreciation Schedule'!Q283*'1-Client Variables'!$D$11*(1-$AD9)</f>
        <v>#DIV/0!</v>
      </c>
      <c r="I9" s="317" t="e">
        <f>'Depreciation Schedule'!R283*'1-Client Variables'!$D$11*(1-$AD9)</f>
        <v>#DIV/0!</v>
      </c>
      <c r="J9" s="317" t="e">
        <f>'Depreciation Schedule'!S283*'1-Client Variables'!$D$11*(1-$AD9)</f>
        <v>#DIV/0!</v>
      </c>
      <c r="K9" s="317" t="e">
        <f>'Depreciation Schedule'!T283*'1-Client Variables'!$D$11*(1-$AD9)</f>
        <v>#DIV/0!</v>
      </c>
      <c r="L9" s="317" t="e">
        <f>'Depreciation Schedule'!U283*'1-Client Variables'!$D$11*(1-$AD9)</f>
        <v>#DIV/0!</v>
      </c>
      <c r="M9" s="317" t="e">
        <f>'Depreciation Schedule'!V283*'1-Client Variables'!$D$11*(1-$AD9)</f>
        <v>#DIV/0!</v>
      </c>
      <c r="N9" s="318" t="e">
        <f>SUM($D9:M9)</f>
        <v>#DIV/0!</v>
      </c>
      <c r="O9" s="319" t="str">
        <f>IFERROR((M9/$C9)^(1/COUNT($D$6:M$6))-1,"NA")</f>
        <v>NA</v>
      </c>
      <c r="Q9" s="317" t="e">
        <f>'Depreciation Schedule'!Y283*'1-Client Variables'!$D$11*(1-$AD9)</f>
        <v>#DIV/0!</v>
      </c>
      <c r="R9" s="317" t="e">
        <f>'Depreciation Schedule'!Z283*'1-Client Variables'!$D$11*(1-$AD9)</f>
        <v>#DIV/0!</v>
      </c>
      <c r="S9" s="317" t="e">
        <f>'Depreciation Schedule'!AA283*'1-Client Variables'!$D$11*(1-$AD9)</f>
        <v>#DIV/0!</v>
      </c>
      <c r="T9" s="317" t="e">
        <f>'Depreciation Schedule'!AB283*'1-Client Variables'!$D$11*(1-$AD9)</f>
        <v>#DIV/0!</v>
      </c>
      <c r="U9" s="317" t="e">
        <f>'Depreciation Schedule'!AC283*'1-Client Variables'!$D$11*(1-$AD9)</f>
        <v>#DIV/0!</v>
      </c>
      <c r="V9" s="317" t="e">
        <f>'Depreciation Schedule'!AD283*'1-Client Variables'!$D$11*(1-$AD9)</f>
        <v>#DIV/0!</v>
      </c>
      <c r="W9" s="317" t="e">
        <f>'Depreciation Schedule'!AE283*'1-Client Variables'!$D$11*(1-$AD9)</f>
        <v>#DIV/0!</v>
      </c>
      <c r="X9" s="317" t="e">
        <f>'Depreciation Schedule'!AF283*'1-Client Variables'!$D$11*(1-$AD9)</f>
        <v>#DIV/0!</v>
      </c>
      <c r="Y9" s="317" t="e">
        <f>'Depreciation Schedule'!AG283*'1-Client Variables'!$D$11*(1-$AD9)</f>
        <v>#DIV/0!</v>
      </c>
      <c r="Z9" s="317" t="e">
        <f>'Depreciation Schedule'!AH283*'1-Client Variables'!$D$11*(1-$AD9)</f>
        <v>#DIV/0!</v>
      </c>
      <c r="AA9" s="318" t="e">
        <f>SUM($Q9:Z9)</f>
        <v>#DIV/0!</v>
      </c>
      <c r="AB9" s="319" t="str">
        <f>IFERROR((Z9/$C9)^(1/COUNT($Q$6:Z$6))-1,"NA")</f>
        <v>NA</v>
      </c>
      <c r="AD9" s="321">
        <v>0</v>
      </c>
      <c r="AH9" s="301" t="s">
        <v>268</v>
      </c>
    </row>
    <row r="10" spans="1:34" x14ac:dyDescent="0.2">
      <c r="B10" s="315" t="s">
        <v>340</v>
      </c>
      <c r="C10" s="316">
        <f>'Status Quo Estimation'!E19*'1-Client Variables'!$D$11*(1-$AD10)</f>
        <v>0</v>
      </c>
      <c r="D10" s="317">
        <f>'Depreciation Schedule'!M284*'1-Client Variables'!$D$11*(1-$AD10)</f>
        <v>0</v>
      </c>
      <c r="E10" s="317">
        <f>'Depreciation Schedule'!N284*'1-Client Variables'!$D$11*(1-$AD10)</f>
        <v>0</v>
      </c>
      <c r="F10" s="317">
        <f>'Depreciation Schedule'!O284*'1-Client Variables'!$D$11*(1-$AD10)</f>
        <v>0</v>
      </c>
      <c r="G10" s="317">
        <f>'Depreciation Schedule'!P284*'1-Client Variables'!$D$11*(1-$AD10)</f>
        <v>0</v>
      </c>
      <c r="H10" s="317">
        <f>'Depreciation Schedule'!Q284*'1-Client Variables'!$D$11*(1-$AD10)</f>
        <v>0</v>
      </c>
      <c r="I10" s="317">
        <f>'Depreciation Schedule'!R284*'1-Client Variables'!$D$11*(1-$AD10)</f>
        <v>0</v>
      </c>
      <c r="J10" s="317">
        <f>'Depreciation Schedule'!S284*'1-Client Variables'!$D$11*(1-$AD10)</f>
        <v>0</v>
      </c>
      <c r="K10" s="317">
        <f>'Depreciation Schedule'!T284*'1-Client Variables'!$D$11*(1-$AD10)</f>
        <v>0</v>
      </c>
      <c r="L10" s="317">
        <f>'Depreciation Schedule'!U284*'1-Client Variables'!$D$11*(1-$AD10)</f>
        <v>0</v>
      </c>
      <c r="M10" s="317">
        <f>'Depreciation Schedule'!V284*'1-Client Variables'!$D$11*(1-$AD10)</f>
        <v>0</v>
      </c>
      <c r="N10" s="318">
        <f>SUM($D10:M10)</f>
        <v>0</v>
      </c>
      <c r="O10" s="319" t="str">
        <f>IFERROR((M10/$C10)^(1/COUNT($D$6:M$6))-1,"NA")</f>
        <v>NA</v>
      </c>
      <c r="Q10" s="317">
        <f>'Depreciation Schedule'!Y284*'1-Client Variables'!$D$11*(1-$AD10)</f>
        <v>0</v>
      </c>
      <c r="R10" s="317">
        <f>'Depreciation Schedule'!Z284*'1-Client Variables'!$D$11*(1-$AD10)</f>
        <v>0</v>
      </c>
      <c r="S10" s="317">
        <f>'Depreciation Schedule'!AA284*'1-Client Variables'!$D$11*(1-$AD10)</f>
        <v>0</v>
      </c>
      <c r="T10" s="317">
        <f>'Depreciation Schedule'!AB284*'1-Client Variables'!$D$11*(1-$AD10)</f>
        <v>0</v>
      </c>
      <c r="U10" s="317">
        <f>'Depreciation Schedule'!AC284*'1-Client Variables'!$D$11*(1-$AD10)</f>
        <v>0</v>
      </c>
      <c r="V10" s="317">
        <f>'Depreciation Schedule'!AD284*'1-Client Variables'!$D$11*(1-$AD10)</f>
        <v>0</v>
      </c>
      <c r="W10" s="317">
        <f>'Depreciation Schedule'!AE284*'1-Client Variables'!$D$11*(1-$AD10)</f>
        <v>0</v>
      </c>
      <c r="X10" s="317">
        <f>'Depreciation Schedule'!AF284*'1-Client Variables'!$D$11*(1-$AD10)</f>
        <v>0</v>
      </c>
      <c r="Y10" s="317">
        <f>'Depreciation Schedule'!AG284*'1-Client Variables'!$D$11*(1-$AD10)</f>
        <v>0</v>
      </c>
      <c r="Z10" s="317">
        <f>'Depreciation Schedule'!AH284*'1-Client Variables'!$D$11*(1-$AD10)</f>
        <v>0</v>
      </c>
      <c r="AA10" s="318">
        <f>SUM($Q10:Z10)</f>
        <v>0</v>
      </c>
      <c r="AB10" s="319" t="str">
        <f>IFERROR((Z10/$C10)^(1/COUNT($Q$6:Z$6))-1,"NA")</f>
        <v>NA</v>
      </c>
      <c r="AD10" s="321">
        <v>0</v>
      </c>
      <c r="AH10" s="301" t="s">
        <v>268</v>
      </c>
    </row>
    <row r="11" spans="1:34" x14ac:dyDescent="0.2">
      <c r="B11" s="315" t="s">
        <v>341</v>
      </c>
      <c r="C11" s="316">
        <f>'Status Quo Estimation'!C102*'1-Client Variables'!$D$11*(1-$AD11)</f>
        <v>0</v>
      </c>
      <c r="D11" s="317">
        <f>'Depreciation Schedule'!M285*'1-Client Variables'!$D$11*(1-$AD11)</f>
        <v>0</v>
      </c>
      <c r="E11" s="317">
        <f>'Depreciation Schedule'!N285*'1-Client Variables'!$D$11*(1-$AD11)</f>
        <v>0</v>
      </c>
      <c r="F11" s="317">
        <f>'Depreciation Schedule'!O285*'1-Client Variables'!$D$11*(1-$AD11)</f>
        <v>0</v>
      </c>
      <c r="G11" s="317">
        <f>'Depreciation Schedule'!P285*'1-Client Variables'!$D$11*(1-$AD11)</f>
        <v>0</v>
      </c>
      <c r="H11" s="317">
        <f>'Depreciation Schedule'!Q285*'1-Client Variables'!$D$11*(1-$AD11)</f>
        <v>0</v>
      </c>
      <c r="I11" s="317">
        <f>'Depreciation Schedule'!R285*'1-Client Variables'!$D$11*(1-$AD11)</f>
        <v>0</v>
      </c>
      <c r="J11" s="317">
        <f>'Depreciation Schedule'!S285*'1-Client Variables'!$D$11*(1-$AD11)</f>
        <v>0</v>
      </c>
      <c r="K11" s="317">
        <f>'Depreciation Schedule'!T285*'1-Client Variables'!$D$11*(1-$AD11)</f>
        <v>0</v>
      </c>
      <c r="L11" s="317">
        <f>'Depreciation Schedule'!U285*'1-Client Variables'!$D$11*(1-$AD11)</f>
        <v>0</v>
      </c>
      <c r="M11" s="317">
        <f>'Depreciation Schedule'!V285*'1-Client Variables'!$D$11*(1-$AD11)</f>
        <v>0</v>
      </c>
      <c r="N11" s="318">
        <f>SUM($D11:M11)</f>
        <v>0</v>
      </c>
      <c r="O11" s="319" t="str">
        <f>IFERROR((M11/$C11)^(1/COUNT($D$6:M$6))-1,"NA")</f>
        <v>NA</v>
      </c>
      <c r="Q11" s="317">
        <f>'Depreciation Schedule'!Y285*'1-Client Variables'!$D$11*(1-$AD11)</f>
        <v>0</v>
      </c>
      <c r="R11" s="317">
        <f>'Depreciation Schedule'!Z285*'1-Client Variables'!$D$11*(1-$AD11)</f>
        <v>0</v>
      </c>
      <c r="S11" s="317">
        <f>'Depreciation Schedule'!AA285*'1-Client Variables'!$D$11*(1-$AD11)</f>
        <v>0</v>
      </c>
      <c r="T11" s="317">
        <f>'Depreciation Schedule'!AB285*'1-Client Variables'!$D$11*(1-$AD11)</f>
        <v>0</v>
      </c>
      <c r="U11" s="317">
        <f>'Depreciation Schedule'!AC285*'1-Client Variables'!$D$11*(1-$AD11)</f>
        <v>0</v>
      </c>
      <c r="V11" s="317">
        <f>'Depreciation Schedule'!AD285*'1-Client Variables'!$D$11*(1-$AD11)</f>
        <v>0</v>
      </c>
      <c r="W11" s="317">
        <f>'Depreciation Schedule'!AE285*'1-Client Variables'!$D$11*(1-$AD11)</f>
        <v>0</v>
      </c>
      <c r="X11" s="317">
        <f>'Depreciation Schedule'!AF285*'1-Client Variables'!$D$11*(1-$AD11)</f>
        <v>0</v>
      </c>
      <c r="Y11" s="317">
        <f>'Depreciation Schedule'!AG285*'1-Client Variables'!$D$11*(1-$AD11)</f>
        <v>0</v>
      </c>
      <c r="Z11" s="317">
        <f>'Depreciation Schedule'!AH285*'1-Client Variables'!$D$11*(1-$AD11)</f>
        <v>0</v>
      </c>
      <c r="AA11" s="318">
        <f>SUM($Q11:Z11)</f>
        <v>0</v>
      </c>
      <c r="AB11" s="319" t="str">
        <f>IFERROR((Z11/$C11)^(1/COUNT($Q$6:Z$6))-1,"NA")</f>
        <v>NA</v>
      </c>
      <c r="AD11" s="321">
        <v>0</v>
      </c>
      <c r="AH11" s="301" t="s">
        <v>268</v>
      </c>
    </row>
    <row r="12" spans="1:34" x14ac:dyDescent="0.2">
      <c r="B12" s="315" t="s">
        <v>342</v>
      </c>
      <c r="C12" s="316">
        <f>'Status Quo Estimation'!$C$118*'1-Client Variables'!$D$11*(1-$AD12)</f>
        <v>0</v>
      </c>
      <c r="D12" s="322">
        <f>C12*(1+'1-Client Variables'!$D$26)</f>
        <v>0</v>
      </c>
      <c r="E12" s="322">
        <f>D12*(1+'1-Client Variables'!$D$26)</f>
        <v>0</v>
      </c>
      <c r="F12" s="322">
        <f>E12*(1+'1-Client Variables'!$D$26)</f>
        <v>0</v>
      </c>
      <c r="G12" s="322">
        <f>F12*(1+'1-Client Variables'!$D$26)</f>
        <v>0</v>
      </c>
      <c r="H12" s="322">
        <f>G12*(1+'1-Client Variables'!$D$26)</f>
        <v>0</v>
      </c>
      <c r="I12" s="322">
        <f>H12*(1+'1-Client Variables'!$D$26)</f>
        <v>0</v>
      </c>
      <c r="J12" s="322">
        <f>I12*(1+'1-Client Variables'!$D$26)</f>
        <v>0</v>
      </c>
      <c r="K12" s="322">
        <f>J12*(1+'1-Client Variables'!$D$26)</f>
        <v>0</v>
      </c>
      <c r="L12" s="322">
        <f>K12*(1+'1-Client Variables'!$D$26)</f>
        <v>0</v>
      </c>
      <c r="M12" s="322">
        <f>L12*(1+'1-Client Variables'!$D$26)</f>
        <v>0</v>
      </c>
      <c r="N12" s="318">
        <f>SUM($D12:M12)</f>
        <v>0</v>
      </c>
      <c r="O12" s="319" t="str">
        <f>IFERROR((M12/$C12)^(1/COUNT($D$6:M$6))-1,"NA")</f>
        <v>NA</v>
      </c>
      <c r="Q12" s="323">
        <f>SUM('Retained Costs Estimation'!D310,'Retained Costs Estimation'!D316,'Retained Costs Estimation'!D322)*'1-Client Variables'!$D$11*(1-$AD12)</f>
        <v>0</v>
      </c>
      <c r="R12" s="323">
        <f>SUM('Retained Costs Estimation'!E310,'Retained Costs Estimation'!E316,'Retained Costs Estimation'!E322)*'1-Client Variables'!$D$11*(1-$AD12)</f>
        <v>0</v>
      </c>
      <c r="S12" s="323">
        <f>SUM('Retained Costs Estimation'!F310,'Retained Costs Estimation'!F316,'Retained Costs Estimation'!F322)*'1-Client Variables'!$D$11*(1-$AD12)</f>
        <v>0</v>
      </c>
      <c r="T12" s="323">
        <f>SUM('Retained Costs Estimation'!G310,'Retained Costs Estimation'!G316,'Retained Costs Estimation'!G322)*'1-Client Variables'!$D$11*(1-$AD12)</f>
        <v>0</v>
      </c>
      <c r="U12" s="323">
        <f>SUM('Retained Costs Estimation'!H310,'Retained Costs Estimation'!H316,'Retained Costs Estimation'!H322)*'1-Client Variables'!$D$11*(1-$AD12)</f>
        <v>0</v>
      </c>
      <c r="V12" s="323">
        <f>SUM('Retained Costs Estimation'!I310,'Retained Costs Estimation'!I316,'Retained Costs Estimation'!I322)*'1-Client Variables'!$D$11*(1-$AD12)</f>
        <v>0</v>
      </c>
      <c r="W12" s="323">
        <f>SUM('Retained Costs Estimation'!J310,'Retained Costs Estimation'!J316,'Retained Costs Estimation'!J322)*'1-Client Variables'!$D$11*(1-$AD12)</f>
        <v>0</v>
      </c>
      <c r="X12" s="323">
        <f>SUM('Retained Costs Estimation'!K310,'Retained Costs Estimation'!K316,'Retained Costs Estimation'!K322)*'1-Client Variables'!$D$11*(1-$AD12)</f>
        <v>0</v>
      </c>
      <c r="Y12" s="323">
        <f>SUM('Retained Costs Estimation'!L310,'Retained Costs Estimation'!L316,'Retained Costs Estimation'!L322)*'1-Client Variables'!$D$11*(1-$AD12)</f>
        <v>0</v>
      </c>
      <c r="Z12" s="323">
        <f>SUM('Retained Costs Estimation'!M310,'Retained Costs Estimation'!M316,'Retained Costs Estimation'!M322)*'1-Client Variables'!$D$11*(1-$AD12)</f>
        <v>0</v>
      </c>
      <c r="AA12" s="318">
        <f>SUM($Q12:Z12)</f>
        <v>0</v>
      </c>
      <c r="AB12" s="319" t="str">
        <f>IFERROR((Z12/$C12)^(1/COUNT($Q$6:Z$6))-1,"NA")</f>
        <v>NA</v>
      </c>
      <c r="AD12" s="321">
        <v>0</v>
      </c>
      <c r="AH12" s="301" t="s">
        <v>268</v>
      </c>
    </row>
    <row r="13" spans="1:34" x14ac:dyDescent="0.2">
      <c r="B13" s="315" t="s">
        <v>343</v>
      </c>
      <c r="C13" s="316">
        <f>'Status Quo Estimation'!$C$128*'1-Client Variables'!$D$11*(1-$AD13)</f>
        <v>0</v>
      </c>
      <c r="D13" s="322">
        <f>C13*(1+'1-Client Variables'!$D$26)</f>
        <v>0</v>
      </c>
      <c r="E13" s="322">
        <f>D13*(1+'1-Client Variables'!$D$26)</f>
        <v>0</v>
      </c>
      <c r="F13" s="322">
        <f>E13*(1+'1-Client Variables'!$D$26)</f>
        <v>0</v>
      </c>
      <c r="G13" s="322">
        <f>F13*(1+'1-Client Variables'!$D$26)</f>
        <v>0</v>
      </c>
      <c r="H13" s="322">
        <f>G13*(1+'1-Client Variables'!$D$26)</f>
        <v>0</v>
      </c>
      <c r="I13" s="322">
        <f>H13*(1+'1-Client Variables'!$D$26)</f>
        <v>0</v>
      </c>
      <c r="J13" s="322">
        <f>I13*(1+'1-Client Variables'!$D$26)</f>
        <v>0</v>
      </c>
      <c r="K13" s="322">
        <f>J13*(1+'1-Client Variables'!$D$26)</f>
        <v>0</v>
      </c>
      <c r="L13" s="322">
        <f>K13*(1+'1-Client Variables'!$D$26)</f>
        <v>0</v>
      </c>
      <c r="M13" s="322">
        <f>L13*(1+'1-Client Variables'!$D$26)</f>
        <v>0</v>
      </c>
      <c r="N13" s="318">
        <f>SUM($D13:M13)</f>
        <v>0</v>
      </c>
      <c r="O13" s="319" t="str">
        <f>IFERROR((M13/$C13)^(1/COUNT($D$6:M$6))-1,"NA")</f>
        <v>NA</v>
      </c>
      <c r="Q13" s="323">
        <f>SUM('Retained Costs Estimation'!D311,'Retained Costs Estimation'!D317,'Retained Costs Estimation'!D323)*'1-Client Variables'!$D$11*(1-$AD13)</f>
        <v>0</v>
      </c>
      <c r="R13" s="323">
        <f>SUM('Retained Costs Estimation'!E311,'Retained Costs Estimation'!E317,'Retained Costs Estimation'!E323)*'1-Client Variables'!$D$11*(1-$AD13)</f>
        <v>0</v>
      </c>
      <c r="S13" s="323">
        <f>SUM('Retained Costs Estimation'!F311,'Retained Costs Estimation'!F317,'Retained Costs Estimation'!F323)*'1-Client Variables'!$D$11*(1-$AD13)</f>
        <v>0</v>
      </c>
      <c r="T13" s="323">
        <f>SUM('Retained Costs Estimation'!G311,'Retained Costs Estimation'!G317,'Retained Costs Estimation'!G323)*'1-Client Variables'!$D$11*(1-$AD13)</f>
        <v>0</v>
      </c>
      <c r="U13" s="323">
        <f>SUM('Retained Costs Estimation'!H311,'Retained Costs Estimation'!H317,'Retained Costs Estimation'!H323)*'1-Client Variables'!$D$11*(1-$AD13)</f>
        <v>0</v>
      </c>
      <c r="V13" s="323">
        <f>SUM('Retained Costs Estimation'!I311,'Retained Costs Estimation'!I317,'Retained Costs Estimation'!I323)*'1-Client Variables'!$D$11*(1-$AD13)</f>
        <v>0</v>
      </c>
      <c r="W13" s="323">
        <f>SUM('Retained Costs Estimation'!J311,'Retained Costs Estimation'!J317,'Retained Costs Estimation'!J323)*'1-Client Variables'!$D$11*(1-$AD13)</f>
        <v>0</v>
      </c>
      <c r="X13" s="323">
        <f>SUM('Retained Costs Estimation'!K311,'Retained Costs Estimation'!K317,'Retained Costs Estimation'!K323)*'1-Client Variables'!$D$11*(1-$AD13)</f>
        <v>0</v>
      </c>
      <c r="Y13" s="323">
        <f>SUM('Retained Costs Estimation'!L311,'Retained Costs Estimation'!L317,'Retained Costs Estimation'!L323)*'1-Client Variables'!$D$11*(1-$AD13)</f>
        <v>0</v>
      </c>
      <c r="Z13" s="323">
        <f>SUM('Retained Costs Estimation'!M311,'Retained Costs Estimation'!M317,'Retained Costs Estimation'!M323)*'1-Client Variables'!$D$11*(1-$AD13)</f>
        <v>0</v>
      </c>
      <c r="AA13" s="318">
        <f>SUM($Q13:Z13)</f>
        <v>0</v>
      </c>
      <c r="AB13" s="319" t="str">
        <f>IFERROR((Z13/$C13)^(1/COUNT($Q$6:Z$6))-1,"NA")</f>
        <v>NA</v>
      </c>
      <c r="AD13" s="321">
        <v>0</v>
      </c>
      <c r="AH13" s="301" t="s">
        <v>268</v>
      </c>
    </row>
    <row r="14" spans="1:34" x14ac:dyDescent="0.2">
      <c r="B14" s="315" t="s">
        <v>344</v>
      </c>
      <c r="C14" s="316">
        <f>'Status Quo Estimation'!E32*'1-Client Variables'!$D$11*(1-$AD14)</f>
        <v>0</v>
      </c>
      <c r="D14" s="317">
        <f>'Depreciation Schedule'!M286*'1-Client Variables'!$D$11*(1-$AD14)</f>
        <v>0</v>
      </c>
      <c r="E14" s="317">
        <f>'Depreciation Schedule'!N286*'1-Client Variables'!$D$11*(1-$AD14)</f>
        <v>0</v>
      </c>
      <c r="F14" s="317">
        <f>'Depreciation Schedule'!O286*'1-Client Variables'!$D$11*(1-$AD14)</f>
        <v>0</v>
      </c>
      <c r="G14" s="317">
        <f>'Depreciation Schedule'!P286*'1-Client Variables'!$D$11*(1-$AD14)</f>
        <v>0</v>
      </c>
      <c r="H14" s="317">
        <f>'Depreciation Schedule'!Q286*'1-Client Variables'!$D$11*(1-$AD14)</f>
        <v>0</v>
      </c>
      <c r="I14" s="317">
        <f>'Depreciation Schedule'!R286*'1-Client Variables'!$D$11*(1-$AD14)</f>
        <v>0</v>
      </c>
      <c r="J14" s="317">
        <f>'Depreciation Schedule'!S286*'1-Client Variables'!$D$11*(1-$AD14)</f>
        <v>0</v>
      </c>
      <c r="K14" s="317">
        <f>'Depreciation Schedule'!T286*'1-Client Variables'!$D$11*(1-$AD14)</f>
        <v>0</v>
      </c>
      <c r="L14" s="317">
        <f>'Depreciation Schedule'!U286*'1-Client Variables'!$D$11*(1-$AD14)</f>
        <v>0</v>
      </c>
      <c r="M14" s="317">
        <f>'Depreciation Schedule'!V286*'1-Client Variables'!$D$11*(1-$AD14)</f>
        <v>0</v>
      </c>
      <c r="N14" s="318">
        <f>SUM($D14:M14)</f>
        <v>0</v>
      </c>
      <c r="O14" s="319" t="str">
        <f>IFERROR((M14/$C14)^(1/COUNT($D$6:M$6))-1,"NA")</f>
        <v>NA</v>
      </c>
      <c r="Q14" s="317">
        <f>'Depreciation Schedule'!Y286*'1-Client Variables'!$D$11*(1-$AD14)</f>
        <v>0</v>
      </c>
      <c r="R14" s="317">
        <f>'Depreciation Schedule'!Z286*'1-Client Variables'!$D$11*(1-$AD14)</f>
        <v>0</v>
      </c>
      <c r="S14" s="317">
        <f>'Depreciation Schedule'!AA286*'1-Client Variables'!$D$11*(1-$AD14)</f>
        <v>0</v>
      </c>
      <c r="T14" s="317">
        <f>'Depreciation Schedule'!AB286*'1-Client Variables'!$D$11*(1-$AD14)</f>
        <v>0</v>
      </c>
      <c r="U14" s="317">
        <f>'Depreciation Schedule'!AC286*'1-Client Variables'!$D$11*(1-$AD14)</f>
        <v>0</v>
      </c>
      <c r="V14" s="317">
        <f>'Depreciation Schedule'!AD286*'1-Client Variables'!$D$11*(1-$AD14)</f>
        <v>0</v>
      </c>
      <c r="W14" s="317">
        <f>'Depreciation Schedule'!AE286*'1-Client Variables'!$D$11*(1-$AD14)</f>
        <v>0</v>
      </c>
      <c r="X14" s="317">
        <f>'Depreciation Schedule'!AF286*'1-Client Variables'!$D$11*(1-$AD14)</f>
        <v>0</v>
      </c>
      <c r="Y14" s="317">
        <f>'Depreciation Schedule'!AG286*'1-Client Variables'!$D$11*(1-$AD14)</f>
        <v>0</v>
      </c>
      <c r="Z14" s="317">
        <f>'Depreciation Schedule'!AH286*'1-Client Variables'!$D$11*(1-$AD14)</f>
        <v>0</v>
      </c>
      <c r="AA14" s="318">
        <f>SUM($Q14:Z14)</f>
        <v>0</v>
      </c>
      <c r="AB14" s="319" t="str">
        <f>IFERROR((Z14/$C14)^(1/COUNT($Q$6:Z$6))-1,"NA")</f>
        <v>NA</v>
      </c>
      <c r="AD14" s="321">
        <v>0</v>
      </c>
      <c r="AH14" s="301" t="s">
        <v>268</v>
      </c>
    </row>
    <row r="15" spans="1:34" x14ac:dyDescent="0.2">
      <c r="B15" s="315" t="s">
        <v>345</v>
      </c>
      <c r="C15" s="316">
        <f>'Status Quo Estimation'!C110*'1-Client Variables'!$D$11*(1-$AD15)</f>
        <v>0</v>
      </c>
      <c r="D15" s="317">
        <f>'Depreciation Schedule'!M287*'1-Client Variables'!$D$11*(1-$AD15)</f>
        <v>0</v>
      </c>
      <c r="E15" s="317">
        <f>'Depreciation Schedule'!N287*'1-Client Variables'!$D$11*(1-$AD15)</f>
        <v>0</v>
      </c>
      <c r="F15" s="317">
        <f>'Depreciation Schedule'!O287*'1-Client Variables'!$D$11*(1-$AD15)</f>
        <v>0</v>
      </c>
      <c r="G15" s="317">
        <f>'Depreciation Schedule'!P287*'1-Client Variables'!$D$11*(1-$AD15)</f>
        <v>0</v>
      </c>
      <c r="H15" s="317">
        <f>'Depreciation Schedule'!Q287*'1-Client Variables'!$D$11*(1-$AD15)</f>
        <v>0</v>
      </c>
      <c r="I15" s="317">
        <f>'Depreciation Schedule'!R287*'1-Client Variables'!$D$11*(1-$AD15)</f>
        <v>0</v>
      </c>
      <c r="J15" s="317">
        <f>'Depreciation Schedule'!S287*'1-Client Variables'!$D$11*(1-$AD15)</f>
        <v>0</v>
      </c>
      <c r="K15" s="317">
        <f>'Depreciation Schedule'!T287*'1-Client Variables'!$D$11*(1-$AD15)</f>
        <v>0</v>
      </c>
      <c r="L15" s="317">
        <f>'Depreciation Schedule'!U287*'1-Client Variables'!$D$11*(1-$AD15)</f>
        <v>0</v>
      </c>
      <c r="M15" s="317">
        <f>'Depreciation Schedule'!V287*'1-Client Variables'!$D$11*(1-$AD15)</f>
        <v>0</v>
      </c>
      <c r="N15" s="318">
        <f>SUM($D15:M15)</f>
        <v>0</v>
      </c>
      <c r="O15" s="319" t="str">
        <f>IFERROR((M15/$C15)^(1/COUNT($D$6:M$6))-1,"NA")</f>
        <v>NA</v>
      </c>
      <c r="Q15" s="317">
        <f>'Depreciation Schedule'!Y287*'1-Client Variables'!$D$11*(1-$AD15)</f>
        <v>0</v>
      </c>
      <c r="R15" s="317">
        <f>'Depreciation Schedule'!Z287*'1-Client Variables'!$D$11*(1-$AD15)</f>
        <v>0</v>
      </c>
      <c r="S15" s="317">
        <f>'Depreciation Schedule'!AA287*'1-Client Variables'!$D$11*(1-$AD15)</f>
        <v>0</v>
      </c>
      <c r="T15" s="317">
        <f>'Depreciation Schedule'!AB287*'1-Client Variables'!$D$11*(1-$AD15)</f>
        <v>0</v>
      </c>
      <c r="U15" s="317">
        <f>'Depreciation Schedule'!AC287*'1-Client Variables'!$D$11*(1-$AD15)</f>
        <v>0</v>
      </c>
      <c r="V15" s="317">
        <f>'Depreciation Schedule'!AD287*'1-Client Variables'!$D$11*(1-$AD15)</f>
        <v>0</v>
      </c>
      <c r="W15" s="317">
        <f>'Depreciation Schedule'!AE287*'1-Client Variables'!$D$11*(1-$AD15)</f>
        <v>0</v>
      </c>
      <c r="X15" s="317">
        <f>'Depreciation Schedule'!AF287*'1-Client Variables'!$D$11*(1-$AD15)</f>
        <v>0</v>
      </c>
      <c r="Y15" s="317">
        <f>'Depreciation Schedule'!AG287*'1-Client Variables'!$D$11*(1-$AD15)</f>
        <v>0</v>
      </c>
      <c r="Z15" s="317">
        <f>'Depreciation Schedule'!AH287*'1-Client Variables'!$D$11*(1-$AD15)</f>
        <v>0</v>
      </c>
      <c r="AA15" s="318">
        <f>SUM($Q15:Z15)</f>
        <v>0</v>
      </c>
      <c r="AB15" s="319" t="str">
        <f>IFERROR((Z15/$C15)^(1/COUNT($Q$6:Z$6))-1,"NA")</f>
        <v>NA</v>
      </c>
      <c r="AD15" s="321">
        <v>0</v>
      </c>
      <c r="AH15" s="301" t="s">
        <v>268</v>
      </c>
    </row>
    <row r="16" spans="1:34" x14ac:dyDescent="0.2">
      <c r="B16" s="324" t="s">
        <v>347</v>
      </c>
      <c r="C16" s="325" t="e">
        <f>SUM(C8:C15)</f>
        <v>#DIV/0!</v>
      </c>
      <c r="D16" s="326" t="e">
        <f t="shared" ref="D16:N16" si="4">SUM(D8:D15)</f>
        <v>#DIV/0!</v>
      </c>
      <c r="E16" s="326" t="e">
        <f>SUM(E8:E15)</f>
        <v>#DIV/0!</v>
      </c>
      <c r="F16" s="326" t="e">
        <f t="shared" si="4"/>
        <v>#DIV/0!</v>
      </c>
      <c r="G16" s="326" t="e">
        <f t="shared" si="4"/>
        <v>#DIV/0!</v>
      </c>
      <c r="H16" s="326" t="e">
        <f t="shared" si="4"/>
        <v>#DIV/0!</v>
      </c>
      <c r="I16" s="326" t="e">
        <f t="shared" si="4"/>
        <v>#DIV/0!</v>
      </c>
      <c r="J16" s="326" t="e">
        <f t="shared" si="4"/>
        <v>#DIV/0!</v>
      </c>
      <c r="K16" s="326" t="e">
        <f t="shared" si="4"/>
        <v>#DIV/0!</v>
      </c>
      <c r="L16" s="326" t="e">
        <f t="shared" si="4"/>
        <v>#DIV/0!</v>
      </c>
      <c r="M16" s="326" t="e">
        <f t="shared" si="4"/>
        <v>#DIV/0!</v>
      </c>
      <c r="N16" s="327" t="e">
        <f t="shared" si="4"/>
        <v>#DIV/0!</v>
      </c>
      <c r="O16" s="328" t="str">
        <f>IFERROR((M16/$C16)^(1/COUNT($D$6:M$6))-1,"NA")</f>
        <v>NA</v>
      </c>
      <c r="Q16" s="326" t="e">
        <f>SUM(Q8:Q15)</f>
        <v>#DIV/0!</v>
      </c>
      <c r="R16" s="326" t="e">
        <f t="shared" ref="R16:AA16" si="5">SUM(R8:R15)</f>
        <v>#DIV/0!</v>
      </c>
      <c r="S16" s="326" t="e">
        <f t="shared" si="5"/>
        <v>#DIV/0!</v>
      </c>
      <c r="T16" s="326" t="e">
        <f t="shared" si="5"/>
        <v>#DIV/0!</v>
      </c>
      <c r="U16" s="326" t="e">
        <f t="shared" si="5"/>
        <v>#DIV/0!</v>
      </c>
      <c r="V16" s="326" t="e">
        <f t="shared" si="5"/>
        <v>#DIV/0!</v>
      </c>
      <c r="W16" s="326" t="e">
        <f t="shared" si="5"/>
        <v>#DIV/0!</v>
      </c>
      <c r="X16" s="326" t="e">
        <f t="shared" si="5"/>
        <v>#DIV/0!</v>
      </c>
      <c r="Y16" s="326" t="e">
        <f t="shared" si="5"/>
        <v>#DIV/0!</v>
      </c>
      <c r="Z16" s="326" t="e">
        <f t="shared" si="5"/>
        <v>#DIV/0!</v>
      </c>
      <c r="AA16" s="327" t="e">
        <f t="shared" si="5"/>
        <v>#DIV/0!</v>
      </c>
      <c r="AB16" s="328" t="str">
        <f>IFERROR((Z16/$C16)^(1/COUNT($Q$6:Z$6))-1,"NA")</f>
        <v>NA</v>
      </c>
      <c r="AD16" s="329"/>
      <c r="AH16" s="314"/>
    </row>
    <row r="17" spans="2:34" s="58" customFormat="1" ht="4.5" customHeight="1" x14ac:dyDescent="0.2">
      <c r="B17" s="330"/>
      <c r="C17" s="331"/>
      <c r="D17" s="331"/>
      <c r="E17" s="331"/>
      <c r="F17" s="331"/>
      <c r="G17" s="331"/>
      <c r="H17" s="331"/>
      <c r="I17" s="331"/>
      <c r="J17" s="331"/>
      <c r="K17" s="331"/>
      <c r="L17" s="331"/>
      <c r="M17" s="331"/>
      <c r="N17" s="331"/>
      <c r="O17" s="332"/>
      <c r="Q17" s="333"/>
      <c r="R17" s="333"/>
      <c r="S17" s="333"/>
      <c r="T17" s="333"/>
      <c r="U17" s="333"/>
      <c r="V17" s="333"/>
      <c r="W17" s="333"/>
      <c r="X17" s="333"/>
      <c r="Y17" s="333"/>
      <c r="Z17" s="333"/>
      <c r="AA17" s="333"/>
      <c r="AB17" s="332"/>
      <c r="AD17" s="329"/>
      <c r="AF17" s="303"/>
    </row>
    <row r="18" spans="2:34" x14ac:dyDescent="0.2">
      <c r="B18" s="324" t="s">
        <v>348</v>
      </c>
      <c r="C18" s="325">
        <f>'Status Quo Estimation'!$C$86*'1-Client Variables'!$D$11*(1-$AD18)</f>
        <v>0</v>
      </c>
      <c r="D18" s="334">
        <f>C18*(1+'1-Client Variables'!$D$26)</f>
        <v>0</v>
      </c>
      <c r="E18" s="334">
        <f>D18*(1+'1-Client Variables'!$D$26)</f>
        <v>0</v>
      </c>
      <c r="F18" s="334">
        <f>E18*(1+'1-Client Variables'!$D$26)</f>
        <v>0</v>
      </c>
      <c r="G18" s="334">
        <f>F18*(1+'1-Client Variables'!$D$26)</f>
        <v>0</v>
      </c>
      <c r="H18" s="334">
        <f>G18*(1+'1-Client Variables'!$D$26)</f>
        <v>0</v>
      </c>
      <c r="I18" s="334">
        <f>H18*(1+'1-Client Variables'!$D$26)</f>
        <v>0</v>
      </c>
      <c r="J18" s="334">
        <f>I18*(1+'1-Client Variables'!$D$26)</f>
        <v>0</v>
      </c>
      <c r="K18" s="334">
        <f>J18*(1+'1-Client Variables'!$D$26)</f>
        <v>0</v>
      </c>
      <c r="L18" s="334">
        <f>K18*(1+'1-Client Variables'!$D$26)</f>
        <v>0</v>
      </c>
      <c r="M18" s="334">
        <f>L18*(1+'1-Client Variables'!$D$26)</f>
        <v>0</v>
      </c>
      <c r="N18" s="335">
        <f>SUM($D18:M18)</f>
        <v>0</v>
      </c>
      <c r="O18" s="328" t="str">
        <f>IFERROR((M18/$C18)^(1/COUNT($D$6:M$6))-1,"NA")</f>
        <v>NA</v>
      </c>
      <c r="Q18" s="336">
        <f>'Retained Costs Estimation'!D299*'1-Client Variables'!$D$11*(1-$AD18)</f>
        <v>0</v>
      </c>
      <c r="R18" s="336">
        <f>'Retained Costs Estimation'!E299*'1-Client Variables'!$D$11*(1-$AD18)</f>
        <v>0</v>
      </c>
      <c r="S18" s="336">
        <f>'Retained Costs Estimation'!F299*'1-Client Variables'!$D$11*(1-$AD18)</f>
        <v>0</v>
      </c>
      <c r="T18" s="336">
        <f>'Retained Costs Estimation'!G299*'1-Client Variables'!$D$11*(1-$AD18)</f>
        <v>0</v>
      </c>
      <c r="U18" s="336">
        <f>'Retained Costs Estimation'!H299*'1-Client Variables'!$D$11*(1-$AD18)</f>
        <v>0</v>
      </c>
      <c r="V18" s="336">
        <f>'Retained Costs Estimation'!I299*'1-Client Variables'!$D$11*(1-$AD18)</f>
        <v>0</v>
      </c>
      <c r="W18" s="336">
        <f>'Retained Costs Estimation'!J299*'1-Client Variables'!$D$11*(1-$AD18)</f>
        <v>0</v>
      </c>
      <c r="X18" s="336">
        <f>'Retained Costs Estimation'!K299*'1-Client Variables'!$D$11*(1-$AD18)</f>
        <v>0</v>
      </c>
      <c r="Y18" s="336">
        <f>'Retained Costs Estimation'!L299*'1-Client Variables'!$D$11*(1-$AD18)</f>
        <v>0</v>
      </c>
      <c r="Z18" s="336">
        <f>'Retained Costs Estimation'!M299*'1-Client Variables'!$D$11*(1-$AD18)</f>
        <v>0</v>
      </c>
      <c r="AA18" s="327">
        <f>SUM($Q18:Z18)</f>
        <v>0</v>
      </c>
      <c r="AB18" s="328" t="str">
        <f>IFERROR((Z18/$C18)^(1/COUNT($Q$6:Z$6))-1,"NA")</f>
        <v>NA</v>
      </c>
      <c r="AD18" s="321">
        <v>0</v>
      </c>
      <c r="AH18" s="301" t="s">
        <v>268</v>
      </c>
    </row>
    <row r="19" spans="2:34" s="58" customFormat="1" ht="4.5" customHeight="1" x14ac:dyDescent="0.2">
      <c r="B19" s="330"/>
      <c r="C19" s="331"/>
      <c r="D19" s="331"/>
      <c r="E19" s="331"/>
      <c r="F19" s="331"/>
      <c r="G19" s="331"/>
      <c r="H19" s="331"/>
      <c r="I19" s="331"/>
      <c r="J19" s="331"/>
      <c r="K19" s="331"/>
      <c r="L19" s="331"/>
      <c r="M19" s="331"/>
      <c r="N19" s="331"/>
      <c r="O19" s="332"/>
      <c r="Q19" s="326"/>
      <c r="R19" s="326"/>
      <c r="S19" s="326"/>
      <c r="T19" s="326"/>
      <c r="U19" s="326"/>
      <c r="V19" s="326"/>
      <c r="W19" s="326"/>
      <c r="X19" s="326"/>
      <c r="Y19" s="326"/>
      <c r="Z19" s="326"/>
      <c r="AA19" s="326"/>
      <c r="AB19" s="332"/>
      <c r="AD19" s="329"/>
      <c r="AF19" s="303"/>
    </row>
    <row r="20" spans="2:34" x14ac:dyDescent="0.2">
      <c r="B20" s="315" t="s">
        <v>349</v>
      </c>
      <c r="C20" s="316" t="e">
        <f>'Status Quo Estimation'!$C$59*'1-Client Variables'!$D$11*(1-$AD20)</f>
        <v>#DIV/0!</v>
      </c>
      <c r="D20" s="322" t="e">
        <f>C20*(1+'1-Client Variables'!$D$26)</f>
        <v>#DIV/0!</v>
      </c>
      <c r="E20" s="322" t="e">
        <f>D20*(1+'1-Client Variables'!$D$26)</f>
        <v>#DIV/0!</v>
      </c>
      <c r="F20" s="322" t="e">
        <f>E20*(1+'1-Client Variables'!$D$26)</f>
        <v>#DIV/0!</v>
      </c>
      <c r="G20" s="322" t="e">
        <f>F20*(1+'1-Client Variables'!$D$26)</f>
        <v>#DIV/0!</v>
      </c>
      <c r="H20" s="322" t="e">
        <f>G20*(1+'1-Client Variables'!$D$26)</f>
        <v>#DIV/0!</v>
      </c>
      <c r="I20" s="322" t="e">
        <f>H20*(1+'1-Client Variables'!$D$26)</f>
        <v>#DIV/0!</v>
      </c>
      <c r="J20" s="322" t="e">
        <f>I20*(1+'1-Client Variables'!$D$26)</f>
        <v>#DIV/0!</v>
      </c>
      <c r="K20" s="322" t="e">
        <f>J20*(1+'1-Client Variables'!$D$26)</f>
        <v>#DIV/0!</v>
      </c>
      <c r="L20" s="322" t="e">
        <f>K20*(1+'1-Client Variables'!$D$26)</f>
        <v>#DIV/0!</v>
      </c>
      <c r="M20" s="322" t="e">
        <f>L20*(1+'1-Client Variables'!$D$26)</f>
        <v>#DIV/0!</v>
      </c>
      <c r="N20" s="337" t="e">
        <f>SUM($D20:M20)</f>
        <v>#DIV/0!</v>
      </c>
      <c r="O20" s="319" t="str">
        <f>IFERROR((M20/$C20)^(1/COUNT($D$6:M$6))-1,"NA")</f>
        <v>NA</v>
      </c>
      <c r="Q20" s="323" t="e">
        <f>'Retained Costs Estimation'!D298*'1-Client Variables'!$D$11*(1-$AD20)</f>
        <v>#DIV/0!</v>
      </c>
      <c r="R20" s="323" t="e">
        <f>'Retained Costs Estimation'!E298*'1-Client Variables'!$D$11*(1-$AD20)</f>
        <v>#DIV/0!</v>
      </c>
      <c r="S20" s="323" t="e">
        <f>'Retained Costs Estimation'!F298*'1-Client Variables'!$D$11*(1-$AD20)</f>
        <v>#DIV/0!</v>
      </c>
      <c r="T20" s="323" t="e">
        <f>'Retained Costs Estimation'!G298*'1-Client Variables'!$D$11*(1-$AD20)</f>
        <v>#DIV/0!</v>
      </c>
      <c r="U20" s="323" t="e">
        <f>'Retained Costs Estimation'!H298*'1-Client Variables'!$D$11*(1-$AD20)</f>
        <v>#DIV/0!</v>
      </c>
      <c r="V20" s="323" t="e">
        <f>'Retained Costs Estimation'!I298*'1-Client Variables'!$D$11*(1-$AD20)</f>
        <v>#DIV/0!</v>
      </c>
      <c r="W20" s="323" t="e">
        <f>'Retained Costs Estimation'!J298*'1-Client Variables'!$D$11*(1-$AD20)</f>
        <v>#DIV/0!</v>
      </c>
      <c r="X20" s="323" t="e">
        <f>'Retained Costs Estimation'!K298*'1-Client Variables'!$D$11*(1-$AD20)</f>
        <v>#DIV/0!</v>
      </c>
      <c r="Y20" s="323" t="e">
        <f>'Retained Costs Estimation'!L298*'1-Client Variables'!$D$11*(1-$AD20)</f>
        <v>#DIV/0!</v>
      </c>
      <c r="Z20" s="323" t="e">
        <f>'Retained Costs Estimation'!M298*'1-Client Variables'!$D$11*(1-$AD20)</f>
        <v>#DIV/0!</v>
      </c>
      <c r="AA20" s="338" t="e">
        <f>SUM($Q20:Z20)</f>
        <v>#DIV/0!</v>
      </c>
      <c r="AB20" s="319" t="str">
        <f>IFERROR((Z20/$C20)^(1/COUNT($Q$6:Z$6))-1,"NA")</f>
        <v>NA</v>
      </c>
      <c r="AD20" s="321">
        <v>0</v>
      </c>
      <c r="AH20" s="301" t="s">
        <v>268</v>
      </c>
    </row>
    <row r="21" spans="2:34" x14ac:dyDescent="0.2">
      <c r="B21" s="315" t="s">
        <v>350</v>
      </c>
      <c r="C21" s="316" t="e">
        <f>'Status Quo Estimation'!$C$60*'1-Client Variables'!$D$11*(1-$AD21)</f>
        <v>#DIV/0!</v>
      </c>
      <c r="D21" s="322" t="e">
        <f>C21*(1+'1-Client Variables'!$D$26)</f>
        <v>#DIV/0!</v>
      </c>
      <c r="E21" s="322" t="e">
        <f>D21*(1+'1-Client Variables'!$D$26)</f>
        <v>#DIV/0!</v>
      </c>
      <c r="F21" s="322" t="e">
        <f>E21*(1+'1-Client Variables'!$D$26)</f>
        <v>#DIV/0!</v>
      </c>
      <c r="G21" s="322" t="e">
        <f>F21*(1+'1-Client Variables'!$D$26)</f>
        <v>#DIV/0!</v>
      </c>
      <c r="H21" s="322" t="e">
        <f>G21*(1+'1-Client Variables'!$D$26)</f>
        <v>#DIV/0!</v>
      </c>
      <c r="I21" s="322" t="e">
        <f>H21*(1+'1-Client Variables'!$D$26)</f>
        <v>#DIV/0!</v>
      </c>
      <c r="J21" s="322" t="e">
        <f>I21*(1+'1-Client Variables'!$D$26)</f>
        <v>#DIV/0!</v>
      </c>
      <c r="K21" s="322" t="e">
        <f>J21*(1+'1-Client Variables'!$D$26)</f>
        <v>#DIV/0!</v>
      </c>
      <c r="L21" s="322" t="e">
        <f>K21*(1+'1-Client Variables'!$D$26)</f>
        <v>#DIV/0!</v>
      </c>
      <c r="M21" s="322" t="e">
        <f>L21*(1+'1-Client Variables'!$D$26)</f>
        <v>#DIV/0!</v>
      </c>
      <c r="N21" s="337" t="e">
        <f>SUM($D21:M21)</f>
        <v>#DIV/0!</v>
      </c>
      <c r="O21" s="319" t="str">
        <f>IFERROR((M21/$C21)^(1/COUNT($D$6:M$6))-1,"NA")</f>
        <v>NA</v>
      </c>
      <c r="Q21" s="323" t="e">
        <f>'Retained Costs Estimation'!D300*'1-Client Variables'!$D$11*(1-$AD21)</f>
        <v>#DIV/0!</v>
      </c>
      <c r="R21" s="323" t="e">
        <f>'Retained Costs Estimation'!E300*'1-Client Variables'!$D$11*(1-$AD21)</f>
        <v>#DIV/0!</v>
      </c>
      <c r="S21" s="323" t="e">
        <f>'Retained Costs Estimation'!F300*'1-Client Variables'!$D$11*(1-$AD21)</f>
        <v>#DIV/0!</v>
      </c>
      <c r="T21" s="323" t="e">
        <f>'Retained Costs Estimation'!G300*'1-Client Variables'!$D$11*(1-$AD21)</f>
        <v>#DIV/0!</v>
      </c>
      <c r="U21" s="323" t="e">
        <f>'Retained Costs Estimation'!H300*'1-Client Variables'!$D$11*(1-$AD21)</f>
        <v>#DIV/0!</v>
      </c>
      <c r="V21" s="323" t="e">
        <f>'Retained Costs Estimation'!I300*'1-Client Variables'!$D$11*(1-$AD21)</f>
        <v>#DIV/0!</v>
      </c>
      <c r="W21" s="323" t="e">
        <f>'Retained Costs Estimation'!J300*'1-Client Variables'!$D$11*(1-$AD21)</f>
        <v>#DIV/0!</v>
      </c>
      <c r="X21" s="323" t="e">
        <f>'Retained Costs Estimation'!K300*'1-Client Variables'!$D$11*(1-$AD21)</f>
        <v>#DIV/0!</v>
      </c>
      <c r="Y21" s="323" t="e">
        <f>'Retained Costs Estimation'!L300*'1-Client Variables'!$D$11*(1-$AD21)</f>
        <v>#DIV/0!</v>
      </c>
      <c r="Z21" s="323" t="e">
        <f>'Retained Costs Estimation'!M300*'1-Client Variables'!$D$11*(1-$AD21)</f>
        <v>#DIV/0!</v>
      </c>
      <c r="AA21" s="338" t="e">
        <f>SUM($Q21:Z21)</f>
        <v>#DIV/0!</v>
      </c>
      <c r="AB21" s="319" t="str">
        <f>IFERROR((Z21/$C21)^(1/COUNT($Q$6:Z$6))-1,"NA")</f>
        <v>NA</v>
      </c>
      <c r="AD21" s="321">
        <v>0</v>
      </c>
      <c r="AH21" s="301" t="s">
        <v>268</v>
      </c>
    </row>
    <row r="22" spans="2:34" x14ac:dyDescent="0.2">
      <c r="B22" s="324" t="s">
        <v>507</v>
      </c>
      <c r="C22" s="325" t="e">
        <f>SUM(C20:C21)</f>
        <v>#DIV/0!</v>
      </c>
      <c r="D22" s="326" t="e">
        <f t="shared" ref="D22:N22" si="6">SUM(D20:D21)</f>
        <v>#DIV/0!</v>
      </c>
      <c r="E22" s="326" t="e">
        <f t="shared" si="6"/>
        <v>#DIV/0!</v>
      </c>
      <c r="F22" s="326" t="e">
        <f t="shared" si="6"/>
        <v>#DIV/0!</v>
      </c>
      <c r="G22" s="326" t="e">
        <f t="shared" si="6"/>
        <v>#DIV/0!</v>
      </c>
      <c r="H22" s="326" t="e">
        <f t="shared" si="6"/>
        <v>#DIV/0!</v>
      </c>
      <c r="I22" s="326" t="e">
        <f t="shared" si="6"/>
        <v>#DIV/0!</v>
      </c>
      <c r="J22" s="326" t="e">
        <f t="shared" si="6"/>
        <v>#DIV/0!</v>
      </c>
      <c r="K22" s="326" t="e">
        <f t="shared" si="6"/>
        <v>#DIV/0!</v>
      </c>
      <c r="L22" s="326" t="e">
        <f t="shared" si="6"/>
        <v>#DIV/0!</v>
      </c>
      <c r="M22" s="326" t="e">
        <f t="shared" si="6"/>
        <v>#DIV/0!</v>
      </c>
      <c r="N22" s="327" t="e">
        <f t="shared" si="6"/>
        <v>#DIV/0!</v>
      </c>
      <c r="O22" s="328" t="str">
        <f>IFERROR((M22/$C22)^(1/COUNT($D$6:M$6))-1,"NA")</f>
        <v>NA</v>
      </c>
      <c r="Q22" s="326" t="e">
        <f t="shared" ref="Q22:Z22" si="7">SUM(Q20:Q21)</f>
        <v>#DIV/0!</v>
      </c>
      <c r="R22" s="326" t="e">
        <f t="shared" si="7"/>
        <v>#DIV/0!</v>
      </c>
      <c r="S22" s="326" t="e">
        <f t="shared" si="7"/>
        <v>#DIV/0!</v>
      </c>
      <c r="T22" s="326" t="e">
        <f t="shared" si="7"/>
        <v>#DIV/0!</v>
      </c>
      <c r="U22" s="326" t="e">
        <f t="shared" si="7"/>
        <v>#DIV/0!</v>
      </c>
      <c r="V22" s="326" t="e">
        <f t="shared" si="7"/>
        <v>#DIV/0!</v>
      </c>
      <c r="W22" s="326" t="e">
        <f t="shared" si="7"/>
        <v>#DIV/0!</v>
      </c>
      <c r="X22" s="326" t="e">
        <f t="shared" si="7"/>
        <v>#DIV/0!</v>
      </c>
      <c r="Y22" s="326" t="e">
        <f t="shared" si="7"/>
        <v>#DIV/0!</v>
      </c>
      <c r="Z22" s="326" t="e">
        <f t="shared" si="7"/>
        <v>#DIV/0!</v>
      </c>
      <c r="AA22" s="327" t="e">
        <f>SUM(AA20:AA21)</f>
        <v>#DIV/0!</v>
      </c>
      <c r="AB22" s="328" t="str">
        <f>IFERROR((Z22/$C22)^(1/COUNT($Q$6:Z$6))-1,"NA")</f>
        <v>NA</v>
      </c>
      <c r="AD22" s="329"/>
      <c r="AH22" s="314"/>
    </row>
    <row r="23" spans="2:34" s="58" customFormat="1" ht="4.5" customHeight="1" x14ac:dyDescent="0.2">
      <c r="B23" s="330"/>
      <c r="C23" s="331"/>
      <c r="D23" s="331"/>
      <c r="E23" s="331"/>
      <c r="F23" s="331"/>
      <c r="G23" s="331"/>
      <c r="H23" s="331"/>
      <c r="I23" s="331"/>
      <c r="J23" s="331"/>
      <c r="K23" s="331"/>
      <c r="L23" s="331"/>
      <c r="M23" s="331"/>
      <c r="N23" s="331"/>
      <c r="O23" s="332"/>
      <c r="Q23" s="333"/>
      <c r="R23" s="333"/>
      <c r="S23" s="333"/>
      <c r="T23" s="333"/>
      <c r="U23" s="333"/>
      <c r="V23" s="333"/>
      <c r="W23" s="333"/>
      <c r="X23" s="333"/>
      <c r="Y23" s="333"/>
      <c r="Z23" s="333"/>
      <c r="AA23" s="333"/>
      <c r="AB23" s="332"/>
      <c r="AD23" s="329"/>
      <c r="AF23" s="303"/>
    </row>
    <row r="24" spans="2:34" x14ac:dyDescent="0.2">
      <c r="B24" s="339" t="s">
        <v>352</v>
      </c>
      <c r="C24" s="316" t="e">
        <f>'Status Quo Estimation'!I47*'1-Client Variables'!$D$11*(1-$AD24)</f>
        <v>#DIV/0!</v>
      </c>
      <c r="D24" s="322" t="e">
        <f>C24*(1+'1-Client Variables'!$D$26)</f>
        <v>#DIV/0!</v>
      </c>
      <c r="E24" s="322" t="e">
        <f>D24*(1+'1-Client Variables'!$D$26)</f>
        <v>#DIV/0!</v>
      </c>
      <c r="F24" s="322" t="e">
        <f>E24*(1+'1-Client Variables'!$D$26)</f>
        <v>#DIV/0!</v>
      </c>
      <c r="G24" s="322" t="e">
        <f>F24*(1+'1-Client Variables'!$D$26)</f>
        <v>#DIV/0!</v>
      </c>
      <c r="H24" s="322" t="e">
        <f>G24*(1+'1-Client Variables'!$D$26)</f>
        <v>#DIV/0!</v>
      </c>
      <c r="I24" s="322" t="e">
        <f>H24*(1+'1-Client Variables'!$D$26)</f>
        <v>#DIV/0!</v>
      </c>
      <c r="J24" s="322" t="e">
        <f>I24*(1+'1-Client Variables'!$D$26)</f>
        <v>#DIV/0!</v>
      </c>
      <c r="K24" s="322" t="e">
        <f>J24*(1+'1-Client Variables'!$D$26)</f>
        <v>#DIV/0!</v>
      </c>
      <c r="L24" s="322" t="e">
        <f>K24*(1+'1-Client Variables'!$D$26)</f>
        <v>#DIV/0!</v>
      </c>
      <c r="M24" s="322" t="e">
        <f>L24*(1+'1-Client Variables'!$D$26)</f>
        <v>#DIV/0!</v>
      </c>
      <c r="N24" s="318" t="e">
        <f>SUM($D24:M24)</f>
        <v>#DIV/0!</v>
      </c>
      <c r="O24" s="319" t="str">
        <f>IFERROR((M24/$C24)^(1/COUNT($D$6:M$6))-1,"NA")</f>
        <v>NA</v>
      </c>
      <c r="Q24" s="630" t="e">
        <f>IF('1-Client Variables'!$D$65="No",'Retained Costs Estimation'!D35*'1-Client Variables'!$D$11*(1-$AD24),'Detailed Financial Case'!D$24)</f>
        <v>#DIV/0!</v>
      </c>
      <c r="R24" s="630" t="e">
        <f>IF('1-Client Variables'!$D$65="No",'Retained Costs Estimation'!E35*'1-Client Variables'!$D$11*(1-$AD24),'Detailed Financial Case'!E$24)</f>
        <v>#DIV/0!</v>
      </c>
      <c r="S24" s="630" t="e">
        <f>IF('1-Client Variables'!$D$65="No",'Retained Costs Estimation'!F35*'1-Client Variables'!$D$11*(1-$AD24),'Detailed Financial Case'!F$24)</f>
        <v>#DIV/0!</v>
      </c>
      <c r="T24" s="630" t="e">
        <f>IF('1-Client Variables'!$D$65="No",'Retained Costs Estimation'!G35*'1-Client Variables'!$D$11*(1-$AD24),'Detailed Financial Case'!G$24)</f>
        <v>#DIV/0!</v>
      </c>
      <c r="U24" s="630" t="e">
        <f>IF('1-Client Variables'!$D$65="No",'Retained Costs Estimation'!H35*'1-Client Variables'!$D$11*(1-$AD24),'Detailed Financial Case'!H$24)</f>
        <v>#DIV/0!</v>
      </c>
      <c r="V24" s="630" t="e">
        <f>IF('1-Client Variables'!$D$65="No",'Retained Costs Estimation'!I35*'1-Client Variables'!$D$11*(1-$AD24),'Detailed Financial Case'!I$24)</f>
        <v>#DIV/0!</v>
      </c>
      <c r="W24" s="630" t="e">
        <f>IF('1-Client Variables'!$D$65="No",'Retained Costs Estimation'!J35*'1-Client Variables'!$D$11*(1-$AD24),'Detailed Financial Case'!J$24)</f>
        <v>#DIV/0!</v>
      </c>
      <c r="X24" s="630" t="e">
        <f>IF('1-Client Variables'!$D$65="No",'Retained Costs Estimation'!K35*'1-Client Variables'!$D$11*(1-$AD24),'Detailed Financial Case'!K$24)</f>
        <v>#DIV/0!</v>
      </c>
      <c r="Y24" s="630" t="e">
        <f>IF('1-Client Variables'!$D$65="No",'Retained Costs Estimation'!L35*'1-Client Variables'!$D$11*(1-$AD24),'Detailed Financial Case'!L$24)</f>
        <v>#DIV/0!</v>
      </c>
      <c r="Z24" s="630" t="e">
        <f>IF('1-Client Variables'!$D$65="No",'Retained Costs Estimation'!M35*'1-Client Variables'!$D$11*(1-$AD24),'Detailed Financial Case'!M$24)</f>
        <v>#DIV/0!</v>
      </c>
      <c r="AA24" s="338" t="e">
        <f>SUM($Q24:Z24)</f>
        <v>#DIV/0!</v>
      </c>
      <c r="AB24" s="319" t="str">
        <f>IFERROR((Z24/$C24)^(1/COUNT($Q$6:Z$6))-1,"NA")</f>
        <v>NA</v>
      </c>
      <c r="AD24" s="321">
        <v>0</v>
      </c>
      <c r="AH24" s="301" t="s">
        <v>268</v>
      </c>
    </row>
    <row r="25" spans="2:34" x14ac:dyDescent="0.2">
      <c r="B25" s="339" t="s">
        <v>353</v>
      </c>
      <c r="C25" s="316">
        <f>'Status Quo Estimation'!J47*'1-Client Variables'!$D$11*(1-$AD25)</f>
        <v>0</v>
      </c>
      <c r="D25" s="322">
        <f>C25*(1+'1-Client Variables'!$D$26)</f>
        <v>0</v>
      </c>
      <c r="E25" s="322">
        <f>D25*(1+'1-Client Variables'!$D$26)</f>
        <v>0</v>
      </c>
      <c r="F25" s="322">
        <f>E25*(1+'1-Client Variables'!$D$26)</f>
        <v>0</v>
      </c>
      <c r="G25" s="322">
        <f>F25*(1+'1-Client Variables'!$D$26)</f>
        <v>0</v>
      </c>
      <c r="H25" s="322">
        <f>G25*(1+'1-Client Variables'!$D$26)</f>
        <v>0</v>
      </c>
      <c r="I25" s="322">
        <f>H25*(1+'1-Client Variables'!$D$26)</f>
        <v>0</v>
      </c>
      <c r="J25" s="322">
        <f>I25*(1+'1-Client Variables'!$D$26)</f>
        <v>0</v>
      </c>
      <c r="K25" s="322">
        <f>J25*(1+'1-Client Variables'!$D$26)</f>
        <v>0</v>
      </c>
      <c r="L25" s="322">
        <f>K25*(1+'1-Client Variables'!$D$26)</f>
        <v>0</v>
      </c>
      <c r="M25" s="322">
        <f>L25*(1+'1-Client Variables'!$D$26)</f>
        <v>0</v>
      </c>
      <c r="N25" s="318">
        <f>SUM($D25:M25)</f>
        <v>0</v>
      </c>
      <c r="O25" s="319" t="str">
        <f>IFERROR((M25/$C25)^(1/COUNT($D$6:M$6))-1,"NA")</f>
        <v>NA</v>
      </c>
      <c r="Q25" s="323">
        <f>SUM('Retained Costs Estimation'!D53,'Retained Costs Estimation'!D68,'Retained Costs Estimation'!D83)*'1-Client Variables'!$D$11*(1-$AD25)</f>
        <v>0</v>
      </c>
      <c r="R25" s="323">
        <f>SUM('Retained Costs Estimation'!E53,'Retained Costs Estimation'!E68,'Retained Costs Estimation'!E83)*'1-Client Variables'!$D$11*(1-$AD25)</f>
        <v>0</v>
      </c>
      <c r="S25" s="323">
        <f>SUM('Retained Costs Estimation'!F53,'Retained Costs Estimation'!F68,'Retained Costs Estimation'!F83)*'1-Client Variables'!$D$11*(1-$AD25)</f>
        <v>0</v>
      </c>
      <c r="T25" s="323">
        <f>SUM('Retained Costs Estimation'!G53,'Retained Costs Estimation'!G68,'Retained Costs Estimation'!G83)*'1-Client Variables'!$D$11*(1-$AD25)</f>
        <v>0</v>
      </c>
      <c r="U25" s="323">
        <f>SUM('Retained Costs Estimation'!H53,'Retained Costs Estimation'!H68,'Retained Costs Estimation'!H83)*'1-Client Variables'!$D$11*(1-$AD25)</f>
        <v>0</v>
      </c>
      <c r="V25" s="323">
        <f>SUM('Retained Costs Estimation'!I53,'Retained Costs Estimation'!I68,'Retained Costs Estimation'!I83)*'1-Client Variables'!$D$11*(1-$AD25)</f>
        <v>0</v>
      </c>
      <c r="W25" s="323">
        <f>SUM('Retained Costs Estimation'!J53,'Retained Costs Estimation'!J68,'Retained Costs Estimation'!J83)*'1-Client Variables'!$D$11*(1-$AD25)</f>
        <v>0</v>
      </c>
      <c r="X25" s="323">
        <f>SUM('Retained Costs Estimation'!K53,'Retained Costs Estimation'!K68,'Retained Costs Estimation'!K83)*'1-Client Variables'!$D$11*(1-$AD25)</f>
        <v>0</v>
      </c>
      <c r="Y25" s="323">
        <f>SUM('Retained Costs Estimation'!L53,'Retained Costs Estimation'!L68,'Retained Costs Estimation'!L83)*'1-Client Variables'!$D$11*(1-$AD25)</f>
        <v>0</v>
      </c>
      <c r="Z25" s="323">
        <f>SUM('Retained Costs Estimation'!M53,'Retained Costs Estimation'!M68,'Retained Costs Estimation'!M83)*'1-Client Variables'!$D$11*(1-$AD25)</f>
        <v>0</v>
      </c>
      <c r="AA25" s="338">
        <f>SUM($Q25:Z25)</f>
        <v>0</v>
      </c>
      <c r="AB25" s="319" t="str">
        <f>IFERROR((Z25/$C25)^(1/COUNT($Q$6:Z$6))-1,"NA")</f>
        <v>NA</v>
      </c>
      <c r="AD25" s="321">
        <v>0</v>
      </c>
      <c r="AH25" s="301" t="s">
        <v>268</v>
      </c>
    </row>
    <row r="26" spans="2:34" x14ac:dyDescent="0.2">
      <c r="B26" s="339" t="s">
        <v>354</v>
      </c>
      <c r="C26" s="316">
        <f>'Status Quo Estimation'!K47*'1-Client Variables'!$D$11*(1-$AD26)</f>
        <v>0</v>
      </c>
      <c r="D26" s="322">
        <f>C26*(1+'1-Client Variables'!$D$26)</f>
        <v>0</v>
      </c>
      <c r="E26" s="322">
        <f>D26*(1+'1-Client Variables'!$D$26)</f>
        <v>0</v>
      </c>
      <c r="F26" s="322">
        <f>E26*(1+'1-Client Variables'!$D$26)</f>
        <v>0</v>
      </c>
      <c r="G26" s="322">
        <f>F26*(1+'1-Client Variables'!$D$26)</f>
        <v>0</v>
      </c>
      <c r="H26" s="322">
        <f>G26*(1+'1-Client Variables'!$D$26)</f>
        <v>0</v>
      </c>
      <c r="I26" s="322">
        <f>H26*(1+'1-Client Variables'!$D$26)</f>
        <v>0</v>
      </c>
      <c r="J26" s="322">
        <f>I26*(1+'1-Client Variables'!$D$26)</f>
        <v>0</v>
      </c>
      <c r="K26" s="322">
        <f>J26*(1+'1-Client Variables'!$D$26)</f>
        <v>0</v>
      </c>
      <c r="L26" s="322">
        <f>K26*(1+'1-Client Variables'!$D$26)</f>
        <v>0</v>
      </c>
      <c r="M26" s="322">
        <f>L26*(1+'1-Client Variables'!$D$26)</f>
        <v>0</v>
      </c>
      <c r="N26" s="318">
        <f>SUM($D26:M26)</f>
        <v>0</v>
      </c>
      <c r="O26" s="319" t="str">
        <f>IFERROR((M26/$C26)^(1/COUNT($D$6:M$6))-1,"NA")</f>
        <v>NA</v>
      </c>
      <c r="Q26" s="323">
        <f>SUM('Retained Costs Estimation'!D101,'Retained Costs Estimation'!D116,'Retained Costs Estimation'!D131)*'1-Client Variables'!$D$11*(1-$AD26)</f>
        <v>0</v>
      </c>
      <c r="R26" s="323">
        <f>SUM('Retained Costs Estimation'!E101,'Retained Costs Estimation'!E116,'Retained Costs Estimation'!E131)*'1-Client Variables'!$D$11*(1-$AD26)</f>
        <v>0</v>
      </c>
      <c r="S26" s="323">
        <f>SUM('Retained Costs Estimation'!F101,'Retained Costs Estimation'!F116,'Retained Costs Estimation'!F131)*'1-Client Variables'!$D$11*(1-$AD26)</f>
        <v>0</v>
      </c>
      <c r="T26" s="323">
        <f>SUM('Retained Costs Estimation'!G101,'Retained Costs Estimation'!G116,'Retained Costs Estimation'!G131)*'1-Client Variables'!$D$11*(1-$AD26)</f>
        <v>0</v>
      </c>
      <c r="U26" s="323">
        <f>SUM('Retained Costs Estimation'!H101,'Retained Costs Estimation'!H116,'Retained Costs Estimation'!H131)*'1-Client Variables'!$D$11*(1-$AD26)</f>
        <v>0</v>
      </c>
      <c r="V26" s="323">
        <f>SUM('Retained Costs Estimation'!I101,'Retained Costs Estimation'!I116,'Retained Costs Estimation'!I131)*'1-Client Variables'!$D$11*(1-$AD26)</f>
        <v>0</v>
      </c>
      <c r="W26" s="323">
        <f>SUM('Retained Costs Estimation'!J101,'Retained Costs Estimation'!J116,'Retained Costs Estimation'!J131)*'1-Client Variables'!$D$11*(1-$AD26)</f>
        <v>0</v>
      </c>
      <c r="X26" s="323">
        <f>SUM('Retained Costs Estimation'!K101,'Retained Costs Estimation'!K116,'Retained Costs Estimation'!K131)*'1-Client Variables'!$D$11*(1-$AD26)</f>
        <v>0</v>
      </c>
      <c r="Y26" s="323">
        <f>SUM('Retained Costs Estimation'!L101,'Retained Costs Estimation'!L116,'Retained Costs Estimation'!L131)*'1-Client Variables'!$D$11*(1-$AD26)</f>
        <v>0</v>
      </c>
      <c r="Z26" s="323">
        <f>SUM('Retained Costs Estimation'!M101,'Retained Costs Estimation'!M116,'Retained Costs Estimation'!M131)*'1-Client Variables'!$D$11*(1-$AD26)</f>
        <v>0</v>
      </c>
      <c r="AA26" s="338">
        <f>SUM($Q26:Z26)</f>
        <v>0</v>
      </c>
      <c r="AB26" s="319" t="str">
        <f>IFERROR((Z26/$C26)^(1/COUNT($Q$6:Z$6))-1,"NA")</f>
        <v>NA</v>
      </c>
      <c r="AD26" s="321">
        <v>0</v>
      </c>
      <c r="AH26" s="301" t="s">
        <v>268</v>
      </c>
    </row>
    <row r="27" spans="2:34" x14ac:dyDescent="0.2">
      <c r="B27" s="339" t="s">
        <v>355</v>
      </c>
      <c r="C27" s="316">
        <f>'Status Quo Estimation'!L47*'1-Client Variables'!$D$11*(1-$AD27)</f>
        <v>0</v>
      </c>
      <c r="D27" s="322">
        <f>C27*(1+'1-Client Variables'!$D$26)</f>
        <v>0</v>
      </c>
      <c r="E27" s="322">
        <f>D27*(1+'1-Client Variables'!$D$26)</f>
        <v>0</v>
      </c>
      <c r="F27" s="322">
        <f>E27*(1+'1-Client Variables'!$D$26)</f>
        <v>0</v>
      </c>
      <c r="G27" s="322">
        <f>F27*(1+'1-Client Variables'!$D$26)</f>
        <v>0</v>
      </c>
      <c r="H27" s="322">
        <f>G27*(1+'1-Client Variables'!$D$26)</f>
        <v>0</v>
      </c>
      <c r="I27" s="322">
        <f>H27*(1+'1-Client Variables'!$D$26)</f>
        <v>0</v>
      </c>
      <c r="J27" s="322">
        <f>I27*(1+'1-Client Variables'!$D$26)</f>
        <v>0</v>
      </c>
      <c r="K27" s="322">
        <f>J27*(1+'1-Client Variables'!$D$26)</f>
        <v>0</v>
      </c>
      <c r="L27" s="322">
        <f>K27*(1+'1-Client Variables'!$D$26)</f>
        <v>0</v>
      </c>
      <c r="M27" s="322">
        <f>L27*(1+'1-Client Variables'!$D$26)</f>
        <v>0</v>
      </c>
      <c r="N27" s="318">
        <f>SUM($D27:M27)</f>
        <v>0</v>
      </c>
      <c r="O27" s="319" t="str">
        <f>IFERROR((M27/$C27)^(1/COUNT($D$6:M$6))-1,"NA")</f>
        <v>NA</v>
      </c>
      <c r="Q27" s="323">
        <f>'Retained Costs Estimation'!D152*'1-Client Variables'!$D$11*(1-$AD27)</f>
        <v>0</v>
      </c>
      <c r="R27" s="323">
        <f>'Retained Costs Estimation'!E152*'1-Client Variables'!$D$11*(1-$AD27)</f>
        <v>0</v>
      </c>
      <c r="S27" s="323">
        <f>'Retained Costs Estimation'!F152*'1-Client Variables'!$D$11*(1-$AD27)</f>
        <v>0</v>
      </c>
      <c r="T27" s="323">
        <f>'Retained Costs Estimation'!G152*'1-Client Variables'!$D$11*(1-$AD27)</f>
        <v>0</v>
      </c>
      <c r="U27" s="323">
        <f>'Retained Costs Estimation'!H152*'1-Client Variables'!$D$11*(1-$AD27)</f>
        <v>0</v>
      </c>
      <c r="V27" s="323">
        <f>'Retained Costs Estimation'!I152*'1-Client Variables'!$D$11*(1-$AD27)</f>
        <v>0</v>
      </c>
      <c r="W27" s="323">
        <f>'Retained Costs Estimation'!J152*'1-Client Variables'!$D$11*(1-$AD27)</f>
        <v>0</v>
      </c>
      <c r="X27" s="323">
        <f>'Retained Costs Estimation'!K152*'1-Client Variables'!$D$11*(1-$AD27)</f>
        <v>0</v>
      </c>
      <c r="Y27" s="323">
        <f>'Retained Costs Estimation'!L152*'1-Client Variables'!$D$11*(1-$AD27)</f>
        <v>0</v>
      </c>
      <c r="Z27" s="323">
        <f>'Retained Costs Estimation'!M152*'1-Client Variables'!$D$11*(1-$AD27)</f>
        <v>0</v>
      </c>
      <c r="AA27" s="338">
        <f>SUM($Q27:Z27)</f>
        <v>0</v>
      </c>
      <c r="AB27" s="319" t="str">
        <f>IFERROR((Z27/$C27)^(1/COUNT($Q$6:Z$6))-1,"NA")</f>
        <v>NA</v>
      </c>
      <c r="AD27" s="321">
        <v>0</v>
      </c>
      <c r="AH27" s="301" t="s">
        <v>268</v>
      </c>
    </row>
    <row r="28" spans="2:34" x14ac:dyDescent="0.2">
      <c r="B28" s="339" t="s">
        <v>356</v>
      </c>
      <c r="C28" s="316">
        <f>'Status Quo Estimation'!M47*'1-Client Variables'!$D$11*(1-$AD28)</f>
        <v>0</v>
      </c>
      <c r="D28" s="322">
        <f>C28*(1+'1-Client Variables'!$D$26)</f>
        <v>0</v>
      </c>
      <c r="E28" s="322">
        <f>D28*(1+'1-Client Variables'!$D$26)</f>
        <v>0</v>
      </c>
      <c r="F28" s="322">
        <f>E28*(1+'1-Client Variables'!$D$26)</f>
        <v>0</v>
      </c>
      <c r="G28" s="322">
        <f>F28*(1+'1-Client Variables'!$D$26)</f>
        <v>0</v>
      </c>
      <c r="H28" s="322">
        <f>G28*(1+'1-Client Variables'!$D$26)</f>
        <v>0</v>
      </c>
      <c r="I28" s="322">
        <f>H28*(1+'1-Client Variables'!$D$26)</f>
        <v>0</v>
      </c>
      <c r="J28" s="322">
        <f>I28*(1+'1-Client Variables'!$D$26)</f>
        <v>0</v>
      </c>
      <c r="K28" s="322">
        <f>J28*(1+'1-Client Variables'!$D$26)</f>
        <v>0</v>
      </c>
      <c r="L28" s="322">
        <f>K28*(1+'1-Client Variables'!$D$26)</f>
        <v>0</v>
      </c>
      <c r="M28" s="322">
        <f>L28*(1+'1-Client Variables'!$D$26)</f>
        <v>0</v>
      </c>
      <c r="N28" s="318">
        <f>SUM($D28:M28)</f>
        <v>0</v>
      </c>
      <c r="O28" s="319" t="str">
        <f>IFERROR((M28/$C28)^(1/COUNT($D$6:M$6))-1,"NA")</f>
        <v>NA</v>
      </c>
      <c r="Q28" s="323">
        <f>'Retained Costs Estimation'!D173*'1-Client Variables'!$D$11*(1-$AD28)</f>
        <v>0</v>
      </c>
      <c r="R28" s="323">
        <f>'Retained Costs Estimation'!E173*'1-Client Variables'!$D$11*(1-$AD28)</f>
        <v>0</v>
      </c>
      <c r="S28" s="323">
        <f>'Retained Costs Estimation'!F173*'1-Client Variables'!$D$11*(1-$AD28)</f>
        <v>0</v>
      </c>
      <c r="T28" s="323">
        <f>'Retained Costs Estimation'!G173*'1-Client Variables'!$D$11*(1-$AD28)</f>
        <v>0</v>
      </c>
      <c r="U28" s="323">
        <f>'Retained Costs Estimation'!H173*'1-Client Variables'!$D$11*(1-$AD28)</f>
        <v>0</v>
      </c>
      <c r="V28" s="323">
        <f>'Retained Costs Estimation'!I173*'1-Client Variables'!$D$11*(1-$AD28)</f>
        <v>0</v>
      </c>
      <c r="W28" s="323">
        <f>'Retained Costs Estimation'!J173*'1-Client Variables'!$D$11*(1-$AD28)</f>
        <v>0</v>
      </c>
      <c r="X28" s="323">
        <f>'Retained Costs Estimation'!K173*'1-Client Variables'!$D$11*(1-$AD28)</f>
        <v>0</v>
      </c>
      <c r="Y28" s="323">
        <f>'Retained Costs Estimation'!L173*'1-Client Variables'!$D$11*(1-$AD28)</f>
        <v>0</v>
      </c>
      <c r="Z28" s="323">
        <f>'Retained Costs Estimation'!M173*'1-Client Variables'!$D$11*(1-$AD28)</f>
        <v>0</v>
      </c>
      <c r="AA28" s="338">
        <f>SUM($Q28:Z28)</f>
        <v>0</v>
      </c>
      <c r="AB28" s="319" t="str">
        <f>IFERROR((Z28/$C28)^(1/COUNT($Q$6:Z$6))-1,"NA")</f>
        <v>NA</v>
      </c>
      <c r="AD28" s="321">
        <v>0</v>
      </c>
      <c r="AH28" s="301" t="s">
        <v>268</v>
      </c>
    </row>
    <row r="29" spans="2:34" x14ac:dyDescent="0.2">
      <c r="B29" s="339" t="s">
        <v>357</v>
      </c>
      <c r="C29" s="316">
        <f>'Status Quo Estimation'!I54*'1-Client Variables'!$D$11*(1-$AD29)</f>
        <v>0</v>
      </c>
      <c r="D29" s="322">
        <f>C29*(1+'1-Client Variables'!$D$26)</f>
        <v>0</v>
      </c>
      <c r="E29" s="322">
        <f>D29*(1+'1-Client Variables'!$D$26)</f>
        <v>0</v>
      </c>
      <c r="F29" s="322">
        <f>E29*(1+'1-Client Variables'!$D$26)</f>
        <v>0</v>
      </c>
      <c r="G29" s="322">
        <f>F29*(1+'1-Client Variables'!$D$26)</f>
        <v>0</v>
      </c>
      <c r="H29" s="322">
        <f>G29*(1+'1-Client Variables'!$D$26)</f>
        <v>0</v>
      </c>
      <c r="I29" s="322">
        <f>H29*(1+'1-Client Variables'!$D$26)</f>
        <v>0</v>
      </c>
      <c r="J29" s="322">
        <f>I29*(1+'1-Client Variables'!$D$26)</f>
        <v>0</v>
      </c>
      <c r="K29" s="322">
        <f>J29*(1+'1-Client Variables'!$D$26)</f>
        <v>0</v>
      </c>
      <c r="L29" s="322">
        <f>K29*(1+'1-Client Variables'!$D$26)</f>
        <v>0</v>
      </c>
      <c r="M29" s="322">
        <f>L29*(1+'1-Client Variables'!$D$26)</f>
        <v>0</v>
      </c>
      <c r="N29" s="318">
        <f>SUM($D29:M29)</f>
        <v>0</v>
      </c>
      <c r="O29" s="319" t="str">
        <f>IFERROR((M29/$C29)^(1/COUNT($D$6:M$6))-1,"NA")</f>
        <v>NA</v>
      </c>
      <c r="Q29" s="323">
        <f>SUM('Retained Costs Estimation'!D190,'Retained Costs Estimation'!D204,'Retained Costs Estimation'!D218)*'1-Client Variables'!$D$11*(1-$AD29)</f>
        <v>0</v>
      </c>
      <c r="R29" s="323">
        <f>SUM('Retained Costs Estimation'!E190,'Retained Costs Estimation'!E204,'Retained Costs Estimation'!E218)*'1-Client Variables'!$D$11*(1-$AD29)</f>
        <v>0</v>
      </c>
      <c r="S29" s="323">
        <f>SUM('Retained Costs Estimation'!F190,'Retained Costs Estimation'!F204,'Retained Costs Estimation'!F218)*'1-Client Variables'!$D$11*(1-$AD29)</f>
        <v>0</v>
      </c>
      <c r="T29" s="323">
        <f>SUM('Retained Costs Estimation'!G190,'Retained Costs Estimation'!G204,'Retained Costs Estimation'!G218)*'1-Client Variables'!$D$11*(1-$AD29)</f>
        <v>0</v>
      </c>
      <c r="U29" s="323">
        <f>SUM('Retained Costs Estimation'!H190,'Retained Costs Estimation'!H204,'Retained Costs Estimation'!H218)*'1-Client Variables'!$D$11*(1-$AD29)</f>
        <v>0</v>
      </c>
      <c r="V29" s="323">
        <f>SUM('Retained Costs Estimation'!I190,'Retained Costs Estimation'!I204,'Retained Costs Estimation'!I218)*'1-Client Variables'!$D$11*(1-$AD29)</f>
        <v>0</v>
      </c>
      <c r="W29" s="323">
        <f>SUM('Retained Costs Estimation'!J190,'Retained Costs Estimation'!J204,'Retained Costs Estimation'!J218)*'1-Client Variables'!$D$11*(1-$AD29)</f>
        <v>0</v>
      </c>
      <c r="X29" s="323">
        <f>SUM('Retained Costs Estimation'!K190,'Retained Costs Estimation'!K204,'Retained Costs Estimation'!K218)*'1-Client Variables'!$D$11*(1-$AD29)</f>
        <v>0</v>
      </c>
      <c r="Y29" s="323">
        <f>SUM('Retained Costs Estimation'!L190,'Retained Costs Estimation'!L204,'Retained Costs Estimation'!L218)*'1-Client Variables'!$D$11*(1-$AD29)</f>
        <v>0</v>
      </c>
      <c r="Z29" s="323">
        <f>SUM('Retained Costs Estimation'!M190,'Retained Costs Estimation'!M204,'Retained Costs Estimation'!M218)*'1-Client Variables'!$D$11*(1-$AD29)</f>
        <v>0</v>
      </c>
      <c r="AA29" s="338">
        <f>SUM($Q29:Z29)</f>
        <v>0</v>
      </c>
      <c r="AB29" s="319" t="str">
        <f>IFERROR((Z29/$C29)^(1/COUNT($Q$6:Z$6))-1,"NA")</f>
        <v>NA</v>
      </c>
      <c r="AD29" s="321">
        <v>0</v>
      </c>
      <c r="AH29" s="301" t="s">
        <v>268</v>
      </c>
    </row>
    <row r="30" spans="2:34" x14ac:dyDescent="0.2">
      <c r="B30" s="339" t="s">
        <v>358</v>
      </c>
      <c r="C30" s="316">
        <f>'Status Quo Estimation'!J54*'1-Client Variables'!$D$11*(1-$AD30)</f>
        <v>0</v>
      </c>
      <c r="D30" s="322">
        <f>C30*(1+'1-Client Variables'!$D$26)</f>
        <v>0</v>
      </c>
      <c r="E30" s="322">
        <f>D30*(1+'1-Client Variables'!$D$26)</f>
        <v>0</v>
      </c>
      <c r="F30" s="322">
        <f>E30*(1+'1-Client Variables'!$D$26)</f>
        <v>0</v>
      </c>
      <c r="G30" s="322">
        <f>F30*(1+'1-Client Variables'!$D$26)</f>
        <v>0</v>
      </c>
      <c r="H30" s="322">
        <f>G30*(1+'1-Client Variables'!$D$26)</f>
        <v>0</v>
      </c>
      <c r="I30" s="322">
        <f>H30*(1+'1-Client Variables'!$D$26)</f>
        <v>0</v>
      </c>
      <c r="J30" s="322">
        <f>I30*(1+'1-Client Variables'!$D$26)</f>
        <v>0</v>
      </c>
      <c r="K30" s="322">
        <f>J30*(1+'1-Client Variables'!$D$26)</f>
        <v>0</v>
      </c>
      <c r="L30" s="322">
        <f>K30*(1+'1-Client Variables'!$D$26)</f>
        <v>0</v>
      </c>
      <c r="M30" s="322">
        <f>L30*(1+'1-Client Variables'!$D$26)</f>
        <v>0</v>
      </c>
      <c r="N30" s="318">
        <f>SUM($D30:M30)</f>
        <v>0</v>
      </c>
      <c r="O30" s="319" t="str">
        <f>IFERROR((M30/$C30)^(1/COUNT($D$6:M$6))-1,"NA")</f>
        <v>NA</v>
      </c>
      <c r="Q30" s="323">
        <f>SUM('Retained Costs Estimation'!D235,'Retained Costs Estimation'!D249,'Retained Costs Estimation'!D263)*'1-Client Variables'!$D$11*(1-$AD30)</f>
        <v>0</v>
      </c>
      <c r="R30" s="323">
        <f>SUM('Retained Costs Estimation'!E235,'Retained Costs Estimation'!E249,'Retained Costs Estimation'!E263)*'1-Client Variables'!$D$11*(1-$AD30)</f>
        <v>0</v>
      </c>
      <c r="S30" s="323">
        <f>SUM('Retained Costs Estimation'!F235,'Retained Costs Estimation'!F249,'Retained Costs Estimation'!F263)*'1-Client Variables'!$D$11*(1-$AD30)</f>
        <v>0</v>
      </c>
      <c r="T30" s="323">
        <f>SUM('Retained Costs Estimation'!G235,'Retained Costs Estimation'!G249,'Retained Costs Estimation'!G263)*'1-Client Variables'!$D$11*(1-$AD30)</f>
        <v>0</v>
      </c>
      <c r="U30" s="323">
        <f>SUM('Retained Costs Estimation'!H235,'Retained Costs Estimation'!H249,'Retained Costs Estimation'!H263)*'1-Client Variables'!$D$11*(1-$AD30)</f>
        <v>0</v>
      </c>
      <c r="V30" s="323">
        <f>SUM('Retained Costs Estimation'!I235,'Retained Costs Estimation'!I249,'Retained Costs Estimation'!I263)*'1-Client Variables'!$D$11*(1-$AD30)</f>
        <v>0</v>
      </c>
      <c r="W30" s="323">
        <f>SUM('Retained Costs Estimation'!J235,'Retained Costs Estimation'!J249,'Retained Costs Estimation'!J263)*'1-Client Variables'!$D$11*(1-$AD30)</f>
        <v>0</v>
      </c>
      <c r="X30" s="323">
        <f>SUM('Retained Costs Estimation'!K235,'Retained Costs Estimation'!K249,'Retained Costs Estimation'!K263)*'1-Client Variables'!$D$11*(1-$AD30)</f>
        <v>0</v>
      </c>
      <c r="Y30" s="323">
        <f>SUM('Retained Costs Estimation'!L235,'Retained Costs Estimation'!L249,'Retained Costs Estimation'!L263)*'1-Client Variables'!$D$11*(1-$AD30)</f>
        <v>0</v>
      </c>
      <c r="Z30" s="323">
        <f>SUM('Retained Costs Estimation'!M235,'Retained Costs Estimation'!M249,'Retained Costs Estimation'!M263)*'1-Client Variables'!$D$11*(1-$AD30)</f>
        <v>0</v>
      </c>
      <c r="AA30" s="318">
        <f>SUM($Q30:Z30)</f>
        <v>0</v>
      </c>
      <c r="AB30" s="319" t="str">
        <f>IFERROR((Z30/$C30)^(1/COUNT($Q$6:Z$6))-1,"NA")</f>
        <v>NA</v>
      </c>
      <c r="AD30" s="321">
        <v>0</v>
      </c>
      <c r="AH30" s="301" t="s">
        <v>268</v>
      </c>
    </row>
    <row r="31" spans="2:34" x14ac:dyDescent="0.2">
      <c r="B31" s="324" t="s">
        <v>359</v>
      </c>
      <c r="C31" s="325" t="e">
        <f>SUM(C24:C30)</f>
        <v>#DIV/0!</v>
      </c>
      <c r="D31" s="326" t="e">
        <f t="shared" ref="D31:N31" si="8">SUM(D24:D30)</f>
        <v>#DIV/0!</v>
      </c>
      <c r="E31" s="326" t="e">
        <f t="shared" si="8"/>
        <v>#DIV/0!</v>
      </c>
      <c r="F31" s="326" t="e">
        <f t="shared" si="8"/>
        <v>#DIV/0!</v>
      </c>
      <c r="G31" s="326" t="e">
        <f t="shared" si="8"/>
        <v>#DIV/0!</v>
      </c>
      <c r="H31" s="326" t="e">
        <f t="shared" si="8"/>
        <v>#DIV/0!</v>
      </c>
      <c r="I31" s="326" t="e">
        <f t="shared" si="8"/>
        <v>#DIV/0!</v>
      </c>
      <c r="J31" s="326" t="e">
        <f t="shared" si="8"/>
        <v>#DIV/0!</v>
      </c>
      <c r="K31" s="326" t="e">
        <f t="shared" si="8"/>
        <v>#DIV/0!</v>
      </c>
      <c r="L31" s="326" t="e">
        <f t="shared" si="8"/>
        <v>#DIV/0!</v>
      </c>
      <c r="M31" s="326" t="e">
        <f t="shared" si="8"/>
        <v>#DIV/0!</v>
      </c>
      <c r="N31" s="327" t="e">
        <f t="shared" si="8"/>
        <v>#DIV/0!</v>
      </c>
      <c r="O31" s="328" t="str">
        <f>IFERROR((M31/$C31)^(1/COUNT($D$6:M$6))-1,"NA")</f>
        <v>NA</v>
      </c>
      <c r="Q31" s="326" t="e">
        <f>SUM(Q24:Q30)</f>
        <v>#DIV/0!</v>
      </c>
      <c r="R31" s="326" t="e">
        <f t="shared" ref="R31:AA31" si="9">SUM(R24:R30)</f>
        <v>#DIV/0!</v>
      </c>
      <c r="S31" s="326" t="e">
        <f t="shared" si="9"/>
        <v>#DIV/0!</v>
      </c>
      <c r="T31" s="326" t="e">
        <f t="shared" si="9"/>
        <v>#DIV/0!</v>
      </c>
      <c r="U31" s="326" t="e">
        <f t="shared" si="9"/>
        <v>#DIV/0!</v>
      </c>
      <c r="V31" s="326" t="e">
        <f t="shared" si="9"/>
        <v>#DIV/0!</v>
      </c>
      <c r="W31" s="326" t="e">
        <f t="shared" si="9"/>
        <v>#DIV/0!</v>
      </c>
      <c r="X31" s="326" t="e">
        <f t="shared" si="9"/>
        <v>#DIV/0!</v>
      </c>
      <c r="Y31" s="326" t="e">
        <f t="shared" si="9"/>
        <v>#DIV/0!</v>
      </c>
      <c r="Z31" s="326" t="e">
        <f t="shared" si="9"/>
        <v>#DIV/0!</v>
      </c>
      <c r="AA31" s="327" t="e">
        <f t="shared" si="9"/>
        <v>#DIV/0!</v>
      </c>
      <c r="AB31" s="328" t="str">
        <f>IFERROR((Z31/$C31)^(1/COUNT($Q$6:Z$6))-1,"NA")</f>
        <v>NA</v>
      </c>
      <c r="AD31" s="329"/>
      <c r="AH31" s="314"/>
    </row>
    <row r="32" spans="2:34" s="58" customFormat="1" ht="4.5" customHeight="1" x14ac:dyDescent="0.2">
      <c r="B32" s="330"/>
      <c r="C32" s="331"/>
      <c r="D32" s="331"/>
      <c r="E32" s="331"/>
      <c r="F32" s="331"/>
      <c r="G32" s="331"/>
      <c r="H32" s="331"/>
      <c r="I32" s="331"/>
      <c r="J32" s="331"/>
      <c r="K32" s="331"/>
      <c r="L32" s="331"/>
      <c r="M32" s="331"/>
      <c r="N32" s="331"/>
      <c r="O32" s="332"/>
      <c r="Q32" s="333"/>
      <c r="R32" s="333"/>
      <c r="S32" s="333"/>
      <c r="T32" s="333"/>
      <c r="U32" s="333"/>
      <c r="V32" s="333"/>
      <c r="W32" s="333"/>
      <c r="X32" s="333"/>
      <c r="Y32" s="333"/>
      <c r="Z32" s="333"/>
      <c r="AA32" s="326"/>
      <c r="AB32" s="332"/>
      <c r="AD32" s="329"/>
      <c r="AF32" s="303"/>
    </row>
    <row r="33" spans="1:34" x14ac:dyDescent="0.2">
      <c r="B33" s="315" t="s">
        <v>360</v>
      </c>
      <c r="C33" s="316">
        <f>'Status Quo Estimation'!I166*'1-Client Variables'!$D$11*(1-$AD33)</f>
        <v>0</v>
      </c>
      <c r="D33" s="317">
        <f>'Status Quo Estimation'!J166*'1-Client Variables'!$D$11*(1-$AD33)</f>
        <v>0</v>
      </c>
      <c r="E33" s="317">
        <f>'Status Quo Estimation'!K166*'1-Client Variables'!$D$11*(1-$AD33)</f>
        <v>0</v>
      </c>
      <c r="F33" s="317">
        <f>'Status Quo Estimation'!L166*'1-Client Variables'!$D$11*(1-$AD33)</f>
        <v>0</v>
      </c>
      <c r="G33" s="317">
        <f>'Status Quo Estimation'!M166*'1-Client Variables'!$D$11*(1-$AD33)</f>
        <v>0</v>
      </c>
      <c r="H33" s="317">
        <f>'Status Quo Estimation'!N166*'1-Client Variables'!$D$11*(1-$AD33)</f>
        <v>0</v>
      </c>
      <c r="I33" s="317">
        <f>'Status Quo Estimation'!O166*'1-Client Variables'!$D$11*(1-$AD33)</f>
        <v>0</v>
      </c>
      <c r="J33" s="317">
        <f>'Status Quo Estimation'!P166*'1-Client Variables'!$D$11*(1-$AD33)</f>
        <v>0</v>
      </c>
      <c r="K33" s="317">
        <f>'Status Quo Estimation'!Q166*'1-Client Variables'!$D$11*(1-$AD33)</f>
        <v>0</v>
      </c>
      <c r="L33" s="317">
        <f>'Status Quo Estimation'!R166*'1-Client Variables'!$D$11*(1-$AD33)</f>
        <v>0</v>
      </c>
      <c r="M33" s="317">
        <f>'Status Quo Estimation'!S166*'1-Client Variables'!$D$11*(1-$AD33)</f>
        <v>0</v>
      </c>
      <c r="N33" s="318">
        <f>SUM($D33:M33)</f>
        <v>0</v>
      </c>
      <c r="O33" s="319" t="str">
        <f>IFERROR((M33/$C33)^(1/COUNT($D$6:M$6))-1,"NA")</f>
        <v>NA</v>
      </c>
      <c r="Q33" s="317">
        <f>'Retained Costs Estimation'!D370*'1-Client Variables'!$D$11*(1-$AD33)</f>
        <v>0</v>
      </c>
      <c r="R33" s="317">
        <f>'Retained Costs Estimation'!E370*'1-Client Variables'!$D$11*(1-$AD33)</f>
        <v>0</v>
      </c>
      <c r="S33" s="317">
        <f>'Retained Costs Estimation'!F370*'1-Client Variables'!$D$11*(1-$AD33)</f>
        <v>0</v>
      </c>
      <c r="T33" s="317">
        <f>'Retained Costs Estimation'!G370*'1-Client Variables'!$D$11*(1-$AD33)</f>
        <v>0</v>
      </c>
      <c r="U33" s="317">
        <f>'Retained Costs Estimation'!H370*'1-Client Variables'!$D$11*(1-$AD33)</f>
        <v>0</v>
      </c>
      <c r="V33" s="317">
        <f>'Retained Costs Estimation'!I370*'1-Client Variables'!$D$11*(1-$AD33)</f>
        <v>0</v>
      </c>
      <c r="W33" s="317">
        <f>'Retained Costs Estimation'!J370*'1-Client Variables'!$D$11*(1-$AD33)</f>
        <v>0</v>
      </c>
      <c r="X33" s="317">
        <f>'Retained Costs Estimation'!K370*'1-Client Variables'!$D$11*(1-$AD33)</f>
        <v>0</v>
      </c>
      <c r="Y33" s="317">
        <f>'Retained Costs Estimation'!L370*'1-Client Variables'!$D$11*(1-$AD33)</f>
        <v>0</v>
      </c>
      <c r="Z33" s="317">
        <f>'Retained Costs Estimation'!M370*'1-Client Variables'!$D$11*(1-$AD33)</f>
        <v>0</v>
      </c>
      <c r="AA33" s="318">
        <f>SUM($Q33:Z33)</f>
        <v>0</v>
      </c>
      <c r="AB33" s="319" t="str">
        <f>IFERROR((Z33/$C33)^(1/COUNT($Q$6:Z$6))-1,"NA")</f>
        <v>NA</v>
      </c>
      <c r="AD33" s="321">
        <v>0</v>
      </c>
      <c r="AH33" s="301" t="s">
        <v>268</v>
      </c>
    </row>
    <row r="34" spans="1:34" x14ac:dyDescent="0.2">
      <c r="B34" s="340" t="s">
        <v>361</v>
      </c>
      <c r="C34" s="316"/>
      <c r="D34" s="317"/>
      <c r="E34" s="317"/>
      <c r="F34" s="317"/>
      <c r="G34" s="317"/>
      <c r="H34" s="317"/>
      <c r="I34" s="317"/>
      <c r="J34" s="317"/>
      <c r="K34" s="317"/>
      <c r="L34" s="317"/>
      <c r="M34" s="317"/>
      <c r="N34" s="318">
        <f>SUM($D34:M34)</f>
        <v>0</v>
      </c>
      <c r="O34" s="319" t="str">
        <f>IFERROR((M34/$C34)^(1/COUNT($D$6:M$6))-1,"NA")</f>
        <v>NA</v>
      </c>
      <c r="Q34" s="317"/>
      <c r="R34" s="317"/>
      <c r="S34" s="317"/>
      <c r="T34" s="317"/>
      <c r="U34" s="317"/>
      <c r="V34" s="317"/>
      <c r="W34" s="317"/>
      <c r="X34" s="317"/>
      <c r="Y34" s="317"/>
      <c r="Z34" s="317"/>
      <c r="AA34" s="318">
        <f>SUM($Q34:Z34)</f>
        <v>0</v>
      </c>
      <c r="AB34" s="319" t="str">
        <f>IFERROR((Z34/$C34)^(1/COUNT($Q$6:Z$6))-1,"NA")</f>
        <v>NA</v>
      </c>
      <c r="AD34" s="321">
        <v>0</v>
      </c>
      <c r="AH34" s="301" t="s">
        <v>268</v>
      </c>
    </row>
    <row r="35" spans="1:34" x14ac:dyDescent="0.2">
      <c r="B35" s="324" t="s">
        <v>362</v>
      </c>
      <c r="C35" s="325">
        <f>SUM(C33:C34)</f>
        <v>0</v>
      </c>
      <c r="D35" s="326">
        <f t="shared" ref="D35:M35" si="10">SUM(D33:D34)</f>
        <v>0</v>
      </c>
      <c r="E35" s="326">
        <f t="shared" si="10"/>
        <v>0</v>
      </c>
      <c r="F35" s="326">
        <f t="shared" si="10"/>
        <v>0</v>
      </c>
      <c r="G35" s="326">
        <f t="shared" si="10"/>
        <v>0</v>
      </c>
      <c r="H35" s="326">
        <f t="shared" si="10"/>
        <v>0</v>
      </c>
      <c r="I35" s="326">
        <f t="shared" si="10"/>
        <v>0</v>
      </c>
      <c r="J35" s="326">
        <f t="shared" si="10"/>
        <v>0</v>
      </c>
      <c r="K35" s="326">
        <f t="shared" si="10"/>
        <v>0</v>
      </c>
      <c r="L35" s="326">
        <f t="shared" si="10"/>
        <v>0</v>
      </c>
      <c r="M35" s="326">
        <f t="shared" si="10"/>
        <v>0</v>
      </c>
      <c r="N35" s="327">
        <f>SUM(N33:N34)</f>
        <v>0</v>
      </c>
      <c r="O35" s="328"/>
      <c r="Q35" s="326">
        <f t="shared" ref="Q35:AA35" si="11">SUM(Q33:Q34)</f>
        <v>0</v>
      </c>
      <c r="R35" s="326">
        <f t="shared" si="11"/>
        <v>0</v>
      </c>
      <c r="S35" s="326">
        <f t="shared" si="11"/>
        <v>0</v>
      </c>
      <c r="T35" s="326">
        <f t="shared" si="11"/>
        <v>0</v>
      </c>
      <c r="U35" s="326">
        <f t="shared" si="11"/>
        <v>0</v>
      </c>
      <c r="V35" s="326">
        <f t="shared" si="11"/>
        <v>0</v>
      </c>
      <c r="W35" s="326">
        <f t="shared" si="11"/>
        <v>0</v>
      </c>
      <c r="X35" s="326">
        <f>SUM(X33:X34)</f>
        <v>0</v>
      </c>
      <c r="Y35" s="326">
        <f t="shared" si="11"/>
        <v>0</v>
      </c>
      <c r="Z35" s="326">
        <f t="shared" si="11"/>
        <v>0</v>
      </c>
      <c r="AA35" s="327">
        <f t="shared" si="11"/>
        <v>0</v>
      </c>
      <c r="AB35" s="328"/>
      <c r="AD35" s="329"/>
      <c r="AH35" s="314"/>
    </row>
    <row r="36" spans="1:34" s="58" customFormat="1" ht="4.5" customHeight="1" x14ac:dyDescent="0.2">
      <c r="B36" s="341"/>
      <c r="C36" s="342"/>
      <c r="D36" s="343"/>
      <c r="E36" s="343"/>
      <c r="F36" s="343"/>
      <c r="G36" s="343"/>
      <c r="H36" s="343"/>
      <c r="I36" s="343"/>
      <c r="J36" s="343"/>
      <c r="K36" s="343"/>
      <c r="L36" s="343"/>
      <c r="M36" s="343"/>
      <c r="N36" s="343"/>
      <c r="O36" s="344"/>
      <c r="Q36" s="345"/>
      <c r="R36" s="345"/>
      <c r="S36" s="345"/>
      <c r="T36" s="345"/>
      <c r="U36" s="345"/>
      <c r="V36" s="345"/>
      <c r="W36" s="345"/>
      <c r="X36" s="345"/>
      <c r="Y36" s="345"/>
      <c r="Z36" s="345"/>
      <c r="AA36" s="346"/>
      <c r="AB36" s="347"/>
      <c r="AD36" s="329"/>
      <c r="AF36" s="303"/>
    </row>
    <row r="37" spans="1:34" s="351" customFormat="1" ht="17" thickBot="1" x14ac:dyDescent="0.25">
      <c r="A37" s="59"/>
      <c r="B37" s="313" t="s">
        <v>508</v>
      </c>
      <c r="C37" s="325" t="e">
        <f t="shared" ref="C37:M37" si="12">SUM(C16,C22,C18,C31,C35)</f>
        <v>#DIV/0!</v>
      </c>
      <c r="D37" s="348" t="e">
        <f t="shared" si="12"/>
        <v>#DIV/0!</v>
      </c>
      <c r="E37" s="348" t="e">
        <f t="shared" si="12"/>
        <v>#DIV/0!</v>
      </c>
      <c r="F37" s="348" t="e">
        <f t="shared" si="12"/>
        <v>#DIV/0!</v>
      </c>
      <c r="G37" s="348" t="e">
        <f t="shared" si="12"/>
        <v>#DIV/0!</v>
      </c>
      <c r="H37" s="348" t="e">
        <f t="shared" si="12"/>
        <v>#DIV/0!</v>
      </c>
      <c r="I37" s="348" t="e">
        <f t="shared" si="12"/>
        <v>#DIV/0!</v>
      </c>
      <c r="J37" s="348" t="e">
        <f t="shared" si="12"/>
        <v>#DIV/0!</v>
      </c>
      <c r="K37" s="348" t="e">
        <f t="shared" si="12"/>
        <v>#DIV/0!</v>
      </c>
      <c r="L37" s="348" t="e">
        <f t="shared" si="12"/>
        <v>#DIV/0!</v>
      </c>
      <c r="M37" s="348" t="e">
        <f t="shared" si="12"/>
        <v>#DIV/0!</v>
      </c>
      <c r="N37" s="327" t="e">
        <f>SUM(N16,N22,N18,N31,N35)</f>
        <v>#DIV/0!</v>
      </c>
      <c r="O37" s="328" t="str">
        <f>IFERROR((M37/$C37)^(1/COUNT($D$6:M$6))-1,"NA")</f>
        <v>NA</v>
      </c>
      <c r="P37" s="59"/>
      <c r="Q37" s="348" t="e">
        <f t="shared" ref="Q37:AA37" si="13">SUM(Q16,Q22,Q18,Q31,Q35)</f>
        <v>#DIV/0!</v>
      </c>
      <c r="R37" s="348" t="e">
        <f t="shared" si="13"/>
        <v>#DIV/0!</v>
      </c>
      <c r="S37" s="348" t="e">
        <f t="shared" si="13"/>
        <v>#DIV/0!</v>
      </c>
      <c r="T37" s="348" t="e">
        <f t="shared" si="13"/>
        <v>#DIV/0!</v>
      </c>
      <c r="U37" s="348" t="e">
        <f t="shared" si="13"/>
        <v>#DIV/0!</v>
      </c>
      <c r="V37" s="348" t="e">
        <f t="shared" si="13"/>
        <v>#DIV/0!</v>
      </c>
      <c r="W37" s="348" t="e">
        <f t="shared" si="13"/>
        <v>#DIV/0!</v>
      </c>
      <c r="X37" s="348" t="e">
        <f t="shared" si="13"/>
        <v>#DIV/0!</v>
      </c>
      <c r="Y37" s="348" t="e">
        <f t="shared" si="13"/>
        <v>#DIV/0!</v>
      </c>
      <c r="Z37" s="348" t="e">
        <f t="shared" si="13"/>
        <v>#DIV/0!</v>
      </c>
      <c r="AA37" s="327" t="e">
        <f t="shared" si="13"/>
        <v>#DIV/0!</v>
      </c>
      <c r="AB37" s="328" t="str">
        <f>IFERROR((Z37/$C37)^(1/COUNT($Q$6:Z$6))-1,"NA")</f>
        <v>NA</v>
      </c>
      <c r="AC37" s="59"/>
      <c r="AD37" s="349"/>
      <c r="AE37" s="59"/>
      <c r="AF37" s="350"/>
      <c r="AH37" s="314"/>
    </row>
    <row r="38" spans="1:34" s="59" customFormat="1" ht="16" x14ac:dyDescent="0.2">
      <c r="B38" s="313" t="s">
        <v>274</v>
      </c>
      <c r="C38" s="58"/>
      <c r="D38" s="352"/>
      <c r="E38" s="352"/>
      <c r="F38" s="352"/>
      <c r="G38" s="352"/>
      <c r="H38" s="352"/>
      <c r="I38" s="352"/>
      <c r="J38" s="352"/>
      <c r="K38" s="352"/>
      <c r="L38" s="352"/>
      <c r="M38" s="352"/>
      <c r="N38" s="333"/>
      <c r="O38" s="332"/>
      <c r="Q38" s="352"/>
      <c r="R38" s="352"/>
      <c r="S38" s="352"/>
      <c r="T38" s="352"/>
      <c r="U38" s="352"/>
      <c r="V38" s="352"/>
      <c r="W38" s="352"/>
      <c r="X38" s="352"/>
      <c r="Y38" s="352"/>
      <c r="Z38" s="352"/>
      <c r="AA38" s="333"/>
      <c r="AB38" s="332"/>
      <c r="AF38" s="353"/>
    </row>
    <row r="39" spans="1:34" s="351" customFormat="1" x14ac:dyDescent="0.2">
      <c r="A39" s="59"/>
      <c r="B39" s="330" t="s">
        <v>509</v>
      </c>
      <c r="C39" s="325">
        <f>'Azure Run Rate'!$D$14</f>
        <v>0</v>
      </c>
      <c r="D39" s="354">
        <f>'Azure Run Rate'!$D$14</f>
        <v>0</v>
      </c>
      <c r="E39" s="354">
        <f>'Azure Run Rate'!$D$14</f>
        <v>0</v>
      </c>
      <c r="F39" s="354">
        <f>'Azure Run Rate'!$D$14</f>
        <v>0</v>
      </c>
      <c r="G39" s="354">
        <f>'Azure Run Rate'!$D$14</f>
        <v>0</v>
      </c>
      <c r="H39" s="354">
        <f>'Azure Run Rate'!$D$14</f>
        <v>0</v>
      </c>
      <c r="I39" s="354">
        <f>'Azure Run Rate'!$D$14</f>
        <v>0</v>
      </c>
      <c r="J39" s="354">
        <f>'Azure Run Rate'!$D$14</f>
        <v>0</v>
      </c>
      <c r="K39" s="354">
        <f>'Azure Run Rate'!$D$14</f>
        <v>0</v>
      </c>
      <c r="L39" s="354">
        <f>'Azure Run Rate'!$D$14</f>
        <v>0</v>
      </c>
      <c r="M39" s="354">
        <f>'Azure Run Rate'!$D$14</f>
        <v>0</v>
      </c>
      <c r="N39" s="338">
        <f>SUM($D39:M39)</f>
        <v>0</v>
      </c>
      <c r="O39" s="319"/>
      <c r="P39" s="59"/>
      <c r="Q39" s="354">
        <f>'Azure Run Rate'!$D$19</f>
        <v>0</v>
      </c>
      <c r="R39" s="354">
        <f>'Azure Run Rate'!$D$19</f>
        <v>0</v>
      </c>
      <c r="S39" s="354">
        <f>'Azure Run Rate'!$D$19</f>
        <v>0</v>
      </c>
      <c r="T39" s="354">
        <f>'Azure Run Rate'!$D$19</f>
        <v>0</v>
      </c>
      <c r="U39" s="354">
        <f>'Azure Run Rate'!$D$19</f>
        <v>0</v>
      </c>
      <c r="V39" s="354">
        <f>'Azure Run Rate'!$D$19</f>
        <v>0</v>
      </c>
      <c r="W39" s="354">
        <f>'Azure Run Rate'!$D$19</f>
        <v>0</v>
      </c>
      <c r="X39" s="354">
        <f>'Azure Run Rate'!$D$19</f>
        <v>0</v>
      </c>
      <c r="Y39" s="354">
        <f>'Azure Run Rate'!$D$19</f>
        <v>0</v>
      </c>
      <c r="Z39" s="354">
        <f>'Azure Run Rate'!$D$19</f>
        <v>0</v>
      </c>
      <c r="AA39" s="338">
        <f>SUM($Q39:Z39)</f>
        <v>0</v>
      </c>
      <c r="AB39" s="319"/>
      <c r="AC39" s="59"/>
      <c r="AD39" s="59"/>
      <c r="AE39" s="59"/>
      <c r="AF39" s="350"/>
      <c r="AH39" s="301" t="s">
        <v>270</v>
      </c>
    </row>
    <row r="40" spans="1:34" s="58" customFormat="1" ht="4.5" customHeight="1" x14ac:dyDescent="0.2">
      <c r="B40" s="341"/>
      <c r="C40" s="346"/>
      <c r="D40" s="345"/>
      <c r="E40" s="345"/>
      <c r="F40" s="345"/>
      <c r="G40" s="345"/>
      <c r="H40" s="345"/>
      <c r="I40" s="345"/>
      <c r="J40" s="345"/>
      <c r="K40" s="345"/>
      <c r="L40" s="345"/>
      <c r="M40" s="345"/>
      <c r="N40" s="345"/>
      <c r="O40" s="344"/>
      <c r="Q40" s="345"/>
      <c r="R40" s="345"/>
      <c r="S40" s="345"/>
      <c r="T40" s="345"/>
      <c r="U40" s="345"/>
      <c r="V40" s="345"/>
      <c r="W40" s="345"/>
      <c r="X40" s="345"/>
      <c r="Y40" s="345"/>
      <c r="Z40" s="345"/>
      <c r="AA40" s="346"/>
      <c r="AB40" s="347"/>
      <c r="AF40" s="303"/>
    </row>
    <row r="41" spans="1:34" s="351" customFormat="1" x14ac:dyDescent="0.2">
      <c r="A41" s="59"/>
      <c r="B41" s="341" t="s">
        <v>364</v>
      </c>
      <c r="C41" s="355"/>
      <c r="D41" s="356"/>
      <c r="E41" s="356"/>
      <c r="F41" s="356"/>
      <c r="G41" s="356"/>
      <c r="H41" s="356"/>
      <c r="I41" s="356"/>
      <c r="J41" s="356"/>
      <c r="K41" s="356"/>
      <c r="L41" s="356"/>
      <c r="M41" s="356"/>
      <c r="N41" s="357"/>
      <c r="O41" s="319" t="str">
        <f>IFERROR((M41/$C41)^(1/COUNT($D$6:M$6))-1,"NA")</f>
        <v>NA</v>
      </c>
      <c r="P41" s="59"/>
      <c r="Q41" s="358">
        <f>SUM('2a-Consumption Plan Wk1'!E28,'2b-Consumption Plan Wk2'!E28,'2c-Consumption Plan Wk3'!E28)*(1+'1-Client Variables'!$D$26)</f>
        <v>0</v>
      </c>
      <c r="R41" s="358">
        <f>SUM('2a-Consumption Plan Wk1'!F28,'2b-Consumption Plan Wk2'!F28,'2c-Consumption Plan Wk3'!F28)*(1+'1-Client Variables'!$D$26)</f>
        <v>0</v>
      </c>
      <c r="S41" s="358">
        <f>SUM('2a-Consumption Plan Wk1'!G28,'2b-Consumption Plan Wk2'!G28,'2c-Consumption Plan Wk3'!G28)*(1+'1-Client Variables'!$D$26)</f>
        <v>0</v>
      </c>
      <c r="T41" s="358">
        <f>SUM('2a-Consumption Plan Wk1'!H28,'2b-Consumption Plan Wk2'!H28,'2c-Consumption Plan Wk3'!H28)*(1+'1-Client Variables'!$D$26)</f>
        <v>0</v>
      </c>
      <c r="U41" s="358">
        <f>SUM('2a-Consumption Plan Wk1'!I28,'2b-Consumption Plan Wk2'!I28,'2c-Consumption Plan Wk3'!I28)*(1+'1-Client Variables'!$D$26)</f>
        <v>0</v>
      </c>
      <c r="V41" s="358">
        <f>SUM('2a-Consumption Plan Wk1'!J28,'2b-Consumption Plan Wk2'!J28,'2c-Consumption Plan Wk3'!J28)*(1+'1-Client Variables'!$D$26)</f>
        <v>0</v>
      </c>
      <c r="W41" s="358">
        <f>SUM('2a-Consumption Plan Wk1'!K28,'2b-Consumption Plan Wk2'!K28,'2c-Consumption Plan Wk3'!K28)*(1+'1-Client Variables'!$D$26)</f>
        <v>0</v>
      </c>
      <c r="X41" s="358">
        <f>SUM('2a-Consumption Plan Wk1'!L28,'2b-Consumption Plan Wk2'!L28,'2c-Consumption Plan Wk3'!L28)*(1+'1-Client Variables'!$D$26)</f>
        <v>0</v>
      </c>
      <c r="Y41" s="358">
        <f>SUM('2a-Consumption Plan Wk1'!M28,'2b-Consumption Plan Wk2'!M28,'2c-Consumption Plan Wk3'!M28)*(1+'1-Client Variables'!$D$26)</f>
        <v>0</v>
      </c>
      <c r="Z41" s="358">
        <f>SUM('2a-Consumption Plan Wk1'!N28,'2b-Consumption Plan Wk2'!N28,'2c-Consumption Plan Wk3'!N28)*(1+'1-Client Variables'!$D$26)</f>
        <v>0</v>
      </c>
      <c r="AA41" s="338">
        <f>SUM(Q41:Z41)</f>
        <v>0</v>
      </c>
      <c r="AB41" s="319" t="str">
        <f>IFERROR((Z41/$C41)^(1/COUNT($Q$6:Z$6))-1,"NA")</f>
        <v>NA</v>
      </c>
      <c r="AC41" s="59"/>
      <c r="AD41" s="59"/>
      <c r="AE41" s="59"/>
      <c r="AF41" s="350"/>
      <c r="AH41" s="314"/>
    </row>
    <row r="42" spans="1:34" s="351" customFormat="1" x14ac:dyDescent="0.2">
      <c r="A42" s="59"/>
      <c r="B42" s="341" t="s">
        <v>365</v>
      </c>
      <c r="C42" s="355"/>
      <c r="D42" s="356"/>
      <c r="E42" s="356"/>
      <c r="F42" s="356"/>
      <c r="G42" s="356"/>
      <c r="H42" s="356"/>
      <c r="I42" s="356"/>
      <c r="J42" s="356"/>
      <c r="K42" s="356"/>
      <c r="L42" s="356"/>
      <c r="M42" s="356"/>
      <c r="N42" s="357"/>
      <c r="O42" s="319" t="str">
        <f>IFERROR((M42/$C42)^(1/COUNT($D$6:M$6))-1,"NA")</f>
        <v>NA</v>
      </c>
      <c r="P42" s="59"/>
      <c r="Q42" s="358">
        <f>SUM('2a-Consumption Plan Wk1'!E29,'2b-Consumption Plan Wk2'!E29,'2c-Consumption Plan Wk3'!E29)*(1+'1-Client Variables'!$D$26)</f>
        <v>0</v>
      </c>
      <c r="R42" s="358">
        <f>SUM('2a-Consumption Plan Wk1'!F29,'2b-Consumption Plan Wk2'!F29,'2c-Consumption Plan Wk3'!F29)*(1+'1-Client Variables'!$D$26)</f>
        <v>0</v>
      </c>
      <c r="S42" s="358">
        <f>SUM('2a-Consumption Plan Wk1'!G29,'2b-Consumption Plan Wk2'!G29,'2c-Consumption Plan Wk3'!G29)*(1+'1-Client Variables'!$D$26)</f>
        <v>0</v>
      </c>
      <c r="T42" s="358">
        <f>SUM('2a-Consumption Plan Wk1'!H29,'2b-Consumption Plan Wk2'!H29,'2c-Consumption Plan Wk3'!H29)*(1+'1-Client Variables'!$D$26)</f>
        <v>0</v>
      </c>
      <c r="U42" s="358">
        <f>SUM('2a-Consumption Plan Wk1'!I29,'2b-Consumption Plan Wk2'!I29,'2c-Consumption Plan Wk3'!I29)*(1+'1-Client Variables'!$D$26)</f>
        <v>0</v>
      </c>
      <c r="V42" s="358">
        <f>SUM('2a-Consumption Plan Wk1'!J29,'2b-Consumption Plan Wk2'!J29,'2c-Consumption Plan Wk3'!J29)*(1+'1-Client Variables'!$D$26)</f>
        <v>0</v>
      </c>
      <c r="W42" s="358">
        <f>SUM('2a-Consumption Plan Wk1'!K29,'2b-Consumption Plan Wk2'!K29,'2c-Consumption Plan Wk3'!K29)*(1+'1-Client Variables'!$D$26)</f>
        <v>0</v>
      </c>
      <c r="X42" s="358">
        <f>SUM('2a-Consumption Plan Wk1'!L29,'2b-Consumption Plan Wk2'!L29,'2c-Consumption Plan Wk3'!L29)*(1+'1-Client Variables'!$D$26)</f>
        <v>0</v>
      </c>
      <c r="Y42" s="358">
        <f>SUM('2a-Consumption Plan Wk1'!M29,'2b-Consumption Plan Wk2'!M29,'2c-Consumption Plan Wk3'!M29)*(1+'1-Client Variables'!$D$26)</f>
        <v>0</v>
      </c>
      <c r="Z42" s="358">
        <f>SUM('2a-Consumption Plan Wk1'!N29,'2b-Consumption Plan Wk2'!N29,'2c-Consumption Plan Wk3'!N29)*(1+'1-Client Variables'!$D$26)</f>
        <v>0</v>
      </c>
      <c r="AA42" s="338">
        <f t="shared" ref="AA42:AA43" si="14">SUM(Q42:Z42)</f>
        <v>0</v>
      </c>
      <c r="AB42" s="319" t="str">
        <f>IFERROR((Z42/$C42)^(1/COUNT($Q$6:Z$6))-1,"NA")</f>
        <v>NA</v>
      </c>
      <c r="AC42" s="59"/>
      <c r="AD42" s="59"/>
      <c r="AE42" s="59"/>
      <c r="AF42" s="350"/>
      <c r="AH42" s="314"/>
    </row>
    <row r="43" spans="1:34" s="351" customFormat="1" x14ac:dyDescent="0.2">
      <c r="A43" s="59"/>
      <c r="B43" s="341" t="s">
        <v>366</v>
      </c>
      <c r="C43" s="355"/>
      <c r="D43" s="356"/>
      <c r="E43" s="356"/>
      <c r="F43" s="356"/>
      <c r="G43" s="356"/>
      <c r="H43" s="356"/>
      <c r="I43" s="356"/>
      <c r="J43" s="356"/>
      <c r="K43" s="356"/>
      <c r="L43" s="356"/>
      <c r="M43" s="356"/>
      <c r="N43" s="357"/>
      <c r="O43" s="319" t="str">
        <f>IFERROR((M43/$C43)^(1/COUNT($D$6:M$6))-1,"NA")</f>
        <v>NA</v>
      </c>
      <c r="P43" s="59"/>
      <c r="Q43" s="358">
        <f>SUM('2a-Consumption Plan Wk1'!E30,'2b-Consumption Plan Wk2'!E30,'2c-Consumption Plan Wk3'!E30)*(1+'1-Client Variables'!$D$26)</f>
        <v>0</v>
      </c>
      <c r="R43" s="358">
        <f>SUM('2a-Consumption Plan Wk1'!F30,'2b-Consumption Plan Wk2'!F30,'2c-Consumption Plan Wk3'!F30)*(1+'1-Client Variables'!$D$26)</f>
        <v>0</v>
      </c>
      <c r="S43" s="358">
        <f>SUM('2a-Consumption Plan Wk1'!G30,'2b-Consumption Plan Wk2'!G30,'2c-Consumption Plan Wk3'!G30)*(1+'1-Client Variables'!$D$26)</f>
        <v>0</v>
      </c>
      <c r="T43" s="358">
        <f>SUM('2a-Consumption Plan Wk1'!H30,'2b-Consumption Plan Wk2'!H30,'2c-Consumption Plan Wk3'!H30)*(1+'1-Client Variables'!$D$26)</f>
        <v>0</v>
      </c>
      <c r="U43" s="358">
        <f>SUM('2a-Consumption Plan Wk1'!I30,'2b-Consumption Plan Wk2'!I30,'2c-Consumption Plan Wk3'!I30)*(1+'1-Client Variables'!$D$26)</f>
        <v>0</v>
      </c>
      <c r="V43" s="358">
        <f>SUM('2a-Consumption Plan Wk1'!J30,'2b-Consumption Plan Wk2'!J30,'2c-Consumption Plan Wk3'!J30)*(1+'1-Client Variables'!$D$26)</f>
        <v>0</v>
      </c>
      <c r="W43" s="358">
        <f>SUM('2a-Consumption Plan Wk1'!K30,'2b-Consumption Plan Wk2'!K30,'2c-Consumption Plan Wk3'!K30)*(1+'1-Client Variables'!$D$26)</f>
        <v>0</v>
      </c>
      <c r="X43" s="358">
        <f>SUM('2a-Consumption Plan Wk1'!L30,'2b-Consumption Plan Wk2'!L30,'2c-Consumption Plan Wk3'!L30)*(1+'1-Client Variables'!$D$26)</f>
        <v>0</v>
      </c>
      <c r="Y43" s="358">
        <f>SUM('2a-Consumption Plan Wk1'!M30,'2b-Consumption Plan Wk2'!M30,'2c-Consumption Plan Wk3'!M30)*(1+'1-Client Variables'!$D$26)</f>
        <v>0</v>
      </c>
      <c r="Z43" s="358">
        <f>SUM('2a-Consumption Plan Wk1'!N30,'2b-Consumption Plan Wk2'!N30,'2c-Consumption Plan Wk3'!N30)*(1+'1-Client Variables'!$D$26)</f>
        <v>0</v>
      </c>
      <c r="AA43" s="338">
        <f t="shared" si="14"/>
        <v>0</v>
      </c>
      <c r="AB43" s="319" t="str">
        <f>IFERROR((Z43/$C43)^(1/COUNT($Q$6:Z$6))-1,"NA")</f>
        <v>NA</v>
      </c>
      <c r="AC43" s="59"/>
      <c r="AD43" s="59"/>
      <c r="AE43" s="59"/>
      <c r="AF43" s="350"/>
      <c r="AH43" s="314"/>
    </row>
    <row r="44" spans="1:34" s="351" customFormat="1" x14ac:dyDescent="0.2">
      <c r="A44" s="59"/>
      <c r="B44" s="330" t="s">
        <v>510</v>
      </c>
      <c r="C44" s="355"/>
      <c r="D44" s="356"/>
      <c r="E44" s="356"/>
      <c r="F44" s="356"/>
      <c r="G44" s="356"/>
      <c r="H44" s="356"/>
      <c r="I44" s="356"/>
      <c r="J44" s="356"/>
      <c r="K44" s="356"/>
      <c r="L44" s="356"/>
      <c r="M44" s="356"/>
      <c r="N44" s="357"/>
      <c r="O44" s="328" t="str">
        <f>IFERROR((M44/$C44)^(1/COUNT($D$6:M$6))-1,"NA")</f>
        <v>NA</v>
      </c>
      <c r="P44" s="59"/>
      <c r="Q44" s="359">
        <f>SUM(Q43,Q42,Q41)</f>
        <v>0</v>
      </c>
      <c r="R44" s="359">
        <f t="shared" ref="R44:AA44" si="15">SUM(R43,R42,R41)</f>
        <v>0</v>
      </c>
      <c r="S44" s="359">
        <f t="shared" si="15"/>
        <v>0</v>
      </c>
      <c r="T44" s="359">
        <f t="shared" si="15"/>
        <v>0</v>
      </c>
      <c r="U44" s="359">
        <f t="shared" si="15"/>
        <v>0</v>
      </c>
      <c r="V44" s="359">
        <f t="shared" si="15"/>
        <v>0</v>
      </c>
      <c r="W44" s="359">
        <f t="shared" si="15"/>
        <v>0</v>
      </c>
      <c r="X44" s="359">
        <f t="shared" si="15"/>
        <v>0</v>
      </c>
      <c r="Y44" s="359">
        <f t="shared" si="15"/>
        <v>0</v>
      </c>
      <c r="Z44" s="359">
        <f t="shared" si="15"/>
        <v>0</v>
      </c>
      <c r="AA44" s="327">
        <f t="shared" si="15"/>
        <v>0</v>
      </c>
      <c r="AB44" s="328" t="str">
        <f>IFERROR((Z44/$C44)^(1/COUNT($Q$6:Z$6))-1,"NA")</f>
        <v>NA</v>
      </c>
      <c r="AC44" s="59"/>
      <c r="AD44" s="59"/>
      <c r="AE44" s="59"/>
      <c r="AF44" s="350"/>
      <c r="AH44" s="301" t="s">
        <v>270</v>
      </c>
    </row>
    <row r="45" spans="1:34" s="58" customFormat="1" ht="4.5" customHeight="1" x14ac:dyDescent="0.2">
      <c r="B45" s="341"/>
      <c r="C45" s="346"/>
      <c r="D45" s="345"/>
      <c r="E45" s="345"/>
      <c r="F45" s="345"/>
      <c r="G45" s="345"/>
      <c r="H45" s="345"/>
      <c r="I45" s="345"/>
      <c r="J45" s="345"/>
      <c r="K45" s="345"/>
      <c r="L45" s="345"/>
      <c r="M45" s="345"/>
      <c r="N45" s="345"/>
      <c r="O45" s="344"/>
      <c r="Q45" s="345"/>
      <c r="R45" s="345"/>
      <c r="S45" s="345"/>
      <c r="T45" s="345"/>
      <c r="U45" s="345"/>
      <c r="V45" s="345"/>
      <c r="W45" s="345"/>
      <c r="X45" s="345"/>
      <c r="Y45" s="345"/>
      <c r="Z45" s="345"/>
      <c r="AA45" s="346"/>
      <c r="AB45" s="347"/>
      <c r="AF45" s="303"/>
    </row>
    <row r="46" spans="1:34" s="351" customFormat="1" x14ac:dyDescent="0.2">
      <c r="A46" s="59"/>
      <c r="B46" s="330" t="s">
        <v>511</v>
      </c>
      <c r="C46" s="356"/>
      <c r="D46" s="360"/>
      <c r="E46" s="360"/>
      <c r="F46" s="360"/>
      <c r="G46" s="360"/>
      <c r="H46" s="360"/>
      <c r="I46" s="360"/>
      <c r="J46" s="360"/>
      <c r="K46" s="360"/>
      <c r="L46" s="360"/>
      <c r="M46" s="360"/>
      <c r="N46" s="357"/>
      <c r="O46" s="319" t="str">
        <f>IFERROR((M46/$C46)^(1/COUNT($D$6:M$6))-1,"NA")</f>
        <v>NA</v>
      </c>
      <c r="P46" s="59"/>
      <c r="Q46" s="358">
        <f>SUM('2a-Consumption Plan Wk1'!E20,'2b-Consumption Plan Wk2'!E20,'2c-Consumption Plan Wk3'!E20)</f>
        <v>0</v>
      </c>
      <c r="R46" s="358">
        <f>SUM('2a-Consumption Plan Wk1'!F20,'2b-Consumption Plan Wk2'!F20,'2c-Consumption Plan Wk3'!F20)</f>
        <v>0</v>
      </c>
      <c r="S46" s="358">
        <f>SUM('2a-Consumption Plan Wk1'!G20,'2b-Consumption Plan Wk2'!G20,'2c-Consumption Plan Wk3'!G20)</f>
        <v>0</v>
      </c>
      <c r="T46" s="358">
        <f>SUM('2a-Consumption Plan Wk1'!H20,'2b-Consumption Plan Wk2'!H20,'2c-Consumption Plan Wk3'!H20)</f>
        <v>0</v>
      </c>
      <c r="U46" s="358">
        <f>SUM('2a-Consumption Plan Wk1'!I20,'2b-Consumption Plan Wk2'!I20,'2c-Consumption Plan Wk3'!I20)</f>
        <v>0</v>
      </c>
      <c r="V46" s="358">
        <f>SUM('2a-Consumption Plan Wk1'!J20,'2b-Consumption Plan Wk2'!J20,'2c-Consumption Plan Wk3'!J20)</f>
        <v>0</v>
      </c>
      <c r="W46" s="358">
        <f>SUM('2a-Consumption Plan Wk1'!K20,'2b-Consumption Plan Wk2'!K20,'2c-Consumption Plan Wk3'!K20)</f>
        <v>0</v>
      </c>
      <c r="X46" s="358">
        <f>SUM('2a-Consumption Plan Wk1'!L20,'2b-Consumption Plan Wk2'!L20,'2c-Consumption Plan Wk3'!L20)</f>
        <v>0</v>
      </c>
      <c r="Y46" s="358">
        <f>SUM('2a-Consumption Plan Wk1'!M20,'2b-Consumption Plan Wk2'!M20,'2c-Consumption Plan Wk3'!M20)</f>
        <v>0</v>
      </c>
      <c r="Z46" s="358">
        <f>SUM('2a-Consumption Plan Wk1'!N20,'2b-Consumption Plan Wk2'!N20,'2c-Consumption Plan Wk3'!N20)</f>
        <v>0</v>
      </c>
      <c r="AA46" s="338">
        <f>SUM(Q46:Z46)</f>
        <v>0</v>
      </c>
      <c r="AB46" s="319" t="str">
        <f>IFERROR((Z46/$C46)^(1/COUNT($Q$6:Z$6))-1,"NA")</f>
        <v>NA</v>
      </c>
      <c r="AC46" s="59"/>
      <c r="AD46" s="59"/>
      <c r="AE46" s="59"/>
      <c r="AF46" s="350"/>
      <c r="AH46" s="301" t="s">
        <v>279</v>
      </c>
    </row>
    <row r="47" spans="1:34" s="351" customFormat="1" x14ac:dyDescent="0.2">
      <c r="A47" s="59"/>
      <c r="B47" s="330" t="s">
        <v>281</v>
      </c>
      <c r="C47" s="356"/>
      <c r="D47" s="360"/>
      <c r="E47" s="360"/>
      <c r="F47" s="360"/>
      <c r="G47" s="360"/>
      <c r="H47" s="360"/>
      <c r="I47" s="360"/>
      <c r="J47" s="360"/>
      <c r="K47" s="360"/>
      <c r="L47" s="360"/>
      <c r="M47" s="360"/>
      <c r="N47" s="357"/>
      <c r="O47" s="319" t="str">
        <f>IFERROR((M47/$C47)^(1/COUNT($D$6:M$6))-1,"NA")</f>
        <v>NA</v>
      </c>
      <c r="P47" s="59"/>
      <c r="Q47" s="358">
        <f>SUM('2a-Consumption Plan Wk1'!E23,'2b-Consumption Plan Wk2'!E23,'2c-Consumption Plan Wk3'!E23)</f>
        <v>0</v>
      </c>
      <c r="R47" s="358">
        <f>SUM('2a-Consumption Plan Wk1'!F23,'2b-Consumption Plan Wk2'!F23,'2c-Consumption Plan Wk3'!F23)</f>
        <v>0</v>
      </c>
      <c r="S47" s="358">
        <f>SUM('2a-Consumption Plan Wk1'!G23,'2b-Consumption Plan Wk2'!G23,'2c-Consumption Plan Wk3'!G23)</f>
        <v>0</v>
      </c>
      <c r="T47" s="358">
        <f>SUM('2a-Consumption Plan Wk1'!H23,'2b-Consumption Plan Wk2'!H23,'2c-Consumption Plan Wk3'!H23)</f>
        <v>0</v>
      </c>
      <c r="U47" s="358">
        <f>SUM('2a-Consumption Plan Wk1'!I23,'2b-Consumption Plan Wk2'!I23,'2c-Consumption Plan Wk3'!I23)</f>
        <v>0</v>
      </c>
      <c r="V47" s="358">
        <f>SUM('2a-Consumption Plan Wk1'!J23,'2b-Consumption Plan Wk2'!J23,'2c-Consumption Plan Wk3'!J23)</f>
        <v>0</v>
      </c>
      <c r="W47" s="358">
        <f>SUM('2a-Consumption Plan Wk1'!K23,'2b-Consumption Plan Wk2'!K23,'2c-Consumption Plan Wk3'!K23)</f>
        <v>0</v>
      </c>
      <c r="X47" s="358">
        <f>SUM('2a-Consumption Plan Wk1'!L23,'2b-Consumption Plan Wk2'!L23,'2c-Consumption Plan Wk3'!L23)</f>
        <v>0</v>
      </c>
      <c r="Y47" s="358">
        <f>SUM('2a-Consumption Plan Wk1'!M23,'2b-Consumption Plan Wk2'!M23,'2c-Consumption Plan Wk3'!M23)</f>
        <v>0</v>
      </c>
      <c r="Z47" s="358">
        <f>SUM('2a-Consumption Plan Wk1'!N23,'2b-Consumption Plan Wk2'!N23,'2c-Consumption Plan Wk3'!N23)</f>
        <v>0</v>
      </c>
      <c r="AA47" s="338">
        <f>SUM(Q47:Z47)</f>
        <v>0</v>
      </c>
      <c r="AB47" s="319" t="str">
        <f>IFERROR((Z47/$C47)^(1/COUNT($Q$6:Z$6))-1,"NA")</f>
        <v>NA</v>
      </c>
      <c r="AC47" s="59"/>
      <c r="AD47" s="59"/>
      <c r="AE47" s="59"/>
      <c r="AF47" s="350"/>
      <c r="AH47" s="301" t="s">
        <v>281</v>
      </c>
    </row>
    <row r="48" spans="1:34" s="351" customFormat="1" ht="16" x14ac:dyDescent="0.2">
      <c r="A48" s="59"/>
      <c r="B48" s="313" t="s">
        <v>512</v>
      </c>
      <c r="C48" s="361">
        <f>SUM(C46:C47,C44,C39)</f>
        <v>0</v>
      </c>
      <c r="D48" s="361">
        <f t="shared" ref="D48:N48" si="16">SUM(D46:D47,D44,D39)</f>
        <v>0</v>
      </c>
      <c r="E48" s="361">
        <f t="shared" si="16"/>
        <v>0</v>
      </c>
      <c r="F48" s="361">
        <f t="shared" si="16"/>
        <v>0</v>
      </c>
      <c r="G48" s="361">
        <f t="shared" si="16"/>
        <v>0</v>
      </c>
      <c r="H48" s="361">
        <f t="shared" si="16"/>
        <v>0</v>
      </c>
      <c r="I48" s="361">
        <f t="shared" si="16"/>
        <v>0</v>
      </c>
      <c r="J48" s="361">
        <f t="shared" si="16"/>
        <v>0</v>
      </c>
      <c r="K48" s="361">
        <f t="shared" si="16"/>
        <v>0</v>
      </c>
      <c r="L48" s="361">
        <f t="shared" si="16"/>
        <v>0</v>
      </c>
      <c r="M48" s="361">
        <f t="shared" si="16"/>
        <v>0</v>
      </c>
      <c r="N48" s="362">
        <f t="shared" si="16"/>
        <v>0</v>
      </c>
      <c r="O48" s="328" t="str">
        <f>IFERROR((M48/$C48)^(1/COUNT($D$6:M$6))-1,"NA")</f>
        <v>NA</v>
      </c>
      <c r="P48" s="59"/>
      <c r="Q48" s="359">
        <f t="shared" ref="Q48:AA48" si="17">SUM(Q46:Q47,Q44,Q39)</f>
        <v>0</v>
      </c>
      <c r="R48" s="359">
        <f t="shared" si="17"/>
        <v>0</v>
      </c>
      <c r="S48" s="359">
        <f t="shared" si="17"/>
        <v>0</v>
      </c>
      <c r="T48" s="359">
        <f t="shared" si="17"/>
        <v>0</v>
      </c>
      <c r="U48" s="359">
        <f t="shared" si="17"/>
        <v>0</v>
      </c>
      <c r="V48" s="359">
        <f t="shared" si="17"/>
        <v>0</v>
      </c>
      <c r="W48" s="359">
        <f t="shared" si="17"/>
        <v>0</v>
      </c>
      <c r="X48" s="359">
        <f t="shared" si="17"/>
        <v>0</v>
      </c>
      <c r="Y48" s="359">
        <f t="shared" si="17"/>
        <v>0</v>
      </c>
      <c r="Z48" s="359">
        <f t="shared" si="17"/>
        <v>0</v>
      </c>
      <c r="AA48" s="327">
        <f t="shared" si="17"/>
        <v>0</v>
      </c>
      <c r="AB48" s="328" t="str">
        <f>IFERROR((Z48/$C48)^(1/COUNT($Q$6:Z$6))-1,"NA")</f>
        <v>NA</v>
      </c>
      <c r="AC48" s="59"/>
      <c r="AD48" s="59"/>
      <c r="AE48" s="59"/>
      <c r="AF48" s="350"/>
      <c r="AH48" s="301"/>
    </row>
    <row r="49" spans="1:34" s="351" customFormat="1" ht="16" x14ac:dyDescent="0.2">
      <c r="A49" s="59"/>
      <c r="B49" s="363" t="s">
        <v>513</v>
      </c>
      <c r="C49" s="364" t="e">
        <f>SUM(C37,C48)</f>
        <v>#DIV/0!</v>
      </c>
      <c r="D49" s="365" t="e">
        <f t="shared" ref="D49:N49" si="18">SUM(D37,D48)</f>
        <v>#DIV/0!</v>
      </c>
      <c r="E49" s="365" t="e">
        <f t="shared" si="18"/>
        <v>#DIV/0!</v>
      </c>
      <c r="F49" s="365" t="e">
        <f t="shared" si="18"/>
        <v>#DIV/0!</v>
      </c>
      <c r="G49" s="365" t="e">
        <f t="shared" si="18"/>
        <v>#DIV/0!</v>
      </c>
      <c r="H49" s="365" t="e">
        <f t="shared" si="18"/>
        <v>#DIV/0!</v>
      </c>
      <c r="I49" s="365" t="e">
        <f t="shared" si="18"/>
        <v>#DIV/0!</v>
      </c>
      <c r="J49" s="365" t="e">
        <f t="shared" si="18"/>
        <v>#DIV/0!</v>
      </c>
      <c r="K49" s="365" t="e">
        <f t="shared" si="18"/>
        <v>#DIV/0!</v>
      </c>
      <c r="L49" s="365" t="e">
        <f t="shared" si="18"/>
        <v>#DIV/0!</v>
      </c>
      <c r="M49" s="365" t="e">
        <f t="shared" si="18"/>
        <v>#DIV/0!</v>
      </c>
      <c r="N49" s="366" t="e">
        <f t="shared" si="18"/>
        <v>#DIV/0!</v>
      </c>
      <c r="O49" s="367" t="str">
        <f>IFERROR((M49/$C49)^(1/COUNT($D$6:M$6))-1,"NA")</f>
        <v>NA</v>
      </c>
      <c r="P49" s="59"/>
      <c r="Q49" s="368" t="e">
        <f t="shared" ref="Q49:AA49" si="19">SUM(Q37,Q48)</f>
        <v>#DIV/0!</v>
      </c>
      <c r="R49" s="365" t="e">
        <f t="shared" si="19"/>
        <v>#DIV/0!</v>
      </c>
      <c r="S49" s="365" t="e">
        <f t="shared" si="19"/>
        <v>#DIV/0!</v>
      </c>
      <c r="T49" s="365" t="e">
        <f t="shared" si="19"/>
        <v>#DIV/0!</v>
      </c>
      <c r="U49" s="365" t="e">
        <f t="shared" si="19"/>
        <v>#DIV/0!</v>
      </c>
      <c r="V49" s="365" t="e">
        <f t="shared" si="19"/>
        <v>#DIV/0!</v>
      </c>
      <c r="W49" s="365" t="e">
        <f t="shared" si="19"/>
        <v>#DIV/0!</v>
      </c>
      <c r="X49" s="365" t="e">
        <f t="shared" si="19"/>
        <v>#DIV/0!</v>
      </c>
      <c r="Y49" s="365" t="e">
        <f t="shared" si="19"/>
        <v>#DIV/0!</v>
      </c>
      <c r="Z49" s="365" t="e">
        <f t="shared" si="19"/>
        <v>#DIV/0!</v>
      </c>
      <c r="AA49" s="366" t="e">
        <f t="shared" si="19"/>
        <v>#DIV/0!</v>
      </c>
      <c r="AB49" s="367" t="str">
        <f>IFERROR((W49/$C49)^(1/COUNT($Q$6:W$6))-1,"NA")</f>
        <v>NA</v>
      </c>
      <c r="AC49" s="59"/>
      <c r="AD49" s="59"/>
      <c r="AE49" s="59"/>
      <c r="AF49" s="350"/>
      <c r="AH49" s="314"/>
    </row>
    <row r="50" spans="1:34" s="351" customFormat="1" x14ac:dyDescent="0.2">
      <c r="A50" s="59"/>
      <c r="B50" s="330"/>
      <c r="C50" s="333"/>
      <c r="D50" s="352"/>
      <c r="E50" s="352"/>
      <c r="F50" s="352"/>
      <c r="G50" s="352"/>
      <c r="H50" s="352"/>
      <c r="I50" s="352"/>
      <c r="J50" s="352"/>
      <c r="K50" s="352"/>
      <c r="L50" s="352"/>
      <c r="M50" s="352"/>
      <c r="N50" s="333"/>
      <c r="O50" s="369"/>
      <c r="P50" s="59"/>
      <c r="Q50" s="352"/>
      <c r="R50" s="352"/>
      <c r="S50" s="352"/>
      <c r="T50" s="352"/>
      <c r="U50" s="352"/>
      <c r="V50" s="352"/>
      <c r="W50" s="352"/>
      <c r="X50" s="352"/>
      <c r="Y50" s="352"/>
      <c r="Z50" s="352"/>
      <c r="AA50" s="333"/>
      <c r="AB50" s="370"/>
      <c r="AC50" s="59"/>
      <c r="AD50" s="59"/>
      <c r="AE50" s="59"/>
      <c r="AF50" s="350"/>
      <c r="AH50" s="314"/>
    </row>
    <row r="51" spans="1:34" x14ac:dyDescent="0.2">
      <c r="C51" s="305" t="s">
        <v>332</v>
      </c>
      <c r="D51" s="306" t="s">
        <v>267</v>
      </c>
      <c r="E51" s="306"/>
      <c r="F51" s="306"/>
      <c r="G51" s="306"/>
      <c r="H51" s="306"/>
      <c r="I51" s="306"/>
      <c r="J51" s="306"/>
      <c r="K51" s="306"/>
      <c r="L51" s="306"/>
      <c r="M51" s="306"/>
      <c r="N51" s="307"/>
      <c r="O51" s="307"/>
      <c r="Q51" s="306" t="s">
        <v>265</v>
      </c>
      <c r="R51" s="306"/>
      <c r="S51" s="306"/>
      <c r="T51" s="306"/>
      <c r="U51" s="306"/>
      <c r="V51" s="306"/>
      <c r="W51" s="306"/>
      <c r="X51" s="306"/>
      <c r="Y51" s="306"/>
      <c r="Z51" s="306"/>
      <c r="AA51" s="307"/>
      <c r="AB51" s="307"/>
      <c r="AH51" s="314"/>
    </row>
    <row r="52" spans="1:34" ht="22" x14ac:dyDescent="0.3">
      <c r="B52" s="308" t="s">
        <v>514</v>
      </c>
      <c r="C52" s="309">
        <v>0</v>
      </c>
      <c r="D52" s="309">
        <v>1</v>
      </c>
      <c r="E52" s="309">
        <f>D52+1</f>
        <v>2</v>
      </c>
      <c r="F52" s="309">
        <f t="shared" ref="F52:G52" si="20">E52+1</f>
        <v>3</v>
      </c>
      <c r="G52" s="309">
        <f t="shared" si="20"/>
        <v>4</v>
      </c>
      <c r="H52" s="309">
        <f>G52+1</f>
        <v>5</v>
      </c>
      <c r="I52" s="309">
        <f>H52+1</f>
        <v>6</v>
      </c>
      <c r="J52" s="309">
        <f>I52+1</f>
        <v>7</v>
      </c>
      <c r="K52" s="309">
        <f t="shared" ref="K52:M52" si="21">J52+1</f>
        <v>8</v>
      </c>
      <c r="L52" s="309">
        <f t="shared" si="21"/>
        <v>9</v>
      </c>
      <c r="M52" s="309">
        <f t="shared" si="21"/>
        <v>10</v>
      </c>
      <c r="N52" s="309" t="s">
        <v>185</v>
      </c>
      <c r="O52" s="310" t="s">
        <v>506</v>
      </c>
      <c r="P52" s="311"/>
      <c r="Q52" s="309">
        <v>1</v>
      </c>
      <c r="R52" s="309">
        <f>Q52+1</f>
        <v>2</v>
      </c>
      <c r="S52" s="309">
        <f t="shared" ref="S52:T52" si="22">R52+1</f>
        <v>3</v>
      </c>
      <c r="T52" s="309">
        <f t="shared" si="22"/>
        <v>4</v>
      </c>
      <c r="U52" s="309">
        <f>T52+1</f>
        <v>5</v>
      </c>
      <c r="V52" s="309">
        <f>U52+1</f>
        <v>6</v>
      </c>
      <c r="W52" s="309">
        <f>V52+1</f>
        <v>7</v>
      </c>
      <c r="X52" s="309">
        <f t="shared" ref="X52:Z52" si="23">W52+1</f>
        <v>8</v>
      </c>
      <c r="Y52" s="309">
        <f t="shared" si="23"/>
        <v>9</v>
      </c>
      <c r="Z52" s="309">
        <f t="shared" si="23"/>
        <v>10</v>
      </c>
      <c r="AA52" s="309" t="s">
        <v>185</v>
      </c>
      <c r="AB52" s="310" t="s">
        <v>506</v>
      </c>
      <c r="AH52" s="314"/>
    </row>
    <row r="53" spans="1:34" x14ac:dyDescent="0.2">
      <c r="B53" s="330" t="s">
        <v>515</v>
      </c>
      <c r="AH53" s="314"/>
    </row>
    <row r="54" spans="1:34" x14ac:dyDescent="0.2">
      <c r="B54" s="339" t="s">
        <v>376</v>
      </c>
      <c r="C54" s="316" t="e">
        <f>'Status Quo Estimation'!E7*'1-Client Variables'!$D$11*(1-$AD54)</f>
        <v>#DIV/0!</v>
      </c>
      <c r="D54" s="371" t="e">
        <f>'Depreciation Schedule'!M291*'1-Client Variables'!$D$11*(1-$AD54)</f>
        <v>#DIV/0!</v>
      </c>
      <c r="E54" s="371" t="e">
        <f>'Depreciation Schedule'!N291*'1-Client Variables'!$D$11*(1-$AD54)</f>
        <v>#DIV/0!</v>
      </c>
      <c r="F54" s="371" t="e">
        <f>'Depreciation Schedule'!O291*'1-Client Variables'!$D$11*(1-$AD54)</f>
        <v>#DIV/0!</v>
      </c>
      <c r="G54" s="371" t="e">
        <f>'Depreciation Schedule'!P291*'1-Client Variables'!$D$11*(1-$AD54)</f>
        <v>#DIV/0!</v>
      </c>
      <c r="H54" s="371" t="e">
        <f>'Depreciation Schedule'!Q291*'1-Client Variables'!$D$11*(1-$AD54)</f>
        <v>#DIV/0!</v>
      </c>
      <c r="I54" s="371" t="e">
        <f>'Depreciation Schedule'!R291*'1-Client Variables'!$D$11*(1-$AD54)</f>
        <v>#DIV/0!</v>
      </c>
      <c r="J54" s="371" t="e">
        <f>'Depreciation Schedule'!S291*'1-Client Variables'!$D$11*(1-$AD54)</f>
        <v>#DIV/0!</v>
      </c>
      <c r="K54" s="371" t="e">
        <f>'Depreciation Schedule'!T291*'1-Client Variables'!$D$11*(1-$AD54)</f>
        <v>#DIV/0!</v>
      </c>
      <c r="L54" s="371" t="e">
        <f>'Depreciation Schedule'!U291*'1-Client Variables'!$D$11*(1-$AD54)</f>
        <v>#DIV/0!</v>
      </c>
      <c r="M54" s="371" t="e">
        <f>'Depreciation Schedule'!V291*'1-Client Variables'!$D$11*(1-$AD54)</f>
        <v>#DIV/0!</v>
      </c>
      <c r="N54" s="338" t="e">
        <f>SUM($D54:M54)</f>
        <v>#DIV/0!</v>
      </c>
      <c r="O54" s="319" t="str">
        <f>IFERROR((M54/$C54)^(1/COUNT($D$6:M$6))-1,"NA")</f>
        <v>NA</v>
      </c>
      <c r="Q54" s="371" t="e">
        <f>'Depreciation Schedule'!Y291*'1-Client Variables'!$D$11*(1-$AD54)</f>
        <v>#DIV/0!</v>
      </c>
      <c r="R54" s="371" t="e">
        <f>'Depreciation Schedule'!Z291*'1-Client Variables'!$D$11*(1-$AD54)</f>
        <v>#DIV/0!</v>
      </c>
      <c r="S54" s="371" t="e">
        <f>'Depreciation Schedule'!AA291*'1-Client Variables'!$D$11*(1-$AD54)</f>
        <v>#DIV/0!</v>
      </c>
      <c r="T54" s="371" t="e">
        <f>'Depreciation Schedule'!AB291*'1-Client Variables'!$D$11*(1-$AD54)</f>
        <v>#DIV/0!</v>
      </c>
      <c r="U54" s="371" t="e">
        <f>'Depreciation Schedule'!AC291*'1-Client Variables'!$D$11*(1-$AD54)</f>
        <v>#DIV/0!</v>
      </c>
      <c r="V54" s="371" t="e">
        <f>'Depreciation Schedule'!AD291*'1-Client Variables'!$D$11*(1-$AD54)</f>
        <v>#DIV/0!</v>
      </c>
      <c r="W54" s="371" t="e">
        <f>'Depreciation Schedule'!AE291*'1-Client Variables'!$D$11*(1-$AD54)</f>
        <v>#DIV/0!</v>
      </c>
      <c r="X54" s="371" t="e">
        <f>'Depreciation Schedule'!AF291*'1-Client Variables'!$D$11*(1-$AD54)</f>
        <v>#DIV/0!</v>
      </c>
      <c r="Y54" s="371" t="e">
        <f>'Depreciation Schedule'!AG291*'1-Client Variables'!$D$11*(1-$AD54)</f>
        <v>#DIV/0!</v>
      </c>
      <c r="Z54" s="371" t="e">
        <f>'Depreciation Schedule'!AH291*'1-Client Variables'!$D$11*(1-$AD54)</f>
        <v>#DIV/0!</v>
      </c>
      <c r="AA54" s="338" t="e">
        <f t="shared" ref="AA54" si="24">SUM(Q54:Z54)</f>
        <v>#DIV/0!</v>
      </c>
      <c r="AB54" s="319" t="str">
        <f>IFERROR((Z54/$C54)^(1/COUNT($Q$6:Z$6))-1,"NA")</f>
        <v>NA</v>
      </c>
      <c r="AD54" s="59"/>
      <c r="AH54" s="301" t="s">
        <v>266</v>
      </c>
    </row>
    <row r="55" spans="1:34" x14ac:dyDescent="0.2">
      <c r="B55" s="339" t="s">
        <v>377</v>
      </c>
      <c r="C55" s="316">
        <f>'Status Quo Estimation'!E19*'1-Client Variables'!$D$11*(1-$AD55)</f>
        <v>0</v>
      </c>
      <c r="D55" s="371">
        <f>'Depreciation Schedule'!M293*'1-Client Variables'!$D$11*(1-$AD55)</f>
        <v>0</v>
      </c>
      <c r="E55" s="371">
        <f>'Depreciation Schedule'!N293*'1-Client Variables'!$D$11*(1-$AD55)</f>
        <v>0</v>
      </c>
      <c r="F55" s="371">
        <f>'Depreciation Schedule'!O293*'1-Client Variables'!$D$11*(1-$AD55)</f>
        <v>0</v>
      </c>
      <c r="G55" s="371">
        <f>'Depreciation Schedule'!P293*'1-Client Variables'!$D$11*(1-$AD55)</f>
        <v>0</v>
      </c>
      <c r="H55" s="371">
        <f>'Depreciation Schedule'!Q293*'1-Client Variables'!$D$11*(1-$AD55)</f>
        <v>0</v>
      </c>
      <c r="I55" s="371">
        <f>'Depreciation Schedule'!R293*'1-Client Variables'!$D$11*(1-$AD55)</f>
        <v>0</v>
      </c>
      <c r="J55" s="371">
        <f>'Depreciation Schedule'!S293*'1-Client Variables'!$D$11*(1-$AD55)</f>
        <v>0</v>
      </c>
      <c r="K55" s="371">
        <f>'Depreciation Schedule'!T293*'1-Client Variables'!$D$11*(1-$AD55)</f>
        <v>0</v>
      </c>
      <c r="L55" s="371">
        <f>'Depreciation Schedule'!U293*'1-Client Variables'!$D$11*(1-$AD55)</f>
        <v>0</v>
      </c>
      <c r="M55" s="371">
        <f>'Depreciation Schedule'!V293*'1-Client Variables'!$D$11*(1-$AD55)</f>
        <v>0</v>
      </c>
      <c r="N55" s="338">
        <f>SUM($D55:M55)</f>
        <v>0</v>
      </c>
      <c r="O55" s="319" t="str">
        <f>IFERROR((M55/$C55)^(1/COUNT($D$6:M$6))-1,"NA")</f>
        <v>NA</v>
      </c>
      <c r="Q55" s="371">
        <f>'Depreciation Schedule'!Y293*'1-Client Variables'!$D$11*(1-$AD55)</f>
        <v>0</v>
      </c>
      <c r="R55" s="371">
        <f>'Depreciation Schedule'!Z293*'1-Client Variables'!$D$11*(1-$AD55)</f>
        <v>0</v>
      </c>
      <c r="S55" s="371">
        <f>'Depreciation Schedule'!AA293*'1-Client Variables'!$D$11*(1-$AD55)</f>
        <v>0</v>
      </c>
      <c r="T55" s="371">
        <f>'Depreciation Schedule'!AB293*'1-Client Variables'!$D$11*(1-$AD55)</f>
        <v>0</v>
      </c>
      <c r="U55" s="371">
        <f>'Depreciation Schedule'!AC293*'1-Client Variables'!$D$11*(1-$AD55)</f>
        <v>0</v>
      </c>
      <c r="V55" s="371">
        <f>'Depreciation Schedule'!AD293*'1-Client Variables'!$D$11*(1-$AD55)</f>
        <v>0</v>
      </c>
      <c r="W55" s="371">
        <f>'Depreciation Schedule'!AE293*'1-Client Variables'!$D$11*(1-$AD55)</f>
        <v>0</v>
      </c>
      <c r="X55" s="371">
        <f>'Depreciation Schedule'!AF293*'1-Client Variables'!$D$11*(1-$AD55)</f>
        <v>0</v>
      </c>
      <c r="Y55" s="371">
        <f>'Depreciation Schedule'!AG293*'1-Client Variables'!$D$11*(1-$AD55)</f>
        <v>0</v>
      </c>
      <c r="Z55" s="371">
        <f>'Depreciation Schedule'!AH293*'1-Client Variables'!$D$11*(1-$AD55)</f>
        <v>0</v>
      </c>
      <c r="AA55" s="338">
        <f t="shared" ref="AA55:AA56" si="25">SUM(Q55:Z55)</f>
        <v>0</v>
      </c>
      <c r="AB55" s="319" t="str">
        <f>IFERROR((Z55/$C55)^(1/COUNT($Q$6:Z$6))-1,"NA")</f>
        <v>NA</v>
      </c>
      <c r="AD55" s="59"/>
      <c r="AH55" s="301" t="s">
        <v>266</v>
      </c>
    </row>
    <row r="56" spans="1:34" x14ac:dyDescent="0.2">
      <c r="B56" s="339" t="s">
        <v>516</v>
      </c>
      <c r="C56" s="316">
        <f>'Status Quo Estimation'!E32*'1-Client Variables'!$D$11*(1-$AD56)</f>
        <v>0</v>
      </c>
      <c r="D56" s="371">
        <f>'Depreciation Schedule'!M295*'1-Client Variables'!$D$11*(1-$AD56)</f>
        <v>0</v>
      </c>
      <c r="E56" s="371">
        <f>'Depreciation Schedule'!N295*'1-Client Variables'!$D$11*(1-$AD56)</f>
        <v>0</v>
      </c>
      <c r="F56" s="371">
        <f>'Depreciation Schedule'!O295*'1-Client Variables'!$D$11*(1-$AD56)</f>
        <v>0</v>
      </c>
      <c r="G56" s="371">
        <f>'Depreciation Schedule'!P295*'1-Client Variables'!$D$11*(1-$AD56)</f>
        <v>0</v>
      </c>
      <c r="H56" s="371">
        <f>'Depreciation Schedule'!Q295*'1-Client Variables'!$D$11*(1-$AD56)</f>
        <v>0</v>
      </c>
      <c r="I56" s="371">
        <f>'Depreciation Schedule'!R295*'1-Client Variables'!$D$11*(1-$AD56)</f>
        <v>0</v>
      </c>
      <c r="J56" s="371">
        <f>'Depreciation Schedule'!S295*'1-Client Variables'!$D$11*(1-$AD56)</f>
        <v>0</v>
      </c>
      <c r="K56" s="371">
        <f>'Depreciation Schedule'!T295*'1-Client Variables'!$D$11*(1-$AD56)</f>
        <v>0</v>
      </c>
      <c r="L56" s="371">
        <f>'Depreciation Schedule'!U295*'1-Client Variables'!$D$11*(1-$AD56)</f>
        <v>0</v>
      </c>
      <c r="M56" s="371">
        <f>'Depreciation Schedule'!V295*'1-Client Variables'!$D$11*(1-$AD56)</f>
        <v>0</v>
      </c>
      <c r="N56" s="338">
        <f>SUM($D56:M56)</f>
        <v>0</v>
      </c>
      <c r="O56" s="319" t="str">
        <f>IFERROR((M56/$C56)^(1/COUNT($D$6:M$6))-1,"NA")</f>
        <v>NA</v>
      </c>
      <c r="Q56" s="371">
        <f>'Depreciation Schedule'!Y295*'1-Client Variables'!$D$11*(1-$AD56)</f>
        <v>0</v>
      </c>
      <c r="R56" s="371">
        <f>'Depreciation Schedule'!Z295*'1-Client Variables'!$D$11*(1-$AD56)</f>
        <v>0</v>
      </c>
      <c r="S56" s="371">
        <f>'Depreciation Schedule'!AA295*'1-Client Variables'!$D$11*(1-$AD56)</f>
        <v>0</v>
      </c>
      <c r="T56" s="371">
        <f>'Depreciation Schedule'!AB295*'1-Client Variables'!$D$11*(1-$AD56)</f>
        <v>0</v>
      </c>
      <c r="U56" s="371">
        <f>'Depreciation Schedule'!AC295*'1-Client Variables'!$D$11*(1-$AD56)</f>
        <v>0</v>
      </c>
      <c r="V56" s="371">
        <f>'Depreciation Schedule'!AD295*'1-Client Variables'!$D$11*(1-$AD56)</f>
        <v>0</v>
      </c>
      <c r="W56" s="371">
        <f>'Depreciation Schedule'!AE295*'1-Client Variables'!$D$11*(1-$AD56)</f>
        <v>0</v>
      </c>
      <c r="X56" s="371">
        <f>'Depreciation Schedule'!AF295*'1-Client Variables'!$D$11*(1-$AD56)</f>
        <v>0</v>
      </c>
      <c r="Y56" s="371">
        <f>'Depreciation Schedule'!AG295*'1-Client Variables'!$D$11*(1-$AD56)</f>
        <v>0</v>
      </c>
      <c r="Z56" s="371">
        <f>'Depreciation Schedule'!AH295*'1-Client Variables'!$D$11*(1-$AD56)</f>
        <v>0</v>
      </c>
      <c r="AA56" s="338">
        <f t="shared" si="25"/>
        <v>0</v>
      </c>
      <c r="AB56" s="319" t="str">
        <f>IFERROR((Z56/$C56)^(1/COUNT($Q$6:Z$6))-1,"NA")</f>
        <v>NA</v>
      </c>
      <c r="AD56" s="59"/>
      <c r="AH56" s="301" t="s">
        <v>266</v>
      </c>
    </row>
    <row r="57" spans="1:34" s="351" customFormat="1" x14ac:dyDescent="0.2">
      <c r="A57" s="59"/>
      <c r="B57" s="374" t="s">
        <v>517</v>
      </c>
      <c r="C57" s="375" t="e">
        <f>SUM(C54:C56)</f>
        <v>#DIV/0!</v>
      </c>
      <c r="D57" s="326" t="e">
        <f t="shared" ref="D57:N57" si="26">SUM(D54:D56)</f>
        <v>#DIV/0!</v>
      </c>
      <c r="E57" s="326" t="e">
        <f t="shared" si="26"/>
        <v>#DIV/0!</v>
      </c>
      <c r="F57" s="326" t="e">
        <f t="shared" si="26"/>
        <v>#DIV/0!</v>
      </c>
      <c r="G57" s="326" t="e">
        <f t="shared" si="26"/>
        <v>#DIV/0!</v>
      </c>
      <c r="H57" s="326" t="e">
        <f t="shared" si="26"/>
        <v>#DIV/0!</v>
      </c>
      <c r="I57" s="326" t="e">
        <f t="shared" si="26"/>
        <v>#DIV/0!</v>
      </c>
      <c r="J57" s="326" t="e">
        <f t="shared" si="26"/>
        <v>#DIV/0!</v>
      </c>
      <c r="K57" s="326" t="e">
        <f t="shared" si="26"/>
        <v>#DIV/0!</v>
      </c>
      <c r="L57" s="326" t="e">
        <f t="shared" si="26"/>
        <v>#DIV/0!</v>
      </c>
      <c r="M57" s="326" t="e">
        <f t="shared" si="26"/>
        <v>#DIV/0!</v>
      </c>
      <c r="N57" s="327" t="e">
        <f t="shared" si="26"/>
        <v>#DIV/0!</v>
      </c>
      <c r="O57" s="319" t="str">
        <f>IFERROR((M57/$C57)^(1/COUNT($D$6:M$6))-1,"NA")</f>
        <v>NA</v>
      </c>
      <c r="P57" s="59"/>
      <c r="Q57" s="326" t="e">
        <f t="shared" ref="Q57:AA57" si="27">SUM(Q54:Q56)</f>
        <v>#DIV/0!</v>
      </c>
      <c r="R57" s="326" t="e">
        <f t="shared" si="27"/>
        <v>#DIV/0!</v>
      </c>
      <c r="S57" s="326" t="e">
        <f t="shared" si="27"/>
        <v>#DIV/0!</v>
      </c>
      <c r="T57" s="326" t="e">
        <f t="shared" si="27"/>
        <v>#DIV/0!</v>
      </c>
      <c r="U57" s="326" t="e">
        <f t="shared" si="27"/>
        <v>#DIV/0!</v>
      </c>
      <c r="V57" s="326" t="e">
        <f t="shared" si="27"/>
        <v>#DIV/0!</v>
      </c>
      <c r="W57" s="326" t="e">
        <f t="shared" si="27"/>
        <v>#DIV/0!</v>
      </c>
      <c r="X57" s="326" t="e">
        <f t="shared" si="27"/>
        <v>#DIV/0!</v>
      </c>
      <c r="Y57" s="326" t="e">
        <f t="shared" si="27"/>
        <v>#DIV/0!</v>
      </c>
      <c r="Z57" s="326" t="e">
        <f t="shared" si="27"/>
        <v>#DIV/0!</v>
      </c>
      <c r="AA57" s="327" t="e">
        <f t="shared" si="27"/>
        <v>#DIV/0!</v>
      </c>
      <c r="AB57" s="319" t="str">
        <f>IFERROR((Z57/$C57)^(1/COUNT($Q$6:Z$6))-1,"NA")</f>
        <v>NA</v>
      </c>
      <c r="AC57" s="59"/>
      <c r="AD57" s="59"/>
      <c r="AE57" s="59"/>
      <c r="AF57" s="350"/>
      <c r="AH57" s="314"/>
    </row>
    <row r="58" spans="1:34" s="351" customFormat="1" ht="8.25" customHeight="1" x14ac:dyDescent="0.2">
      <c r="A58" s="59"/>
      <c r="B58" s="330"/>
      <c r="C58" s="59"/>
      <c r="D58" s="352"/>
      <c r="E58" s="352"/>
      <c r="F58" s="352"/>
      <c r="G58" s="352"/>
      <c r="H58" s="352"/>
      <c r="I58" s="352"/>
      <c r="J58" s="352"/>
      <c r="K58" s="352"/>
      <c r="L58" s="352"/>
      <c r="M58" s="352"/>
      <c r="N58" s="333"/>
      <c r="O58" s="376"/>
      <c r="P58" s="59"/>
      <c r="Q58" s="59"/>
      <c r="R58" s="59"/>
      <c r="S58" s="59"/>
      <c r="T58" s="59"/>
      <c r="U58" s="59"/>
      <c r="V58" s="59"/>
      <c r="W58" s="59"/>
      <c r="X58" s="59"/>
      <c r="Y58" s="59"/>
      <c r="Z58" s="59"/>
      <c r="AA58" s="59"/>
      <c r="AB58" s="376"/>
      <c r="AC58" s="59"/>
      <c r="AD58" s="59"/>
      <c r="AE58" s="59"/>
      <c r="AF58" s="350"/>
      <c r="AH58" s="314"/>
    </row>
    <row r="59" spans="1:34" x14ac:dyDescent="0.2">
      <c r="B59" s="330" t="s">
        <v>518</v>
      </c>
      <c r="O59" s="377"/>
      <c r="AB59" s="377"/>
      <c r="AD59" s="59"/>
      <c r="AH59" s="314"/>
    </row>
    <row r="60" spans="1:34" x14ac:dyDescent="0.2">
      <c r="B60" s="339" t="s">
        <v>339</v>
      </c>
      <c r="C60" s="316" t="e">
        <f>'Status Quo Estimation'!C94*'1-Client Variables'!$D$11*(1-$AD60)</f>
        <v>#DIV/0!</v>
      </c>
      <c r="D60" s="371" t="e">
        <f>'Depreciation Schedule'!M292*'1-Client Variables'!$D$11*(1-$AD60)</f>
        <v>#DIV/0!</v>
      </c>
      <c r="E60" s="371" t="e">
        <f>'Depreciation Schedule'!N292*'1-Client Variables'!$D$11*(1-$AD60)</f>
        <v>#DIV/0!</v>
      </c>
      <c r="F60" s="371" t="e">
        <f>'Depreciation Schedule'!O292*'1-Client Variables'!$D$11*(1-$AD60)</f>
        <v>#DIV/0!</v>
      </c>
      <c r="G60" s="371" t="e">
        <f>'Depreciation Schedule'!P292*'1-Client Variables'!$D$11*(1-$AD60)</f>
        <v>#DIV/0!</v>
      </c>
      <c r="H60" s="371" t="e">
        <f>'Depreciation Schedule'!Q292*'1-Client Variables'!$D$11*(1-$AD60)</f>
        <v>#DIV/0!</v>
      </c>
      <c r="I60" s="371" t="e">
        <f>'Depreciation Schedule'!R292*'1-Client Variables'!$D$11*(1-$AD60)</f>
        <v>#DIV/0!</v>
      </c>
      <c r="J60" s="371" t="e">
        <f>'Depreciation Schedule'!S292*'1-Client Variables'!$D$11*(1-$AD60)</f>
        <v>#DIV/0!</v>
      </c>
      <c r="K60" s="371" t="e">
        <f>'Depreciation Schedule'!T292*'1-Client Variables'!$D$11*(1-$AD60)</f>
        <v>#DIV/0!</v>
      </c>
      <c r="L60" s="371" t="e">
        <f>'Depreciation Schedule'!U292*'1-Client Variables'!$D$11*(1-$AD60)</f>
        <v>#DIV/0!</v>
      </c>
      <c r="M60" s="371" t="e">
        <f>'Depreciation Schedule'!V292*'1-Client Variables'!$D$11*(1-$AD60)</f>
        <v>#DIV/0!</v>
      </c>
      <c r="N60" s="338" t="e">
        <f>SUM($D60:M60)</f>
        <v>#DIV/0!</v>
      </c>
      <c r="O60" s="319" t="str">
        <f>IFERROR((M60/$C60)^(1/COUNT($D$6:M$6))-1,"NA")</f>
        <v>NA</v>
      </c>
      <c r="Q60" s="371" t="e">
        <f>'Depreciation Schedule'!Y292*'1-Client Variables'!$D$11*(1-$AD60)</f>
        <v>#DIV/0!</v>
      </c>
      <c r="R60" s="371" t="e">
        <f>'Depreciation Schedule'!Z292*'1-Client Variables'!$D$11*(1-$AD60)</f>
        <v>#DIV/0!</v>
      </c>
      <c r="S60" s="371" t="e">
        <f>'Depreciation Schedule'!AA292*'1-Client Variables'!$D$11*(1-$AD60)</f>
        <v>#DIV/0!</v>
      </c>
      <c r="T60" s="371" t="e">
        <f>'Depreciation Schedule'!AB292*'1-Client Variables'!$D$11*(1-$AD60)</f>
        <v>#DIV/0!</v>
      </c>
      <c r="U60" s="371" t="e">
        <f>'Depreciation Schedule'!AC292*'1-Client Variables'!$D$11*(1-$AD60)</f>
        <v>#DIV/0!</v>
      </c>
      <c r="V60" s="371" t="e">
        <f>'Depreciation Schedule'!AD292*'1-Client Variables'!$D$11*(1-$AD60)</f>
        <v>#DIV/0!</v>
      </c>
      <c r="W60" s="371" t="e">
        <f>'Depreciation Schedule'!AE292*'1-Client Variables'!$D$11*(1-$AD60)</f>
        <v>#DIV/0!</v>
      </c>
      <c r="X60" s="371" t="e">
        <f>'Depreciation Schedule'!AF292*'1-Client Variables'!$D$11*(1-$AD60)</f>
        <v>#DIV/0!</v>
      </c>
      <c r="Y60" s="371" t="e">
        <f>'Depreciation Schedule'!AG292*'1-Client Variables'!$D$11*(1-$AD60)</f>
        <v>#DIV/0!</v>
      </c>
      <c r="Z60" s="371" t="e">
        <f>'Depreciation Schedule'!AH292*'1-Client Variables'!$D$11*(1-$AD60)</f>
        <v>#DIV/0!</v>
      </c>
      <c r="AA60" s="338" t="e">
        <f t="shared" ref="AA60:AA71" si="28">SUM(Q60:Z60)</f>
        <v>#DIV/0!</v>
      </c>
      <c r="AB60" s="319" t="str">
        <f>IFERROR((Z60/$C60)^(1/COUNT($Q$6:Z$6))-1,"NA")</f>
        <v>NA</v>
      </c>
      <c r="AD60" s="59"/>
      <c r="AH60" s="301" t="s">
        <v>268</v>
      </c>
    </row>
    <row r="61" spans="1:34" x14ac:dyDescent="0.2">
      <c r="B61" s="339" t="s">
        <v>341</v>
      </c>
      <c r="C61" s="316">
        <f>'Status Quo Estimation'!C102*'1-Client Variables'!$D$11*(1-$AD61)</f>
        <v>0</v>
      </c>
      <c r="D61" s="371">
        <f>'Depreciation Schedule'!M294*'1-Client Variables'!$D$11*(1-$AD61)</f>
        <v>0</v>
      </c>
      <c r="E61" s="371">
        <f>'Depreciation Schedule'!N294*'1-Client Variables'!$D$11*(1-$AD61)</f>
        <v>0</v>
      </c>
      <c r="F61" s="371">
        <f>'Depreciation Schedule'!O294*'1-Client Variables'!$D$11*(1-$AD61)</f>
        <v>0</v>
      </c>
      <c r="G61" s="371">
        <f>'Depreciation Schedule'!P294*'1-Client Variables'!$D$11*(1-$AD61)</f>
        <v>0</v>
      </c>
      <c r="H61" s="371">
        <f>'Depreciation Schedule'!Q294*'1-Client Variables'!$D$11*(1-$AD61)</f>
        <v>0</v>
      </c>
      <c r="I61" s="371">
        <f>'Depreciation Schedule'!R294*'1-Client Variables'!$D$11*(1-$AD61)</f>
        <v>0</v>
      </c>
      <c r="J61" s="371">
        <f>'Depreciation Schedule'!S294*'1-Client Variables'!$D$11*(1-$AD61)</f>
        <v>0</v>
      </c>
      <c r="K61" s="371">
        <f>'Depreciation Schedule'!T294*'1-Client Variables'!$D$11*(1-$AD61)</f>
        <v>0</v>
      </c>
      <c r="L61" s="371">
        <f>'Depreciation Schedule'!U294*'1-Client Variables'!$D$11*(1-$AD61)</f>
        <v>0</v>
      </c>
      <c r="M61" s="371">
        <f>'Depreciation Schedule'!V294*'1-Client Variables'!$D$11*(1-$AD61)</f>
        <v>0</v>
      </c>
      <c r="N61" s="338">
        <f>SUM($D61:M61)</f>
        <v>0</v>
      </c>
      <c r="O61" s="319" t="str">
        <f>IFERROR((M61/$C61)^(1/COUNT($D$6:M$6))-1,"NA")</f>
        <v>NA</v>
      </c>
      <c r="Q61" s="371">
        <f>'Depreciation Schedule'!Y294*'1-Client Variables'!$D$11*(1-$AD61)</f>
        <v>0</v>
      </c>
      <c r="R61" s="371">
        <f>'Depreciation Schedule'!Z294*'1-Client Variables'!$D$11*(1-$AD61)</f>
        <v>0</v>
      </c>
      <c r="S61" s="371">
        <f>'Depreciation Schedule'!AA294*'1-Client Variables'!$D$11*(1-$AD61)</f>
        <v>0</v>
      </c>
      <c r="T61" s="371">
        <f>'Depreciation Schedule'!AB294*'1-Client Variables'!$D$11*(1-$AD61)</f>
        <v>0</v>
      </c>
      <c r="U61" s="371">
        <f>'Depreciation Schedule'!AC294*'1-Client Variables'!$D$11*(1-$AD61)</f>
        <v>0</v>
      </c>
      <c r="V61" s="371">
        <f>'Depreciation Schedule'!AD294*'1-Client Variables'!$D$11*(1-$AD61)</f>
        <v>0</v>
      </c>
      <c r="W61" s="371">
        <f>'Depreciation Schedule'!AE294*'1-Client Variables'!$D$11*(1-$AD61)</f>
        <v>0</v>
      </c>
      <c r="X61" s="371">
        <f>'Depreciation Schedule'!AF294*'1-Client Variables'!$D$11*(1-$AD61)</f>
        <v>0</v>
      </c>
      <c r="Y61" s="371">
        <f>'Depreciation Schedule'!AG294*'1-Client Variables'!$D$11*(1-$AD61)</f>
        <v>0</v>
      </c>
      <c r="Z61" s="371">
        <f>'Depreciation Schedule'!AH294*'1-Client Variables'!$D$11*(1-$AD61)</f>
        <v>0</v>
      </c>
      <c r="AA61" s="338">
        <f t="shared" si="28"/>
        <v>0</v>
      </c>
      <c r="AB61" s="319" t="str">
        <f>IFERROR((Z61/$C61)^(1/COUNT($Q$6:Z$6))-1,"NA")</f>
        <v>NA</v>
      </c>
      <c r="AD61" s="59"/>
      <c r="AH61" s="301" t="s">
        <v>268</v>
      </c>
    </row>
    <row r="62" spans="1:34" x14ac:dyDescent="0.2">
      <c r="B62" s="339" t="s">
        <v>345</v>
      </c>
      <c r="C62" s="316">
        <f>'Status Quo Estimation'!C110*'1-Client Variables'!$D$11*(1-$AD62)</f>
        <v>0</v>
      </c>
      <c r="D62" s="371">
        <f>'Depreciation Schedule'!M296*'1-Client Variables'!$D$11*(1-$AD62)</f>
        <v>0</v>
      </c>
      <c r="E62" s="371">
        <f>'Depreciation Schedule'!N296*'1-Client Variables'!$D$11*(1-$AD62)</f>
        <v>0</v>
      </c>
      <c r="F62" s="371">
        <f>'Depreciation Schedule'!O296*'1-Client Variables'!$D$11*(1-$AD62)</f>
        <v>0</v>
      </c>
      <c r="G62" s="371">
        <f>'Depreciation Schedule'!P296*'1-Client Variables'!$D$11*(1-$AD62)</f>
        <v>0</v>
      </c>
      <c r="H62" s="371">
        <f>'Depreciation Schedule'!Q296*'1-Client Variables'!$D$11*(1-$AD62)</f>
        <v>0</v>
      </c>
      <c r="I62" s="371">
        <f>'Depreciation Schedule'!R296*'1-Client Variables'!$D$11*(1-$AD62)</f>
        <v>0</v>
      </c>
      <c r="J62" s="371">
        <f>'Depreciation Schedule'!S296*'1-Client Variables'!$D$11*(1-$AD62)</f>
        <v>0</v>
      </c>
      <c r="K62" s="371">
        <f>'Depreciation Schedule'!T296*'1-Client Variables'!$D$11*(1-$AD62)</f>
        <v>0</v>
      </c>
      <c r="L62" s="371">
        <f>'Depreciation Schedule'!U296*'1-Client Variables'!$D$11*(1-$AD62)</f>
        <v>0</v>
      </c>
      <c r="M62" s="371">
        <f>'Depreciation Schedule'!V296*'1-Client Variables'!$D$11*(1-$AD62)</f>
        <v>0</v>
      </c>
      <c r="N62" s="338">
        <f>SUM($D62:M62)</f>
        <v>0</v>
      </c>
      <c r="O62" s="319" t="str">
        <f>IFERROR((M62/$C62)^(1/COUNT($D$6:M$6))-1,"NA")</f>
        <v>NA</v>
      </c>
      <c r="Q62" s="371">
        <f>'Depreciation Schedule'!Y296*'1-Client Variables'!$D$11*(1-$AD62)</f>
        <v>0</v>
      </c>
      <c r="R62" s="371">
        <f>'Depreciation Schedule'!Z296*'1-Client Variables'!$D$11*(1-$AD62)</f>
        <v>0</v>
      </c>
      <c r="S62" s="371">
        <f>'Depreciation Schedule'!AA296*'1-Client Variables'!$D$11*(1-$AD62)</f>
        <v>0</v>
      </c>
      <c r="T62" s="371">
        <f>'Depreciation Schedule'!AB296*'1-Client Variables'!$D$11*(1-$AD62)</f>
        <v>0</v>
      </c>
      <c r="U62" s="371">
        <f>'Depreciation Schedule'!AC296*'1-Client Variables'!$D$11*(1-$AD62)</f>
        <v>0</v>
      </c>
      <c r="V62" s="371">
        <f>'Depreciation Schedule'!AD296*'1-Client Variables'!$D$11*(1-$AD62)</f>
        <v>0</v>
      </c>
      <c r="W62" s="371">
        <f>'Depreciation Schedule'!AE296*'1-Client Variables'!$D$11*(1-$AD62)</f>
        <v>0</v>
      </c>
      <c r="X62" s="371">
        <f>'Depreciation Schedule'!AF296*'1-Client Variables'!$D$11*(1-$AD62)</f>
        <v>0</v>
      </c>
      <c r="Y62" s="371">
        <f>'Depreciation Schedule'!AG296*'1-Client Variables'!$D$11*(1-$AD62)</f>
        <v>0</v>
      </c>
      <c r="Z62" s="371">
        <f>'Depreciation Schedule'!AH296*'1-Client Variables'!$D$11*(1-$AD62)</f>
        <v>0</v>
      </c>
      <c r="AA62" s="338">
        <f t="shared" si="28"/>
        <v>0</v>
      </c>
      <c r="AB62" s="319" t="str">
        <f>IFERROR((Z62/$C62)^(1/COUNT($Q$6:Z$6))-1,"NA")</f>
        <v>NA</v>
      </c>
      <c r="AD62" s="59"/>
      <c r="AH62" s="301" t="s">
        <v>268</v>
      </c>
    </row>
    <row r="63" spans="1:34" x14ac:dyDescent="0.2">
      <c r="B63" s="339" t="s">
        <v>342</v>
      </c>
      <c r="C63" s="316">
        <f t="shared" ref="C63:M63" si="29">C12</f>
        <v>0</v>
      </c>
      <c r="D63" s="372">
        <f t="shared" si="29"/>
        <v>0</v>
      </c>
      <c r="E63" s="372">
        <f t="shared" si="29"/>
        <v>0</v>
      </c>
      <c r="F63" s="372">
        <f t="shared" si="29"/>
        <v>0</v>
      </c>
      <c r="G63" s="372">
        <f t="shared" si="29"/>
        <v>0</v>
      </c>
      <c r="H63" s="372">
        <f t="shared" si="29"/>
        <v>0</v>
      </c>
      <c r="I63" s="372">
        <f t="shared" si="29"/>
        <v>0</v>
      </c>
      <c r="J63" s="372">
        <f t="shared" si="29"/>
        <v>0</v>
      </c>
      <c r="K63" s="372">
        <f t="shared" si="29"/>
        <v>0</v>
      </c>
      <c r="L63" s="372">
        <f t="shared" si="29"/>
        <v>0</v>
      </c>
      <c r="M63" s="372">
        <f t="shared" si="29"/>
        <v>0</v>
      </c>
      <c r="N63" s="338">
        <f>SUM($D63:M63)</f>
        <v>0</v>
      </c>
      <c r="O63" s="319" t="str">
        <f>IFERROR((M63/$C63)^(1/COUNT($D$6:M$6))-1,"NA")</f>
        <v>NA</v>
      </c>
      <c r="Q63" s="373">
        <f t="shared" ref="Q63:Z63" si="30">Q12</f>
        <v>0</v>
      </c>
      <c r="R63" s="373">
        <f t="shared" si="30"/>
        <v>0</v>
      </c>
      <c r="S63" s="373">
        <f t="shared" si="30"/>
        <v>0</v>
      </c>
      <c r="T63" s="373">
        <f t="shared" si="30"/>
        <v>0</v>
      </c>
      <c r="U63" s="373">
        <f t="shared" si="30"/>
        <v>0</v>
      </c>
      <c r="V63" s="373">
        <f t="shared" si="30"/>
        <v>0</v>
      </c>
      <c r="W63" s="373">
        <f t="shared" si="30"/>
        <v>0</v>
      </c>
      <c r="X63" s="373">
        <f t="shared" si="30"/>
        <v>0</v>
      </c>
      <c r="Y63" s="373">
        <f t="shared" si="30"/>
        <v>0</v>
      </c>
      <c r="Z63" s="373">
        <f t="shared" si="30"/>
        <v>0</v>
      </c>
      <c r="AA63" s="338">
        <f t="shared" si="28"/>
        <v>0</v>
      </c>
      <c r="AB63" s="319" t="str">
        <f>IFERROR((Z63/$C63)^(1/COUNT($Q$6:Z$6))-1,"NA")</f>
        <v>NA</v>
      </c>
      <c r="AD63" s="59"/>
      <c r="AH63" s="301" t="s">
        <v>268</v>
      </c>
    </row>
    <row r="64" spans="1:34" x14ac:dyDescent="0.2">
      <c r="B64" s="339" t="s">
        <v>343</v>
      </c>
      <c r="C64" s="316">
        <f t="shared" ref="C64:M64" si="31">C13</f>
        <v>0</v>
      </c>
      <c r="D64" s="372">
        <f t="shared" si="31"/>
        <v>0</v>
      </c>
      <c r="E64" s="372">
        <f t="shared" si="31"/>
        <v>0</v>
      </c>
      <c r="F64" s="372">
        <f t="shared" si="31"/>
        <v>0</v>
      </c>
      <c r="G64" s="372">
        <f t="shared" si="31"/>
        <v>0</v>
      </c>
      <c r="H64" s="372">
        <f t="shared" si="31"/>
        <v>0</v>
      </c>
      <c r="I64" s="372">
        <f t="shared" si="31"/>
        <v>0</v>
      </c>
      <c r="J64" s="372">
        <f t="shared" si="31"/>
        <v>0</v>
      </c>
      <c r="K64" s="372">
        <f t="shared" si="31"/>
        <v>0</v>
      </c>
      <c r="L64" s="372">
        <f t="shared" si="31"/>
        <v>0</v>
      </c>
      <c r="M64" s="372">
        <f t="shared" si="31"/>
        <v>0</v>
      </c>
      <c r="N64" s="338">
        <f>SUM($D64:M64)</f>
        <v>0</v>
      </c>
      <c r="O64" s="319" t="str">
        <f>IFERROR((M64/$C64)^(1/COUNT($D$6:M$6))-1,"NA")</f>
        <v>NA</v>
      </c>
      <c r="Q64" s="373">
        <f t="shared" ref="Q64:Z64" si="32">Q13</f>
        <v>0</v>
      </c>
      <c r="R64" s="373">
        <f t="shared" si="32"/>
        <v>0</v>
      </c>
      <c r="S64" s="373">
        <f t="shared" si="32"/>
        <v>0</v>
      </c>
      <c r="T64" s="373">
        <f t="shared" si="32"/>
        <v>0</v>
      </c>
      <c r="U64" s="373">
        <f t="shared" si="32"/>
        <v>0</v>
      </c>
      <c r="V64" s="373">
        <f t="shared" si="32"/>
        <v>0</v>
      </c>
      <c r="W64" s="373">
        <f t="shared" si="32"/>
        <v>0</v>
      </c>
      <c r="X64" s="373">
        <f t="shared" si="32"/>
        <v>0</v>
      </c>
      <c r="Y64" s="373">
        <f t="shared" si="32"/>
        <v>0</v>
      </c>
      <c r="Z64" s="373">
        <f t="shared" si="32"/>
        <v>0</v>
      </c>
      <c r="AA64" s="338">
        <f t="shared" si="28"/>
        <v>0</v>
      </c>
      <c r="AB64" s="319" t="str">
        <f>IFERROR((Z64/$C64)^(1/COUNT($Q$6:Z$6))-1,"NA")</f>
        <v>NA</v>
      </c>
      <c r="AD64" s="59"/>
      <c r="AH64" s="301" t="s">
        <v>268</v>
      </c>
    </row>
    <row r="65" spans="1:34" x14ac:dyDescent="0.2">
      <c r="B65" s="339" t="s">
        <v>348</v>
      </c>
      <c r="C65" s="316">
        <f t="shared" ref="C65:M65" si="33">C18</f>
        <v>0</v>
      </c>
      <c r="D65" s="372">
        <f t="shared" si="33"/>
        <v>0</v>
      </c>
      <c r="E65" s="372">
        <f t="shared" si="33"/>
        <v>0</v>
      </c>
      <c r="F65" s="372">
        <f t="shared" si="33"/>
        <v>0</v>
      </c>
      <c r="G65" s="372">
        <f t="shared" si="33"/>
        <v>0</v>
      </c>
      <c r="H65" s="372">
        <f t="shared" si="33"/>
        <v>0</v>
      </c>
      <c r="I65" s="372">
        <f t="shared" si="33"/>
        <v>0</v>
      </c>
      <c r="J65" s="372">
        <f t="shared" si="33"/>
        <v>0</v>
      </c>
      <c r="K65" s="372">
        <f t="shared" si="33"/>
        <v>0</v>
      </c>
      <c r="L65" s="372">
        <f t="shared" si="33"/>
        <v>0</v>
      </c>
      <c r="M65" s="372">
        <f t="shared" si="33"/>
        <v>0</v>
      </c>
      <c r="N65" s="338">
        <f>SUM($D65:M65)</f>
        <v>0</v>
      </c>
      <c r="O65" s="319" t="str">
        <f>IFERROR((M65/$C65)^(1/COUNT($D$6:M$6))-1,"NA")</f>
        <v>NA</v>
      </c>
      <c r="Q65" s="373">
        <f t="shared" ref="Q65:Z65" si="34">Q18</f>
        <v>0</v>
      </c>
      <c r="R65" s="373">
        <f t="shared" si="34"/>
        <v>0</v>
      </c>
      <c r="S65" s="373">
        <f t="shared" si="34"/>
        <v>0</v>
      </c>
      <c r="T65" s="373">
        <f t="shared" si="34"/>
        <v>0</v>
      </c>
      <c r="U65" s="373">
        <f t="shared" si="34"/>
        <v>0</v>
      </c>
      <c r="V65" s="373">
        <f t="shared" si="34"/>
        <v>0</v>
      </c>
      <c r="W65" s="373">
        <f t="shared" si="34"/>
        <v>0</v>
      </c>
      <c r="X65" s="373">
        <f t="shared" si="34"/>
        <v>0</v>
      </c>
      <c r="Y65" s="373">
        <f t="shared" si="34"/>
        <v>0</v>
      </c>
      <c r="Z65" s="373">
        <f t="shared" si="34"/>
        <v>0</v>
      </c>
      <c r="AA65" s="338">
        <f t="shared" si="28"/>
        <v>0</v>
      </c>
      <c r="AB65" s="319" t="str">
        <f>IFERROR((Z65/$C65)^(1/COUNT($Q$6:Z$6))-1,"NA")</f>
        <v>NA</v>
      </c>
      <c r="AD65" s="59"/>
      <c r="AH65" s="301" t="s">
        <v>268</v>
      </c>
    </row>
    <row r="66" spans="1:34" x14ac:dyDescent="0.2">
      <c r="B66" s="339" t="s">
        <v>349</v>
      </c>
      <c r="C66" s="316" t="e">
        <f>C20</f>
        <v>#DIV/0!</v>
      </c>
      <c r="D66" s="372" t="e">
        <f t="shared" ref="D66:M66" si="35">D20</f>
        <v>#DIV/0!</v>
      </c>
      <c r="E66" s="372" t="e">
        <f t="shared" si="35"/>
        <v>#DIV/0!</v>
      </c>
      <c r="F66" s="372" t="e">
        <f t="shared" si="35"/>
        <v>#DIV/0!</v>
      </c>
      <c r="G66" s="372" t="e">
        <f t="shared" si="35"/>
        <v>#DIV/0!</v>
      </c>
      <c r="H66" s="372" t="e">
        <f t="shared" si="35"/>
        <v>#DIV/0!</v>
      </c>
      <c r="I66" s="372" t="e">
        <f t="shared" si="35"/>
        <v>#DIV/0!</v>
      </c>
      <c r="J66" s="372" t="e">
        <f t="shared" si="35"/>
        <v>#DIV/0!</v>
      </c>
      <c r="K66" s="372" t="e">
        <f t="shared" si="35"/>
        <v>#DIV/0!</v>
      </c>
      <c r="L66" s="372" t="e">
        <f t="shared" si="35"/>
        <v>#DIV/0!</v>
      </c>
      <c r="M66" s="372" t="e">
        <f t="shared" si="35"/>
        <v>#DIV/0!</v>
      </c>
      <c r="N66" s="338" t="e">
        <f>SUM($D66:M66)</f>
        <v>#DIV/0!</v>
      </c>
      <c r="O66" s="319" t="str">
        <f>IFERROR((M66/$C66)^(1/COUNT($D$6:M$6))-1,"NA")</f>
        <v>NA</v>
      </c>
      <c r="Q66" s="373" t="e">
        <f>Q20</f>
        <v>#DIV/0!</v>
      </c>
      <c r="R66" s="373" t="e">
        <f t="shared" ref="R66:Z66" si="36">R20</f>
        <v>#DIV/0!</v>
      </c>
      <c r="S66" s="373" t="e">
        <f t="shared" si="36"/>
        <v>#DIV/0!</v>
      </c>
      <c r="T66" s="373" t="e">
        <f t="shared" si="36"/>
        <v>#DIV/0!</v>
      </c>
      <c r="U66" s="373" t="e">
        <f t="shared" si="36"/>
        <v>#DIV/0!</v>
      </c>
      <c r="V66" s="373" t="e">
        <f t="shared" si="36"/>
        <v>#DIV/0!</v>
      </c>
      <c r="W66" s="373" t="e">
        <f t="shared" si="36"/>
        <v>#DIV/0!</v>
      </c>
      <c r="X66" s="373" t="e">
        <f t="shared" si="36"/>
        <v>#DIV/0!</v>
      </c>
      <c r="Y66" s="373" t="e">
        <f t="shared" si="36"/>
        <v>#DIV/0!</v>
      </c>
      <c r="Z66" s="373" t="e">
        <f t="shared" si="36"/>
        <v>#DIV/0!</v>
      </c>
      <c r="AA66" s="338" t="e">
        <f t="shared" si="28"/>
        <v>#DIV/0!</v>
      </c>
      <c r="AB66" s="319" t="str">
        <f>IFERROR((Z66/$C66)^(1/COUNT($Q$6:Z$6))-1,"NA")</f>
        <v>NA</v>
      </c>
      <c r="AD66" s="59"/>
      <c r="AH66" s="301" t="s">
        <v>268</v>
      </c>
    </row>
    <row r="67" spans="1:34" x14ac:dyDescent="0.2">
      <c r="B67" s="339" t="s">
        <v>350</v>
      </c>
      <c r="C67" s="316" t="e">
        <f t="shared" ref="C67:M67" si="37">C21</f>
        <v>#DIV/0!</v>
      </c>
      <c r="D67" s="372" t="e">
        <f t="shared" si="37"/>
        <v>#DIV/0!</v>
      </c>
      <c r="E67" s="372" t="e">
        <f t="shared" si="37"/>
        <v>#DIV/0!</v>
      </c>
      <c r="F67" s="372" t="e">
        <f t="shared" si="37"/>
        <v>#DIV/0!</v>
      </c>
      <c r="G67" s="372" t="e">
        <f t="shared" si="37"/>
        <v>#DIV/0!</v>
      </c>
      <c r="H67" s="372" t="e">
        <f t="shared" si="37"/>
        <v>#DIV/0!</v>
      </c>
      <c r="I67" s="372" t="e">
        <f t="shared" si="37"/>
        <v>#DIV/0!</v>
      </c>
      <c r="J67" s="372" t="e">
        <f t="shared" si="37"/>
        <v>#DIV/0!</v>
      </c>
      <c r="K67" s="372" t="e">
        <f t="shared" si="37"/>
        <v>#DIV/0!</v>
      </c>
      <c r="L67" s="372" t="e">
        <f t="shared" si="37"/>
        <v>#DIV/0!</v>
      </c>
      <c r="M67" s="372" t="e">
        <f t="shared" si="37"/>
        <v>#DIV/0!</v>
      </c>
      <c r="N67" s="338" t="e">
        <f>SUM($D67:M67)</f>
        <v>#DIV/0!</v>
      </c>
      <c r="O67" s="319" t="str">
        <f>IFERROR((M67/$C67)^(1/COUNT($D$6:M$6))-1,"NA")</f>
        <v>NA</v>
      </c>
      <c r="Q67" s="373" t="e">
        <f t="shared" ref="Q67:Z67" si="38">Q21</f>
        <v>#DIV/0!</v>
      </c>
      <c r="R67" s="373" t="e">
        <f t="shared" si="38"/>
        <v>#DIV/0!</v>
      </c>
      <c r="S67" s="373" t="e">
        <f t="shared" si="38"/>
        <v>#DIV/0!</v>
      </c>
      <c r="T67" s="373" t="e">
        <f t="shared" si="38"/>
        <v>#DIV/0!</v>
      </c>
      <c r="U67" s="373" t="e">
        <f t="shared" si="38"/>
        <v>#DIV/0!</v>
      </c>
      <c r="V67" s="373" t="e">
        <f t="shared" si="38"/>
        <v>#DIV/0!</v>
      </c>
      <c r="W67" s="373" t="e">
        <f t="shared" si="38"/>
        <v>#DIV/0!</v>
      </c>
      <c r="X67" s="373" t="e">
        <f t="shared" si="38"/>
        <v>#DIV/0!</v>
      </c>
      <c r="Y67" s="373" t="e">
        <f t="shared" si="38"/>
        <v>#DIV/0!</v>
      </c>
      <c r="Z67" s="373" t="e">
        <f t="shared" si="38"/>
        <v>#DIV/0!</v>
      </c>
      <c r="AA67" s="338" t="e">
        <f t="shared" ref="AA67" si="39">SUM(Q67:Z67)</f>
        <v>#DIV/0!</v>
      </c>
      <c r="AB67" s="319" t="str">
        <f>IFERROR((Z67/$C67)^(1/COUNT($Q$6:Z$6))-1,"NA")</f>
        <v>NA</v>
      </c>
      <c r="AD67" s="59"/>
      <c r="AH67" s="301" t="s">
        <v>268</v>
      </c>
    </row>
    <row r="68" spans="1:34" x14ac:dyDescent="0.2">
      <c r="B68" s="339" t="s">
        <v>519</v>
      </c>
      <c r="C68" s="316" t="e">
        <f t="shared" ref="C68:M68" si="40">C31</f>
        <v>#DIV/0!</v>
      </c>
      <c r="D68" s="372" t="e">
        <f>D31</f>
        <v>#DIV/0!</v>
      </c>
      <c r="E68" s="372" t="e">
        <f t="shared" si="40"/>
        <v>#DIV/0!</v>
      </c>
      <c r="F68" s="372" t="e">
        <f t="shared" si="40"/>
        <v>#DIV/0!</v>
      </c>
      <c r="G68" s="372" t="e">
        <f t="shared" si="40"/>
        <v>#DIV/0!</v>
      </c>
      <c r="H68" s="372" t="e">
        <f t="shared" si="40"/>
        <v>#DIV/0!</v>
      </c>
      <c r="I68" s="372" t="e">
        <f t="shared" si="40"/>
        <v>#DIV/0!</v>
      </c>
      <c r="J68" s="372" t="e">
        <f t="shared" si="40"/>
        <v>#DIV/0!</v>
      </c>
      <c r="K68" s="372" t="e">
        <f t="shared" si="40"/>
        <v>#DIV/0!</v>
      </c>
      <c r="L68" s="372" t="e">
        <f t="shared" si="40"/>
        <v>#DIV/0!</v>
      </c>
      <c r="M68" s="372" t="e">
        <f t="shared" si="40"/>
        <v>#DIV/0!</v>
      </c>
      <c r="N68" s="338" t="e">
        <f>SUM($D68:M68)</f>
        <v>#DIV/0!</v>
      </c>
      <c r="O68" s="319" t="str">
        <f>IFERROR((M68/$C68)^(1/COUNT($D$6:M$6))-1,"NA")</f>
        <v>NA</v>
      </c>
      <c r="Q68" s="373" t="e">
        <f t="shared" ref="Q68:Z68" si="41">Q31</f>
        <v>#DIV/0!</v>
      </c>
      <c r="R68" s="373" t="e">
        <f t="shared" si="41"/>
        <v>#DIV/0!</v>
      </c>
      <c r="S68" s="373" t="e">
        <f t="shared" si="41"/>
        <v>#DIV/0!</v>
      </c>
      <c r="T68" s="373" t="e">
        <f t="shared" si="41"/>
        <v>#DIV/0!</v>
      </c>
      <c r="U68" s="373" t="e">
        <f t="shared" si="41"/>
        <v>#DIV/0!</v>
      </c>
      <c r="V68" s="373" t="e">
        <f t="shared" si="41"/>
        <v>#DIV/0!</v>
      </c>
      <c r="W68" s="373" t="e">
        <f t="shared" si="41"/>
        <v>#DIV/0!</v>
      </c>
      <c r="X68" s="373" t="e">
        <f t="shared" si="41"/>
        <v>#DIV/0!</v>
      </c>
      <c r="Y68" s="373" t="e">
        <f t="shared" si="41"/>
        <v>#DIV/0!</v>
      </c>
      <c r="Z68" s="373" t="e">
        <f t="shared" si="41"/>
        <v>#DIV/0!</v>
      </c>
      <c r="AA68" s="338" t="e">
        <f>SUM(Q68:Z68)</f>
        <v>#DIV/0!</v>
      </c>
      <c r="AB68" s="319" t="str">
        <f>IFERROR((Z68/$C68)^(1/COUNT($Q$6:Z$6))-1,"NA")</f>
        <v>NA</v>
      </c>
      <c r="AD68" s="59"/>
      <c r="AH68" s="301" t="s">
        <v>268</v>
      </c>
    </row>
    <row r="69" spans="1:34" x14ac:dyDescent="0.2">
      <c r="B69" s="339" t="s">
        <v>362</v>
      </c>
      <c r="C69" s="316">
        <f t="shared" ref="C69:M69" si="42">C35</f>
        <v>0</v>
      </c>
      <c r="D69" s="371">
        <f t="shared" si="42"/>
        <v>0</v>
      </c>
      <c r="E69" s="371">
        <f t="shared" si="42"/>
        <v>0</v>
      </c>
      <c r="F69" s="371">
        <f t="shared" si="42"/>
        <v>0</v>
      </c>
      <c r="G69" s="371">
        <f t="shared" si="42"/>
        <v>0</v>
      </c>
      <c r="H69" s="371">
        <f t="shared" si="42"/>
        <v>0</v>
      </c>
      <c r="I69" s="371">
        <f t="shared" si="42"/>
        <v>0</v>
      </c>
      <c r="J69" s="371">
        <f t="shared" si="42"/>
        <v>0</v>
      </c>
      <c r="K69" s="371">
        <f t="shared" si="42"/>
        <v>0</v>
      </c>
      <c r="L69" s="371">
        <f t="shared" si="42"/>
        <v>0</v>
      </c>
      <c r="M69" s="371">
        <f t="shared" si="42"/>
        <v>0</v>
      </c>
      <c r="N69" s="338">
        <f>SUM($D69:M69)</f>
        <v>0</v>
      </c>
      <c r="O69" s="319" t="str">
        <f>IFERROR((M69/$C69)^(1/COUNT($D$6:M$6))-1,"NA")</f>
        <v>NA</v>
      </c>
      <c r="Q69" s="371">
        <f t="shared" ref="Q69:Z69" si="43">Q35</f>
        <v>0</v>
      </c>
      <c r="R69" s="371">
        <f t="shared" si="43"/>
        <v>0</v>
      </c>
      <c r="S69" s="371">
        <f t="shared" si="43"/>
        <v>0</v>
      </c>
      <c r="T69" s="371">
        <f t="shared" si="43"/>
        <v>0</v>
      </c>
      <c r="U69" s="371">
        <f t="shared" si="43"/>
        <v>0</v>
      </c>
      <c r="V69" s="371">
        <f t="shared" si="43"/>
        <v>0</v>
      </c>
      <c r="W69" s="371">
        <f t="shared" si="43"/>
        <v>0</v>
      </c>
      <c r="X69" s="371">
        <f t="shared" si="43"/>
        <v>0</v>
      </c>
      <c r="Y69" s="371">
        <f t="shared" si="43"/>
        <v>0</v>
      </c>
      <c r="Z69" s="371">
        <f t="shared" si="43"/>
        <v>0</v>
      </c>
      <c r="AA69" s="338">
        <f t="shared" si="28"/>
        <v>0</v>
      </c>
      <c r="AB69" s="319" t="str">
        <f>IFERROR((Z69/$C69)^(1/COUNT($Q$6:Z$6))-1,"NA")</f>
        <v>NA</v>
      </c>
      <c r="AD69" s="59"/>
      <c r="AH69" s="301" t="s">
        <v>268</v>
      </c>
    </row>
    <row r="70" spans="1:34" x14ac:dyDescent="0.2">
      <c r="B70" s="339" t="s">
        <v>367</v>
      </c>
      <c r="C70" s="378">
        <f t="shared" ref="C70:M70" si="44">C44+C39</f>
        <v>0</v>
      </c>
      <c r="D70" s="378">
        <f t="shared" si="44"/>
        <v>0</v>
      </c>
      <c r="E70" s="378">
        <f t="shared" si="44"/>
        <v>0</v>
      </c>
      <c r="F70" s="378">
        <f t="shared" si="44"/>
        <v>0</v>
      </c>
      <c r="G70" s="378">
        <f t="shared" si="44"/>
        <v>0</v>
      </c>
      <c r="H70" s="378">
        <f t="shared" si="44"/>
        <v>0</v>
      </c>
      <c r="I70" s="378">
        <f t="shared" si="44"/>
        <v>0</v>
      </c>
      <c r="J70" s="378">
        <f t="shared" si="44"/>
        <v>0</v>
      </c>
      <c r="K70" s="378">
        <f t="shared" si="44"/>
        <v>0</v>
      </c>
      <c r="L70" s="378">
        <f t="shared" si="44"/>
        <v>0</v>
      </c>
      <c r="M70" s="378">
        <f t="shared" si="44"/>
        <v>0</v>
      </c>
      <c r="N70" s="378">
        <f t="shared" ref="N70:N72" si="45">SUM(D70:M70)</f>
        <v>0</v>
      </c>
      <c r="O70" s="319" t="str">
        <f>IFERROR((M70/$C70)^(1/COUNT($D$6:M$6))-1,"NA")</f>
        <v>NA</v>
      </c>
      <c r="Q70" s="379">
        <f t="shared" ref="Q70:Z70" si="46">Q44+Q39</f>
        <v>0</v>
      </c>
      <c r="R70" s="379">
        <f t="shared" si="46"/>
        <v>0</v>
      </c>
      <c r="S70" s="379">
        <f t="shared" si="46"/>
        <v>0</v>
      </c>
      <c r="T70" s="379">
        <f t="shared" si="46"/>
        <v>0</v>
      </c>
      <c r="U70" s="379">
        <f t="shared" si="46"/>
        <v>0</v>
      </c>
      <c r="V70" s="379">
        <f t="shared" si="46"/>
        <v>0</v>
      </c>
      <c r="W70" s="379">
        <f t="shared" si="46"/>
        <v>0</v>
      </c>
      <c r="X70" s="379">
        <f t="shared" si="46"/>
        <v>0</v>
      </c>
      <c r="Y70" s="379">
        <f t="shared" si="46"/>
        <v>0</v>
      </c>
      <c r="Z70" s="379">
        <f t="shared" si="46"/>
        <v>0</v>
      </c>
      <c r="AA70" s="338">
        <f t="shared" si="28"/>
        <v>0</v>
      </c>
      <c r="AB70" s="319" t="str">
        <f>IFERROR((Z70/$C70)^(1/COUNT($Q$6:Z$6))-1,"NA")</f>
        <v>NA</v>
      </c>
      <c r="AH70" s="301" t="s">
        <v>270</v>
      </c>
    </row>
    <row r="71" spans="1:34" x14ac:dyDescent="0.2">
      <c r="B71" s="339" t="s">
        <v>511</v>
      </c>
      <c r="C71" s="378">
        <f t="shared" ref="C71:M71" si="47">C46</f>
        <v>0</v>
      </c>
      <c r="D71" s="378">
        <f t="shared" si="47"/>
        <v>0</v>
      </c>
      <c r="E71" s="378">
        <f t="shared" si="47"/>
        <v>0</v>
      </c>
      <c r="F71" s="378">
        <f t="shared" si="47"/>
        <v>0</v>
      </c>
      <c r="G71" s="378">
        <f t="shared" si="47"/>
        <v>0</v>
      </c>
      <c r="H71" s="378">
        <f t="shared" si="47"/>
        <v>0</v>
      </c>
      <c r="I71" s="378">
        <f t="shared" si="47"/>
        <v>0</v>
      </c>
      <c r="J71" s="378">
        <f t="shared" si="47"/>
        <v>0</v>
      </c>
      <c r="K71" s="378">
        <f t="shared" si="47"/>
        <v>0</v>
      </c>
      <c r="L71" s="378">
        <f t="shared" si="47"/>
        <v>0</v>
      </c>
      <c r="M71" s="378">
        <f t="shared" si="47"/>
        <v>0</v>
      </c>
      <c r="N71" s="378">
        <f t="shared" si="45"/>
        <v>0</v>
      </c>
      <c r="O71" s="319" t="str">
        <f>IFERROR((M71/$C71)^(1/COUNT($D$6:M$6))-1,"NA")</f>
        <v>NA</v>
      </c>
      <c r="Q71" s="379">
        <f t="shared" ref="Q71:Z71" si="48">Q46</f>
        <v>0</v>
      </c>
      <c r="R71" s="379">
        <f t="shared" si="48"/>
        <v>0</v>
      </c>
      <c r="S71" s="379">
        <f t="shared" si="48"/>
        <v>0</v>
      </c>
      <c r="T71" s="379">
        <f t="shared" si="48"/>
        <v>0</v>
      </c>
      <c r="U71" s="379">
        <f t="shared" si="48"/>
        <v>0</v>
      </c>
      <c r="V71" s="379">
        <f t="shared" si="48"/>
        <v>0</v>
      </c>
      <c r="W71" s="379">
        <f t="shared" si="48"/>
        <v>0</v>
      </c>
      <c r="X71" s="379">
        <f t="shared" si="48"/>
        <v>0</v>
      </c>
      <c r="Y71" s="379">
        <f t="shared" si="48"/>
        <v>0</v>
      </c>
      <c r="Z71" s="379">
        <f t="shared" si="48"/>
        <v>0</v>
      </c>
      <c r="AA71" s="338">
        <f t="shared" si="28"/>
        <v>0</v>
      </c>
      <c r="AB71" s="319" t="str">
        <f>IFERROR((Z71/$C71)^(1/COUNT($Q$6:Z$6))-1,"NA")</f>
        <v>NA</v>
      </c>
      <c r="AH71" s="301" t="s">
        <v>279</v>
      </c>
    </row>
    <row r="72" spans="1:34" x14ac:dyDescent="0.2">
      <c r="B72" s="339" t="s">
        <v>281</v>
      </c>
      <c r="C72" s="378">
        <f t="shared" ref="C72:M72" si="49">C47</f>
        <v>0</v>
      </c>
      <c r="D72" s="378">
        <f t="shared" si="49"/>
        <v>0</v>
      </c>
      <c r="E72" s="378">
        <f t="shared" si="49"/>
        <v>0</v>
      </c>
      <c r="F72" s="378">
        <f t="shared" si="49"/>
        <v>0</v>
      </c>
      <c r="G72" s="378">
        <f t="shared" si="49"/>
        <v>0</v>
      </c>
      <c r="H72" s="378">
        <f t="shared" si="49"/>
        <v>0</v>
      </c>
      <c r="I72" s="378">
        <f t="shared" si="49"/>
        <v>0</v>
      </c>
      <c r="J72" s="378">
        <f t="shared" si="49"/>
        <v>0</v>
      </c>
      <c r="K72" s="378">
        <f t="shared" si="49"/>
        <v>0</v>
      </c>
      <c r="L72" s="378">
        <f t="shared" si="49"/>
        <v>0</v>
      </c>
      <c r="M72" s="378">
        <f t="shared" si="49"/>
        <v>0</v>
      </c>
      <c r="N72" s="378">
        <f t="shared" si="45"/>
        <v>0</v>
      </c>
      <c r="O72" s="319" t="str">
        <f>IFERROR((M72/$C72)^(1/COUNT($D$6:M$6))-1,"NA")</f>
        <v>NA</v>
      </c>
      <c r="Q72" s="379">
        <f t="shared" ref="Q72:Z72" si="50">Q47</f>
        <v>0</v>
      </c>
      <c r="R72" s="379">
        <f t="shared" si="50"/>
        <v>0</v>
      </c>
      <c r="S72" s="379">
        <f t="shared" si="50"/>
        <v>0</v>
      </c>
      <c r="T72" s="379">
        <f t="shared" si="50"/>
        <v>0</v>
      </c>
      <c r="U72" s="379">
        <f t="shared" si="50"/>
        <v>0</v>
      </c>
      <c r="V72" s="379">
        <f t="shared" si="50"/>
        <v>0</v>
      </c>
      <c r="W72" s="379">
        <f t="shared" si="50"/>
        <v>0</v>
      </c>
      <c r="X72" s="379">
        <f t="shared" si="50"/>
        <v>0</v>
      </c>
      <c r="Y72" s="379">
        <f t="shared" si="50"/>
        <v>0</v>
      </c>
      <c r="Z72" s="379">
        <f t="shared" si="50"/>
        <v>0</v>
      </c>
      <c r="AA72" s="338">
        <f>SUM(Q72:Z72)</f>
        <v>0</v>
      </c>
      <c r="AB72" s="319" t="str">
        <f>IFERROR((Z72/$C72)^(1/COUNT($Q$6:Z$6))-1,"NA")</f>
        <v>NA</v>
      </c>
      <c r="AH72" s="301" t="s">
        <v>281</v>
      </c>
    </row>
    <row r="73" spans="1:34" x14ac:dyDescent="0.2">
      <c r="B73" s="374" t="s">
        <v>520</v>
      </c>
      <c r="C73" s="375" t="e">
        <f>SUM(C60:C72)</f>
        <v>#DIV/0!</v>
      </c>
      <c r="D73" s="326" t="e">
        <f>SUM(D60:D72)</f>
        <v>#DIV/0!</v>
      </c>
      <c r="E73" s="326" t="e">
        <f t="shared" ref="E73:N73" si="51">SUM(E60:E72)</f>
        <v>#DIV/0!</v>
      </c>
      <c r="F73" s="326" t="e">
        <f t="shared" si="51"/>
        <v>#DIV/0!</v>
      </c>
      <c r="G73" s="326" t="e">
        <f t="shared" si="51"/>
        <v>#DIV/0!</v>
      </c>
      <c r="H73" s="326" t="e">
        <f t="shared" si="51"/>
        <v>#DIV/0!</v>
      </c>
      <c r="I73" s="326" t="e">
        <f t="shared" si="51"/>
        <v>#DIV/0!</v>
      </c>
      <c r="J73" s="326" t="e">
        <f t="shared" si="51"/>
        <v>#DIV/0!</v>
      </c>
      <c r="K73" s="326" t="e">
        <f t="shared" si="51"/>
        <v>#DIV/0!</v>
      </c>
      <c r="L73" s="326" t="e">
        <f t="shared" si="51"/>
        <v>#DIV/0!</v>
      </c>
      <c r="M73" s="326" t="e">
        <f t="shared" si="51"/>
        <v>#DIV/0!</v>
      </c>
      <c r="N73" s="327" t="e">
        <f t="shared" si="51"/>
        <v>#DIV/0!</v>
      </c>
      <c r="O73" s="328" t="str">
        <f>IFERROR((M73/$C73)^(1/COUNT($D$6:M$6))-1,"NA")</f>
        <v>NA</v>
      </c>
      <c r="Q73" s="326" t="e">
        <f t="shared" ref="Q73:Z73" si="52">SUM(Q60:Q72)</f>
        <v>#DIV/0!</v>
      </c>
      <c r="R73" s="326" t="e">
        <f t="shared" si="52"/>
        <v>#DIV/0!</v>
      </c>
      <c r="S73" s="326" t="e">
        <f t="shared" si="52"/>
        <v>#DIV/0!</v>
      </c>
      <c r="T73" s="326" t="e">
        <f t="shared" si="52"/>
        <v>#DIV/0!</v>
      </c>
      <c r="U73" s="326" t="e">
        <f t="shared" si="52"/>
        <v>#DIV/0!</v>
      </c>
      <c r="V73" s="326" t="e">
        <f t="shared" si="52"/>
        <v>#DIV/0!</v>
      </c>
      <c r="W73" s="326" t="e">
        <f t="shared" si="52"/>
        <v>#DIV/0!</v>
      </c>
      <c r="X73" s="326" t="e">
        <f t="shared" si="52"/>
        <v>#DIV/0!</v>
      </c>
      <c r="Y73" s="326" t="e">
        <f t="shared" si="52"/>
        <v>#DIV/0!</v>
      </c>
      <c r="Z73" s="326" t="e">
        <f t="shared" si="52"/>
        <v>#DIV/0!</v>
      </c>
      <c r="AA73" s="327" t="e">
        <f>SUM(AA60:AA72)</f>
        <v>#DIV/0!</v>
      </c>
      <c r="AB73" s="328" t="str">
        <f>IFERROR((Z73/$C73)^(1/COUNT($Q$6:Z$6))-1,"NA")</f>
        <v>NA</v>
      </c>
    </row>
    <row r="74" spans="1:34" s="351" customFormat="1" ht="8.25" customHeight="1" x14ac:dyDescent="0.2">
      <c r="A74" s="59"/>
      <c r="B74" s="330"/>
      <c r="C74" s="59"/>
      <c r="D74" s="352"/>
      <c r="E74" s="352"/>
      <c r="F74" s="352"/>
      <c r="G74" s="352"/>
      <c r="H74" s="352"/>
      <c r="I74" s="352"/>
      <c r="J74" s="352"/>
      <c r="K74" s="352"/>
      <c r="L74" s="352"/>
      <c r="M74" s="352"/>
      <c r="N74" s="326"/>
      <c r="O74" s="376"/>
      <c r="P74" s="59"/>
      <c r="Q74" s="59"/>
      <c r="R74" s="59"/>
      <c r="S74" s="59"/>
      <c r="T74" s="59"/>
      <c r="U74" s="59"/>
      <c r="V74" s="59"/>
      <c r="W74" s="59"/>
      <c r="X74" s="59"/>
      <c r="Y74" s="59"/>
      <c r="Z74" s="59"/>
      <c r="AA74" s="326"/>
      <c r="AB74" s="376"/>
      <c r="AC74" s="59"/>
      <c r="AD74" s="59"/>
      <c r="AE74" s="59"/>
      <c r="AF74" s="350"/>
    </row>
    <row r="75" spans="1:34" s="351" customFormat="1" ht="16" x14ac:dyDescent="0.2">
      <c r="A75" s="59"/>
      <c r="B75" s="363" t="s">
        <v>521</v>
      </c>
      <c r="C75" s="364" t="e">
        <f t="shared" ref="C75:M75" si="53">C73+C57</f>
        <v>#DIV/0!</v>
      </c>
      <c r="D75" s="365" t="e">
        <f>D73+D57</f>
        <v>#DIV/0!</v>
      </c>
      <c r="E75" s="365" t="e">
        <f t="shared" si="53"/>
        <v>#DIV/0!</v>
      </c>
      <c r="F75" s="365" t="e">
        <f t="shared" si="53"/>
        <v>#DIV/0!</v>
      </c>
      <c r="G75" s="365" t="e">
        <f t="shared" si="53"/>
        <v>#DIV/0!</v>
      </c>
      <c r="H75" s="365" t="e">
        <f t="shared" si="53"/>
        <v>#DIV/0!</v>
      </c>
      <c r="I75" s="365" t="e">
        <f t="shared" si="53"/>
        <v>#DIV/0!</v>
      </c>
      <c r="J75" s="365" t="e">
        <f t="shared" si="53"/>
        <v>#DIV/0!</v>
      </c>
      <c r="K75" s="365" t="e">
        <f t="shared" si="53"/>
        <v>#DIV/0!</v>
      </c>
      <c r="L75" s="365" t="e">
        <f t="shared" si="53"/>
        <v>#DIV/0!</v>
      </c>
      <c r="M75" s="365" t="e">
        <f t="shared" si="53"/>
        <v>#DIV/0!</v>
      </c>
      <c r="N75" s="366" t="e">
        <f>SUM(N73,N57)</f>
        <v>#DIV/0!</v>
      </c>
      <c r="O75" s="367" t="str">
        <f>IFERROR((M75/$C75)^(1/COUNT($D$6:M$6))-1,"NA")</f>
        <v>NA</v>
      </c>
      <c r="P75" s="59"/>
      <c r="Q75" s="368" t="e">
        <f>Q73+Q57</f>
        <v>#DIV/0!</v>
      </c>
      <c r="R75" s="365" t="e">
        <f t="shared" ref="R75:AA75" si="54">R73+R57</f>
        <v>#DIV/0!</v>
      </c>
      <c r="S75" s="365" t="e">
        <f t="shared" si="54"/>
        <v>#DIV/0!</v>
      </c>
      <c r="T75" s="365" t="e">
        <f t="shared" si="54"/>
        <v>#DIV/0!</v>
      </c>
      <c r="U75" s="365" t="e">
        <f t="shared" si="54"/>
        <v>#DIV/0!</v>
      </c>
      <c r="V75" s="365" t="e">
        <f t="shared" si="54"/>
        <v>#DIV/0!</v>
      </c>
      <c r="W75" s="365" t="e">
        <f t="shared" si="54"/>
        <v>#DIV/0!</v>
      </c>
      <c r="X75" s="365" t="e">
        <f t="shared" si="54"/>
        <v>#DIV/0!</v>
      </c>
      <c r="Y75" s="365" t="e">
        <f t="shared" si="54"/>
        <v>#DIV/0!</v>
      </c>
      <c r="Z75" s="365" t="e">
        <f t="shared" si="54"/>
        <v>#DIV/0!</v>
      </c>
      <c r="AA75" s="366" t="e">
        <f t="shared" si="54"/>
        <v>#DIV/0!</v>
      </c>
      <c r="AB75" s="367" t="str">
        <f>IFERROR((Z75/$C75)^(1/COUNT($Q$6:Z$6))-1,"NA")</f>
        <v>NA</v>
      </c>
      <c r="AC75" s="59"/>
      <c r="AD75" s="59"/>
      <c r="AE75" s="59"/>
      <c r="AF75" s="350"/>
    </row>
    <row r="76" spans="1:34" s="351" customFormat="1" x14ac:dyDescent="0.2">
      <c r="A76" s="59"/>
      <c r="B76" s="330"/>
      <c r="C76" s="59"/>
      <c r="D76" s="352"/>
      <c r="E76" s="352"/>
      <c r="F76" s="352"/>
      <c r="G76" s="352"/>
      <c r="H76" s="352"/>
      <c r="I76" s="352"/>
      <c r="J76" s="352"/>
      <c r="K76" s="352"/>
      <c r="L76" s="352"/>
      <c r="M76" s="352"/>
      <c r="N76" s="333"/>
      <c r="O76" s="59"/>
      <c r="P76" s="59"/>
      <c r="Q76" s="352"/>
      <c r="R76" s="352"/>
      <c r="S76" s="352"/>
      <c r="T76" s="352"/>
      <c r="U76" s="352"/>
      <c r="V76" s="352"/>
      <c r="W76" s="352"/>
      <c r="X76" s="352"/>
      <c r="Y76" s="352"/>
      <c r="Z76" s="352"/>
      <c r="AA76" s="333"/>
      <c r="AB76" s="59"/>
      <c r="AC76" s="59"/>
      <c r="AD76" s="59"/>
      <c r="AE76" s="59"/>
      <c r="AF76" s="350"/>
    </row>
    <row r="77" spans="1:34" s="58" customFormat="1" ht="22" x14ac:dyDescent="0.3">
      <c r="B77" s="308"/>
      <c r="AF77" s="303"/>
    </row>
    <row r="78" spans="1:34" s="58" customFormat="1" x14ac:dyDescent="0.2">
      <c r="B78" s="58" t="s">
        <v>522</v>
      </c>
      <c r="C78" s="378" t="e">
        <f>C57+SUM(C60:C68)</f>
        <v>#DIV/0!</v>
      </c>
      <c r="D78" s="378" t="e">
        <f t="shared" ref="D78:L78" si="55">D57+SUM(D60:D68)</f>
        <v>#DIV/0!</v>
      </c>
      <c r="E78" s="378" t="e">
        <f t="shared" si="55"/>
        <v>#DIV/0!</v>
      </c>
      <c r="F78" s="378" t="e">
        <f t="shared" si="55"/>
        <v>#DIV/0!</v>
      </c>
      <c r="G78" s="378" t="e">
        <f t="shared" si="55"/>
        <v>#DIV/0!</v>
      </c>
      <c r="H78" s="378" t="e">
        <f t="shared" si="55"/>
        <v>#DIV/0!</v>
      </c>
      <c r="I78" s="378" t="e">
        <f t="shared" si="55"/>
        <v>#DIV/0!</v>
      </c>
      <c r="J78" s="378" t="e">
        <f t="shared" si="55"/>
        <v>#DIV/0!</v>
      </c>
      <c r="K78" s="378" t="e">
        <f t="shared" si="55"/>
        <v>#DIV/0!</v>
      </c>
      <c r="L78" s="378" t="e">
        <f t="shared" si="55"/>
        <v>#DIV/0!</v>
      </c>
      <c r="M78" s="378" t="e">
        <f>M57+SUM(M60:M68)</f>
        <v>#DIV/0!</v>
      </c>
      <c r="N78" s="378"/>
      <c r="Q78" s="378" t="e">
        <f>Q57+SUM(Q60:Q68)</f>
        <v>#DIV/0!</v>
      </c>
      <c r="R78" s="378" t="e">
        <f t="shared" ref="R78:Z78" si="56">R57+SUM(R60:R68)</f>
        <v>#DIV/0!</v>
      </c>
      <c r="S78" s="378" t="e">
        <f t="shared" si="56"/>
        <v>#DIV/0!</v>
      </c>
      <c r="T78" s="378" t="e">
        <f t="shared" si="56"/>
        <v>#DIV/0!</v>
      </c>
      <c r="U78" s="378" t="e">
        <f t="shared" si="56"/>
        <v>#DIV/0!</v>
      </c>
      <c r="V78" s="378" t="e">
        <f t="shared" si="56"/>
        <v>#DIV/0!</v>
      </c>
      <c r="W78" s="378" t="e">
        <f t="shared" si="56"/>
        <v>#DIV/0!</v>
      </c>
      <c r="X78" s="378" t="e">
        <f t="shared" si="56"/>
        <v>#DIV/0!</v>
      </c>
      <c r="Y78" s="378" t="e">
        <f t="shared" si="56"/>
        <v>#DIV/0!</v>
      </c>
      <c r="Z78" s="378" t="e">
        <f t="shared" si="56"/>
        <v>#DIV/0!</v>
      </c>
      <c r="AF78" s="303"/>
    </row>
    <row r="79" spans="1:34" s="58" customFormat="1" x14ac:dyDescent="0.2">
      <c r="B79" s="58" t="s">
        <v>523</v>
      </c>
      <c r="C79" s="378">
        <f t="shared" ref="C79:D81" si="57">C69</f>
        <v>0</v>
      </c>
      <c r="D79" s="378">
        <f t="shared" si="57"/>
        <v>0</v>
      </c>
      <c r="E79" s="378">
        <f t="shared" ref="E79:M79" si="58">E69</f>
        <v>0</v>
      </c>
      <c r="F79" s="378">
        <f t="shared" si="58"/>
        <v>0</v>
      </c>
      <c r="G79" s="378">
        <f t="shared" si="58"/>
        <v>0</v>
      </c>
      <c r="H79" s="378">
        <f t="shared" si="58"/>
        <v>0</v>
      </c>
      <c r="I79" s="378">
        <f t="shared" si="58"/>
        <v>0</v>
      </c>
      <c r="J79" s="378">
        <f t="shared" si="58"/>
        <v>0</v>
      </c>
      <c r="K79" s="378">
        <f t="shared" si="58"/>
        <v>0</v>
      </c>
      <c r="L79" s="378">
        <f t="shared" si="58"/>
        <v>0</v>
      </c>
      <c r="M79" s="378">
        <f t="shared" si="58"/>
        <v>0</v>
      </c>
      <c r="N79" s="378"/>
      <c r="Q79" s="378">
        <f>Q69</f>
        <v>0</v>
      </c>
      <c r="R79" s="378">
        <f t="shared" ref="R79:Z79" si="59">R69</f>
        <v>0</v>
      </c>
      <c r="S79" s="378">
        <f t="shared" si="59"/>
        <v>0</v>
      </c>
      <c r="T79" s="378">
        <f t="shared" si="59"/>
        <v>0</v>
      </c>
      <c r="U79" s="378">
        <f t="shared" si="59"/>
        <v>0</v>
      </c>
      <c r="V79" s="378">
        <f t="shared" si="59"/>
        <v>0</v>
      </c>
      <c r="W79" s="378">
        <f t="shared" si="59"/>
        <v>0</v>
      </c>
      <c r="X79" s="378">
        <f t="shared" si="59"/>
        <v>0</v>
      </c>
      <c r="Y79" s="378">
        <f t="shared" si="59"/>
        <v>0</v>
      </c>
      <c r="Z79" s="378">
        <f t="shared" si="59"/>
        <v>0</v>
      </c>
      <c r="AF79" s="303"/>
    </row>
    <row r="80" spans="1:34" s="58" customFormat="1" x14ac:dyDescent="0.2">
      <c r="B80" s="58" t="s">
        <v>524</v>
      </c>
      <c r="C80" s="378">
        <f t="shared" si="57"/>
        <v>0</v>
      </c>
      <c r="D80" s="378">
        <f t="shared" si="57"/>
        <v>0</v>
      </c>
      <c r="E80" s="378">
        <f t="shared" ref="E80:L80" si="60">E70</f>
        <v>0</v>
      </c>
      <c r="F80" s="378">
        <f t="shared" si="60"/>
        <v>0</v>
      </c>
      <c r="G80" s="378">
        <f t="shared" si="60"/>
        <v>0</v>
      </c>
      <c r="H80" s="378">
        <f t="shared" si="60"/>
        <v>0</v>
      </c>
      <c r="I80" s="378">
        <f t="shared" si="60"/>
        <v>0</v>
      </c>
      <c r="J80" s="378">
        <f t="shared" si="60"/>
        <v>0</v>
      </c>
      <c r="K80" s="378">
        <f t="shared" si="60"/>
        <v>0</v>
      </c>
      <c r="L80" s="378">
        <f t="shared" si="60"/>
        <v>0</v>
      </c>
      <c r="M80" s="378">
        <f>M70</f>
        <v>0</v>
      </c>
      <c r="N80" s="378"/>
      <c r="O80" s="381"/>
      <c r="P80" s="381"/>
      <c r="Q80" s="378">
        <f>Q70+'2a-Consumption Plan Wk1'!E21+'2b-Consumption Plan Wk2'!E21+'2c-Consumption Plan Wk3'!E21</f>
        <v>0</v>
      </c>
      <c r="R80" s="378">
        <f>R70+'2a-Consumption Plan Wk1'!F21+'2b-Consumption Plan Wk2'!F21+'2c-Consumption Plan Wk3'!F21</f>
        <v>0</v>
      </c>
      <c r="S80" s="378">
        <f>S70+'2a-Consumption Plan Wk1'!G21+'2b-Consumption Plan Wk2'!G21+'2c-Consumption Plan Wk3'!G21</f>
        <v>0</v>
      </c>
      <c r="T80" s="378">
        <f>T70+'2a-Consumption Plan Wk1'!H21+'2b-Consumption Plan Wk2'!H21+'2c-Consumption Plan Wk3'!H21</f>
        <v>0</v>
      </c>
      <c r="U80" s="378">
        <f>U70+'2a-Consumption Plan Wk1'!I21+'2b-Consumption Plan Wk2'!I21+'2c-Consumption Plan Wk3'!I21</f>
        <v>0</v>
      </c>
      <c r="V80" s="378">
        <f>V70+'2a-Consumption Plan Wk1'!J21+'2b-Consumption Plan Wk2'!J21+'2c-Consumption Plan Wk3'!J21</f>
        <v>0</v>
      </c>
      <c r="W80" s="378">
        <f>W70+'2a-Consumption Plan Wk1'!K21+'2b-Consumption Plan Wk2'!K21+'2c-Consumption Plan Wk3'!K21</f>
        <v>0</v>
      </c>
      <c r="X80" s="378">
        <f>X70+'2a-Consumption Plan Wk1'!L21+'2b-Consumption Plan Wk2'!L21+'2c-Consumption Plan Wk3'!L21</f>
        <v>0</v>
      </c>
      <c r="Y80" s="378">
        <f>Y70+'2a-Consumption Plan Wk1'!M21+'2b-Consumption Plan Wk2'!M21+'2c-Consumption Plan Wk3'!M21</f>
        <v>0</v>
      </c>
      <c r="Z80" s="378">
        <f>Z70+'2a-Consumption Plan Wk1'!N21+'2b-Consumption Plan Wk2'!N21+'2c-Consumption Plan Wk3'!N21</f>
        <v>0</v>
      </c>
      <c r="AF80" s="303"/>
    </row>
    <row r="81" spans="2:34" s="58" customFormat="1" x14ac:dyDescent="0.2">
      <c r="B81" s="58" t="s">
        <v>314</v>
      </c>
      <c r="C81" s="378">
        <f t="shared" si="57"/>
        <v>0</v>
      </c>
      <c r="D81" s="378">
        <f t="shared" si="57"/>
        <v>0</v>
      </c>
      <c r="E81" s="378">
        <f t="shared" ref="E81:L81" si="61">E71</f>
        <v>0</v>
      </c>
      <c r="F81" s="378">
        <f t="shared" si="61"/>
        <v>0</v>
      </c>
      <c r="G81" s="378">
        <f t="shared" si="61"/>
        <v>0</v>
      </c>
      <c r="H81" s="378">
        <f t="shared" si="61"/>
        <v>0</v>
      </c>
      <c r="I81" s="378">
        <f t="shared" si="61"/>
        <v>0</v>
      </c>
      <c r="J81" s="378">
        <f t="shared" si="61"/>
        <v>0</v>
      </c>
      <c r="K81" s="378">
        <f t="shared" si="61"/>
        <v>0</v>
      </c>
      <c r="L81" s="378">
        <f t="shared" si="61"/>
        <v>0</v>
      </c>
      <c r="M81" s="378">
        <f>M71</f>
        <v>0</v>
      </c>
      <c r="N81" s="378"/>
      <c r="O81" s="381"/>
      <c r="P81" s="381"/>
      <c r="Q81" s="378">
        <f>Q71+'2a-Consumption Plan Wk1'!E22+'2b-Consumption Plan Wk2'!E22+'2c-Consumption Plan Wk3'!E22</f>
        <v>0</v>
      </c>
      <c r="R81" s="378">
        <f>R71+'2a-Consumption Plan Wk1'!F22+'2b-Consumption Plan Wk2'!F22+'2c-Consumption Plan Wk3'!F22</f>
        <v>0</v>
      </c>
      <c r="S81" s="378">
        <f>S71+'2a-Consumption Plan Wk1'!G22+'2b-Consumption Plan Wk2'!G22+'2c-Consumption Plan Wk3'!G22</f>
        <v>0</v>
      </c>
      <c r="T81" s="378">
        <f>T71+'2a-Consumption Plan Wk1'!H22+'2b-Consumption Plan Wk2'!H22+'2c-Consumption Plan Wk3'!H22</f>
        <v>0</v>
      </c>
      <c r="U81" s="378">
        <f>U71+'2a-Consumption Plan Wk1'!I22+'2b-Consumption Plan Wk2'!I22+'2c-Consumption Plan Wk3'!I22</f>
        <v>0</v>
      </c>
      <c r="V81" s="378">
        <f>V71+'2a-Consumption Plan Wk1'!J22+'2b-Consumption Plan Wk2'!J22+'2c-Consumption Plan Wk3'!J22</f>
        <v>0</v>
      </c>
      <c r="W81" s="378">
        <f>W71+'2a-Consumption Plan Wk1'!K22+'2b-Consumption Plan Wk2'!K22+'2c-Consumption Plan Wk3'!K22</f>
        <v>0</v>
      </c>
      <c r="X81" s="378">
        <f>X71+'2a-Consumption Plan Wk1'!L22+'2b-Consumption Plan Wk2'!L22+'2c-Consumption Plan Wk3'!L22</f>
        <v>0</v>
      </c>
      <c r="Y81" s="378">
        <f>Y71+'2a-Consumption Plan Wk1'!M22+'2b-Consumption Plan Wk2'!M22+'2c-Consumption Plan Wk3'!M22</f>
        <v>0</v>
      </c>
      <c r="Z81" s="378">
        <f>Z71+'2a-Consumption Plan Wk1'!N22+'2b-Consumption Plan Wk2'!N22+'2c-Consumption Plan Wk3'!N22</f>
        <v>0</v>
      </c>
      <c r="AF81" s="303"/>
    </row>
    <row r="82" spans="2:34" s="58" customFormat="1" x14ac:dyDescent="0.2">
      <c r="B82" s="388" t="s">
        <v>368</v>
      </c>
      <c r="C82" s="378" t="e">
        <f>SUM(C78:C81)</f>
        <v>#DIV/0!</v>
      </c>
      <c r="D82" s="378" t="e">
        <f>SUM(D78:D81)</f>
        <v>#DIV/0!</v>
      </c>
      <c r="E82" s="378" t="e">
        <f t="shared" ref="E82:M82" si="62">SUM(E78:E81)</f>
        <v>#DIV/0!</v>
      </c>
      <c r="F82" s="378" t="e">
        <f t="shared" si="62"/>
        <v>#DIV/0!</v>
      </c>
      <c r="G82" s="378" t="e">
        <f t="shared" si="62"/>
        <v>#DIV/0!</v>
      </c>
      <c r="H82" s="378" t="e">
        <f t="shared" si="62"/>
        <v>#DIV/0!</v>
      </c>
      <c r="I82" s="378" t="e">
        <f t="shared" si="62"/>
        <v>#DIV/0!</v>
      </c>
      <c r="J82" s="378" t="e">
        <f t="shared" si="62"/>
        <v>#DIV/0!</v>
      </c>
      <c r="K82" s="378" t="e">
        <f t="shared" si="62"/>
        <v>#DIV/0!</v>
      </c>
      <c r="L82" s="378" t="e">
        <f t="shared" si="62"/>
        <v>#DIV/0!</v>
      </c>
      <c r="M82" s="378" t="e">
        <f t="shared" si="62"/>
        <v>#DIV/0!</v>
      </c>
      <c r="N82" s="378"/>
      <c r="Q82" s="378" t="e">
        <f>SUM(Q78:Q81)</f>
        <v>#DIV/0!</v>
      </c>
      <c r="R82" s="378" t="e">
        <f t="shared" ref="R82:Z82" si="63">SUM(R78:R81)</f>
        <v>#DIV/0!</v>
      </c>
      <c r="S82" s="378" t="e">
        <f t="shared" si="63"/>
        <v>#DIV/0!</v>
      </c>
      <c r="T82" s="378" t="e">
        <f t="shared" si="63"/>
        <v>#DIV/0!</v>
      </c>
      <c r="U82" s="378" t="e">
        <f t="shared" si="63"/>
        <v>#DIV/0!</v>
      </c>
      <c r="V82" s="378" t="e">
        <f t="shared" si="63"/>
        <v>#DIV/0!</v>
      </c>
      <c r="W82" s="378" t="e">
        <f t="shared" si="63"/>
        <v>#DIV/0!</v>
      </c>
      <c r="X82" s="378" t="e">
        <f t="shared" si="63"/>
        <v>#DIV/0!</v>
      </c>
      <c r="Y82" s="378" t="e">
        <f t="shared" si="63"/>
        <v>#DIV/0!</v>
      </c>
      <c r="Z82" s="378" t="e">
        <f t="shared" si="63"/>
        <v>#DIV/0!</v>
      </c>
      <c r="AF82" s="303"/>
    </row>
    <row r="83" spans="2:34" s="58" customFormat="1" x14ac:dyDescent="0.2">
      <c r="B83" s="380"/>
      <c r="C83" s="389" t="e">
        <f>C82-C75</f>
        <v>#DIV/0!</v>
      </c>
      <c r="D83" s="389" t="e">
        <f t="shared" ref="D83:M83" si="64">D82-D75</f>
        <v>#DIV/0!</v>
      </c>
      <c r="E83" s="389" t="e">
        <f t="shared" si="64"/>
        <v>#DIV/0!</v>
      </c>
      <c r="F83" s="389" t="e">
        <f t="shared" si="64"/>
        <v>#DIV/0!</v>
      </c>
      <c r="G83" s="389" t="e">
        <f t="shared" si="64"/>
        <v>#DIV/0!</v>
      </c>
      <c r="H83" s="389" t="e">
        <f t="shared" si="64"/>
        <v>#DIV/0!</v>
      </c>
      <c r="I83" s="389" t="e">
        <f t="shared" si="64"/>
        <v>#DIV/0!</v>
      </c>
      <c r="J83" s="389" t="e">
        <f t="shared" si="64"/>
        <v>#DIV/0!</v>
      </c>
      <c r="K83" s="389" t="e">
        <f t="shared" si="64"/>
        <v>#DIV/0!</v>
      </c>
      <c r="L83" s="389" t="e">
        <f t="shared" si="64"/>
        <v>#DIV/0!</v>
      </c>
      <c r="M83" s="389" t="e">
        <f t="shared" si="64"/>
        <v>#DIV/0!</v>
      </c>
      <c r="Q83" s="389" t="e">
        <f t="shared" ref="Q83:Z83" si="65">Q82-Q75</f>
        <v>#DIV/0!</v>
      </c>
      <c r="R83" s="389" t="e">
        <f t="shared" si="65"/>
        <v>#DIV/0!</v>
      </c>
      <c r="S83" s="389" t="e">
        <f t="shared" si="65"/>
        <v>#DIV/0!</v>
      </c>
      <c r="T83" s="389" t="e">
        <f t="shared" si="65"/>
        <v>#DIV/0!</v>
      </c>
      <c r="U83" s="389" t="e">
        <f t="shared" si="65"/>
        <v>#DIV/0!</v>
      </c>
      <c r="V83" s="389" t="e">
        <f t="shared" si="65"/>
        <v>#DIV/0!</v>
      </c>
      <c r="W83" s="389" t="e">
        <f t="shared" si="65"/>
        <v>#DIV/0!</v>
      </c>
      <c r="X83" s="389" t="e">
        <f t="shared" si="65"/>
        <v>#DIV/0!</v>
      </c>
      <c r="Y83" s="389" t="e">
        <f t="shared" si="65"/>
        <v>#DIV/0!</v>
      </c>
      <c r="Z83" s="389" t="e">
        <f t="shared" si="65"/>
        <v>#DIV/0!</v>
      </c>
      <c r="AF83" s="303"/>
    </row>
    <row r="84" spans="2:34" s="58" customFormat="1" x14ac:dyDescent="0.2">
      <c r="B84" s="380"/>
      <c r="C84" s="381"/>
      <c r="D84" s="382"/>
      <c r="E84" s="382"/>
      <c r="F84" s="382"/>
      <c r="G84" s="382"/>
      <c r="H84" s="382"/>
      <c r="I84" s="382"/>
      <c r="J84" s="382"/>
      <c r="K84" s="382"/>
      <c r="L84" s="382"/>
      <c r="M84" s="382"/>
      <c r="N84" s="381"/>
      <c r="O84" s="381"/>
      <c r="P84" s="381"/>
      <c r="Q84" s="382"/>
      <c r="R84" s="382"/>
      <c r="S84" s="382"/>
      <c r="T84" s="382"/>
      <c r="U84" s="382"/>
      <c r="V84" s="382"/>
      <c r="W84" s="382"/>
      <c r="X84" s="382"/>
      <c r="Y84" s="382"/>
      <c r="Z84" s="382"/>
      <c r="AF84" s="303"/>
    </row>
    <row r="85" spans="2:34" s="58" customFormat="1" x14ac:dyDescent="0.2"/>
    <row r="86" spans="2:34" s="58" customFormat="1" x14ac:dyDescent="0.2">
      <c r="B86" s="59"/>
      <c r="AF86" s="303"/>
    </row>
    <row r="87" spans="2:34" s="58" customFormat="1" x14ac:dyDescent="0.2">
      <c r="B87" s="380"/>
      <c r="C87" s="383"/>
      <c r="D87" s="383"/>
      <c r="E87" s="383"/>
      <c r="F87" s="383"/>
      <c r="G87" s="383"/>
      <c r="H87" s="383"/>
      <c r="I87" s="383"/>
      <c r="J87" s="383"/>
      <c r="K87" s="383"/>
      <c r="L87" s="383"/>
      <c r="M87" s="383"/>
      <c r="Q87" s="383"/>
      <c r="R87" s="383"/>
      <c r="S87" s="383"/>
      <c r="T87" s="383"/>
      <c r="U87" s="383"/>
      <c r="V87" s="383"/>
      <c r="W87" s="383"/>
      <c r="X87" s="383"/>
      <c r="Y87" s="383"/>
      <c r="Z87" s="383"/>
      <c r="AF87" s="303"/>
    </row>
    <row r="88" spans="2:34" s="58" customFormat="1" x14ac:dyDescent="0.2">
      <c r="B88" s="380"/>
      <c r="C88" s="383"/>
      <c r="D88" s="383"/>
      <c r="E88" s="383"/>
      <c r="F88" s="383"/>
      <c r="G88" s="383"/>
      <c r="H88" s="383"/>
      <c r="I88" s="383"/>
      <c r="J88" s="383"/>
      <c r="K88" s="383"/>
      <c r="L88" s="383"/>
      <c r="M88" s="383"/>
      <c r="Q88" s="383"/>
      <c r="R88" s="383"/>
      <c r="S88" s="383"/>
      <c r="T88" s="383"/>
      <c r="U88" s="383"/>
      <c r="V88" s="383"/>
      <c r="W88" s="383"/>
      <c r="X88" s="383"/>
      <c r="Y88" s="383"/>
      <c r="Z88" s="383"/>
      <c r="AF88" s="303"/>
    </row>
    <row r="89" spans="2:34" s="58" customFormat="1" x14ac:dyDescent="0.2">
      <c r="B89" s="380"/>
      <c r="C89" s="383"/>
      <c r="D89" s="383"/>
      <c r="E89" s="383"/>
      <c r="F89" s="383"/>
      <c r="G89" s="383"/>
      <c r="H89" s="383"/>
      <c r="I89" s="383"/>
      <c r="J89" s="383"/>
      <c r="K89" s="383"/>
      <c r="L89" s="383"/>
      <c r="M89" s="383"/>
      <c r="Q89" s="383"/>
      <c r="R89" s="383"/>
      <c r="S89" s="383"/>
      <c r="T89" s="383"/>
      <c r="U89" s="383"/>
      <c r="V89" s="383"/>
      <c r="W89" s="383"/>
      <c r="X89" s="383"/>
      <c r="Y89" s="383"/>
      <c r="Z89" s="383"/>
      <c r="AF89" s="303"/>
    </row>
    <row r="90" spans="2:34" ht="16" thickBot="1" x14ac:dyDescent="0.25"/>
    <row r="91" spans="2:34" s="58" customFormat="1" ht="22" x14ac:dyDescent="0.3">
      <c r="B91" s="308" t="s">
        <v>525</v>
      </c>
      <c r="O91" s="767" t="s">
        <v>920</v>
      </c>
      <c r="AB91" s="767" t="s">
        <v>920</v>
      </c>
      <c r="AF91" s="300"/>
      <c r="AG91" s="301"/>
      <c r="AH91" s="301"/>
    </row>
    <row r="92" spans="2:34" s="58" customFormat="1" x14ac:dyDescent="0.2">
      <c r="B92" s="58" t="s">
        <v>526</v>
      </c>
      <c r="C92" s="384"/>
      <c r="D92" s="342" t="e">
        <f>D75</f>
        <v>#DIV/0!</v>
      </c>
      <c r="E92" s="342" t="e">
        <f t="shared" ref="E92:M92" si="66">E75</f>
        <v>#DIV/0!</v>
      </c>
      <c r="F92" s="342" t="e">
        <f t="shared" si="66"/>
        <v>#DIV/0!</v>
      </c>
      <c r="G92" s="342" t="e">
        <f t="shared" si="66"/>
        <v>#DIV/0!</v>
      </c>
      <c r="H92" s="342" t="e">
        <f t="shared" si="66"/>
        <v>#DIV/0!</v>
      </c>
      <c r="I92" s="342" t="e">
        <f t="shared" si="66"/>
        <v>#DIV/0!</v>
      </c>
      <c r="J92" s="342" t="e">
        <f t="shared" si="66"/>
        <v>#DIV/0!</v>
      </c>
      <c r="K92" s="342" t="e">
        <f t="shared" si="66"/>
        <v>#DIV/0!</v>
      </c>
      <c r="L92" s="342" t="e">
        <f t="shared" si="66"/>
        <v>#DIV/0!</v>
      </c>
      <c r="M92" s="342" t="e">
        <f t="shared" si="66"/>
        <v>#DIV/0!</v>
      </c>
      <c r="N92" s="335" t="e">
        <f>SUM(D92:M92)</f>
        <v>#DIV/0!</v>
      </c>
      <c r="O92" s="768" t="e">
        <f>SUM(D92:H92)</f>
        <v>#DIV/0!</v>
      </c>
      <c r="P92" s="342"/>
      <c r="Q92" s="342" t="e">
        <f>Q75</f>
        <v>#DIV/0!</v>
      </c>
      <c r="R92" s="342" t="e">
        <f t="shared" ref="R92:Z92" si="67">R75</f>
        <v>#DIV/0!</v>
      </c>
      <c r="S92" s="342" t="e">
        <f t="shared" si="67"/>
        <v>#DIV/0!</v>
      </c>
      <c r="T92" s="342" t="e">
        <f t="shared" si="67"/>
        <v>#DIV/0!</v>
      </c>
      <c r="U92" s="342" t="e">
        <f t="shared" si="67"/>
        <v>#DIV/0!</v>
      </c>
      <c r="V92" s="342" t="e">
        <f t="shared" si="67"/>
        <v>#DIV/0!</v>
      </c>
      <c r="W92" s="342" t="e">
        <f t="shared" si="67"/>
        <v>#DIV/0!</v>
      </c>
      <c r="X92" s="342" t="e">
        <f t="shared" si="67"/>
        <v>#DIV/0!</v>
      </c>
      <c r="Y92" s="342" t="e">
        <f t="shared" si="67"/>
        <v>#DIV/0!</v>
      </c>
      <c r="Z92" s="342" t="e">
        <f t="shared" si="67"/>
        <v>#DIV/0!</v>
      </c>
      <c r="AA92" s="335" t="e">
        <f>SUM(Q92:Z92)</f>
        <v>#DIV/0!</v>
      </c>
      <c r="AB92" s="768" t="e">
        <f>SUM(Q92:U92)</f>
        <v>#DIV/0!</v>
      </c>
      <c r="AF92" s="300"/>
      <c r="AG92" s="301"/>
      <c r="AH92" s="301"/>
    </row>
    <row r="93" spans="2:34" s="58" customFormat="1" x14ac:dyDescent="0.2">
      <c r="B93" s="58" t="s">
        <v>527</v>
      </c>
      <c r="C93" s="384"/>
      <c r="D93" s="384"/>
      <c r="E93" s="384"/>
      <c r="F93" s="384"/>
      <c r="G93" s="384"/>
      <c r="H93" s="384"/>
      <c r="I93" s="384"/>
      <c r="J93" s="384"/>
      <c r="K93" s="384"/>
      <c r="L93" s="384"/>
      <c r="M93" s="342" t="e">
        <f>M92*(1+$C$101)/(WACC-$C$101)</f>
        <v>#DIV/0!</v>
      </c>
      <c r="N93" s="385"/>
      <c r="O93" s="769" t="e">
        <f>H92*(1+$C$101)/(WACC-$C$101)</f>
        <v>#DIV/0!</v>
      </c>
      <c r="P93" s="342"/>
      <c r="Q93" s="384"/>
      <c r="R93" s="384"/>
      <c r="S93" s="384"/>
      <c r="T93" s="384"/>
      <c r="U93" s="384"/>
      <c r="V93" s="384"/>
      <c r="W93" s="384"/>
      <c r="X93" s="384"/>
      <c r="Y93" s="384"/>
      <c r="Z93" s="342" t="e">
        <f>Z92*(1+$C$101)/(WACC-$C$101)</f>
        <v>#DIV/0!</v>
      </c>
      <c r="AA93" s="385"/>
      <c r="AB93" s="769" t="e">
        <f>U92*(1+$C$101)/(WACC-$C$101)</f>
        <v>#DIV/0!</v>
      </c>
      <c r="AF93" s="300"/>
      <c r="AG93" s="301"/>
      <c r="AH93" s="301"/>
    </row>
    <row r="94" spans="2:34" s="58" customFormat="1" ht="17.25" customHeight="1" x14ac:dyDescent="0.2">
      <c r="B94" s="58" t="s">
        <v>528</v>
      </c>
      <c r="C94" s="384"/>
      <c r="D94" s="331" t="e">
        <f>D92/(1+WACC)^D$6</f>
        <v>#DIV/0!</v>
      </c>
      <c r="E94" s="331" t="e">
        <f>E92/(1+WACC)^E$6</f>
        <v>#DIV/0!</v>
      </c>
      <c r="F94" s="331" t="e">
        <f t="shared" ref="F94:M94" si="68">F92/(1+WACC)^F$6</f>
        <v>#DIV/0!</v>
      </c>
      <c r="G94" s="331" t="e">
        <f t="shared" si="68"/>
        <v>#DIV/0!</v>
      </c>
      <c r="H94" s="331" t="e">
        <f t="shared" si="68"/>
        <v>#DIV/0!</v>
      </c>
      <c r="I94" s="331" t="e">
        <f t="shared" si="68"/>
        <v>#DIV/0!</v>
      </c>
      <c r="J94" s="331" t="e">
        <f t="shared" si="68"/>
        <v>#DIV/0!</v>
      </c>
      <c r="K94" s="331" t="e">
        <f t="shared" si="68"/>
        <v>#DIV/0!</v>
      </c>
      <c r="L94" s="331" t="e">
        <f t="shared" si="68"/>
        <v>#DIV/0!</v>
      </c>
      <c r="M94" s="331" t="e">
        <f t="shared" si="68"/>
        <v>#DIV/0!</v>
      </c>
      <c r="N94" s="335" t="e">
        <f>SUM(D94:M94)</f>
        <v>#DIV/0!</v>
      </c>
      <c r="O94" s="768" t="e">
        <f>SUM(D94:H94)</f>
        <v>#DIV/0!</v>
      </c>
      <c r="P94" s="342"/>
      <c r="Q94" s="331" t="e">
        <f t="shared" ref="Q94:Z94" si="69">Q92/(1+WACC)^Q$6</f>
        <v>#DIV/0!</v>
      </c>
      <c r="R94" s="331" t="e">
        <f t="shared" si="69"/>
        <v>#DIV/0!</v>
      </c>
      <c r="S94" s="331" t="e">
        <f t="shared" si="69"/>
        <v>#DIV/0!</v>
      </c>
      <c r="T94" s="331" t="e">
        <f t="shared" si="69"/>
        <v>#DIV/0!</v>
      </c>
      <c r="U94" s="331" t="e">
        <f t="shared" si="69"/>
        <v>#DIV/0!</v>
      </c>
      <c r="V94" s="331" t="e">
        <f t="shared" si="69"/>
        <v>#DIV/0!</v>
      </c>
      <c r="W94" s="331" t="e">
        <f t="shared" si="69"/>
        <v>#DIV/0!</v>
      </c>
      <c r="X94" s="331" t="e">
        <f t="shared" si="69"/>
        <v>#DIV/0!</v>
      </c>
      <c r="Y94" s="331" t="e">
        <f t="shared" si="69"/>
        <v>#DIV/0!</v>
      </c>
      <c r="Z94" s="331" t="e">
        <f t="shared" si="69"/>
        <v>#DIV/0!</v>
      </c>
      <c r="AA94" s="335" t="e">
        <f>SUM(Q94:Z94)</f>
        <v>#DIV/0!</v>
      </c>
      <c r="AB94" s="768" t="e">
        <f>SUM(Q94:U94)</f>
        <v>#DIV/0!</v>
      </c>
      <c r="AF94" s="300"/>
      <c r="AG94" s="301"/>
      <c r="AH94" s="301"/>
    </row>
    <row r="95" spans="2:34" s="58" customFormat="1" ht="15" customHeight="1" x14ac:dyDescent="0.2">
      <c r="B95" s="58" t="s">
        <v>529</v>
      </c>
      <c r="C95" s="384"/>
      <c r="D95" s="384"/>
      <c r="E95" s="384"/>
      <c r="F95" s="384"/>
      <c r="G95" s="384"/>
      <c r="H95" s="384"/>
      <c r="I95" s="384"/>
      <c r="J95" s="384"/>
      <c r="K95" s="384"/>
      <c r="L95" s="384"/>
      <c r="M95" s="331" t="e">
        <f>M93/(1+WACC)^M$6</f>
        <v>#DIV/0!</v>
      </c>
      <c r="N95" s="385"/>
      <c r="O95" s="770" t="e">
        <f>O93/(1+WACC)^H$6</f>
        <v>#DIV/0!</v>
      </c>
      <c r="P95" s="342"/>
      <c r="Q95" s="384"/>
      <c r="R95" s="384"/>
      <c r="S95" s="384"/>
      <c r="T95" s="384"/>
      <c r="U95" s="384"/>
      <c r="V95" s="384"/>
      <c r="W95" s="384"/>
      <c r="X95" s="384"/>
      <c r="Y95" s="384"/>
      <c r="Z95" s="331" t="e">
        <f>Z93/(1+WACC)^Z$6</f>
        <v>#DIV/0!</v>
      </c>
      <c r="AA95" s="385"/>
      <c r="AB95" s="770" t="e">
        <f>AB93/(1+WACC)^U$6</f>
        <v>#DIV/0!</v>
      </c>
      <c r="AF95" s="300"/>
      <c r="AG95" s="301"/>
      <c r="AH95" s="301"/>
    </row>
    <row r="96" spans="2:34" s="58" customFormat="1" ht="15" customHeight="1" x14ac:dyDescent="0.2">
      <c r="C96" s="342"/>
      <c r="D96" s="342"/>
      <c r="E96" s="342"/>
      <c r="F96" s="342"/>
      <c r="G96" s="342"/>
      <c r="H96" s="342"/>
      <c r="I96" s="342"/>
      <c r="J96" s="342"/>
      <c r="K96" s="342"/>
      <c r="L96" s="342"/>
      <c r="M96" s="331"/>
      <c r="N96" s="342"/>
      <c r="O96" s="769"/>
      <c r="P96" s="342"/>
      <c r="Q96" s="342"/>
      <c r="R96" s="342"/>
      <c r="S96" s="342"/>
      <c r="T96" s="342"/>
      <c r="U96" s="342"/>
      <c r="V96" s="342"/>
      <c r="W96" s="342"/>
      <c r="X96" s="342"/>
      <c r="Y96" s="342"/>
      <c r="Z96" s="342"/>
      <c r="AA96" s="342"/>
      <c r="AB96" s="769"/>
      <c r="AF96" s="300"/>
      <c r="AG96" s="301"/>
      <c r="AH96" s="301"/>
    </row>
    <row r="97" spans="2:34" s="58" customFormat="1" ht="15" customHeight="1" x14ac:dyDescent="0.2">
      <c r="B97" s="58" t="s">
        <v>921</v>
      </c>
      <c r="C97" s="384"/>
      <c r="D97" s="342" t="e">
        <f>D94</f>
        <v>#DIV/0!</v>
      </c>
      <c r="E97" s="342" t="e">
        <f t="shared" ref="E97:L97" si="70">E94</f>
        <v>#DIV/0!</v>
      </c>
      <c r="F97" s="342" t="e">
        <f t="shared" si="70"/>
        <v>#DIV/0!</v>
      </c>
      <c r="G97" s="342" t="e">
        <f t="shared" si="70"/>
        <v>#DIV/0!</v>
      </c>
      <c r="H97" s="342" t="e">
        <f t="shared" si="70"/>
        <v>#DIV/0!</v>
      </c>
      <c r="I97" s="342" t="e">
        <f t="shared" si="70"/>
        <v>#DIV/0!</v>
      </c>
      <c r="J97" s="342" t="e">
        <f t="shared" si="70"/>
        <v>#DIV/0!</v>
      </c>
      <c r="K97" s="342" t="e">
        <f t="shared" si="70"/>
        <v>#DIV/0!</v>
      </c>
      <c r="L97" s="342" t="e">
        <f t="shared" si="70"/>
        <v>#DIV/0!</v>
      </c>
      <c r="M97" s="342" t="e">
        <f>M94</f>
        <v>#DIV/0!</v>
      </c>
      <c r="N97" s="335" t="e">
        <f>SUM(D97:M97)</f>
        <v>#DIV/0!</v>
      </c>
      <c r="O97" s="768" t="e">
        <f>SUM(D97:H97)</f>
        <v>#DIV/0!</v>
      </c>
      <c r="P97" s="342"/>
      <c r="Q97" s="342" t="e">
        <f>Q94</f>
        <v>#DIV/0!</v>
      </c>
      <c r="R97" s="342" t="e">
        <f t="shared" ref="R97:Z97" si="71">R94</f>
        <v>#DIV/0!</v>
      </c>
      <c r="S97" s="342" t="e">
        <f t="shared" si="71"/>
        <v>#DIV/0!</v>
      </c>
      <c r="T97" s="342" t="e">
        <f t="shared" si="71"/>
        <v>#DIV/0!</v>
      </c>
      <c r="U97" s="342" t="e">
        <f t="shared" si="71"/>
        <v>#DIV/0!</v>
      </c>
      <c r="V97" s="342" t="e">
        <f t="shared" si="71"/>
        <v>#DIV/0!</v>
      </c>
      <c r="W97" s="342" t="e">
        <f t="shared" si="71"/>
        <v>#DIV/0!</v>
      </c>
      <c r="X97" s="342" t="e">
        <f t="shared" si="71"/>
        <v>#DIV/0!</v>
      </c>
      <c r="Y97" s="342" t="e">
        <f t="shared" si="71"/>
        <v>#DIV/0!</v>
      </c>
      <c r="Z97" s="342" t="e">
        <f t="shared" si="71"/>
        <v>#DIV/0!</v>
      </c>
      <c r="AA97" s="335" t="e">
        <f>SUM(Q97:Z97)</f>
        <v>#DIV/0!</v>
      </c>
      <c r="AB97" s="768" t="e">
        <f>SUM(Q97:U97)</f>
        <v>#DIV/0!</v>
      </c>
      <c r="AF97" s="300"/>
      <c r="AG97" s="301"/>
      <c r="AH97" s="301"/>
    </row>
    <row r="98" spans="2:34" s="58" customFormat="1" ht="15" customHeight="1" thickBot="1" x14ac:dyDescent="0.25">
      <c r="B98" s="58" t="s">
        <v>530</v>
      </c>
      <c r="C98" s="384"/>
      <c r="D98" s="342" t="e">
        <f>SUM(D94:D95)</f>
        <v>#DIV/0!</v>
      </c>
      <c r="E98" s="342" t="e">
        <f t="shared" ref="E98:L98" si="72">SUM(E94:E95)</f>
        <v>#DIV/0!</v>
      </c>
      <c r="F98" s="342" t="e">
        <f t="shared" si="72"/>
        <v>#DIV/0!</v>
      </c>
      <c r="G98" s="342" t="e">
        <f t="shared" si="72"/>
        <v>#DIV/0!</v>
      </c>
      <c r="H98" s="342" t="e">
        <f t="shared" si="72"/>
        <v>#DIV/0!</v>
      </c>
      <c r="I98" s="342" t="e">
        <f t="shared" si="72"/>
        <v>#DIV/0!</v>
      </c>
      <c r="J98" s="342" t="e">
        <f t="shared" si="72"/>
        <v>#DIV/0!</v>
      </c>
      <c r="K98" s="342" t="e">
        <f t="shared" si="72"/>
        <v>#DIV/0!</v>
      </c>
      <c r="L98" s="342" t="e">
        <f t="shared" si="72"/>
        <v>#DIV/0!</v>
      </c>
      <c r="M98" s="342" t="e">
        <f>SUM(M94:M95)</f>
        <v>#DIV/0!</v>
      </c>
      <c r="N98" s="335" t="e">
        <f>SUM(D98:M98)</f>
        <v>#DIV/0!</v>
      </c>
      <c r="O98" s="771" t="e">
        <f>SUM(D98:H98)+SUM(O94:O95)</f>
        <v>#DIV/0!</v>
      </c>
      <c r="P98" s="342"/>
      <c r="Q98" s="342" t="e">
        <f>SUM(Q94:Q95)</f>
        <v>#DIV/0!</v>
      </c>
      <c r="R98" s="342" t="e">
        <f t="shared" ref="R98:Z98" si="73">SUM(R94:R95)</f>
        <v>#DIV/0!</v>
      </c>
      <c r="S98" s="342" t="e">
        <f t="shared" si="73"/>
        <v>#DIV/0!</v>
      </c>
      <c r="T98" s="342" t="e">
        <f t="shared" si="73"/>
        <v>#DIV/0!</v>
      </c>
      <c r="U98" s="342" t="e">
        <f t="shared" si="73"/>
        <v>#DIV/0!</v>
      </c>
      <c r="V98" s="342" t="e">
        <f t="shared" si="73"/>
        <v>#DIV/0!</v>
      </c>
      <c r="W98" s="342" t="e">
        <f t="shared" si="73"/>
        <v>#DIV/0!</v>
      </c>
      <c r="X98" s="342" t="e">
        <f t="shared" si="73"/>
        <v>#DIV/0!</v>
      </c>
      <c r="Y98" s="342" t="e">
        <f t="shared" si="73"/>
        <v>#DIV/0!</v>
      </c>
      <c r="Z98" s="342" t="e">
        <f t="shared" si="73"/>
        <v>#DIV/0!</v>
      </c>
      <c r="AA98" s="335" t="e">
        <f>SUM(Q98:Z98)</f>
        <v>#DIV/0!</v>
      </c>
      <c r="AB98" s="771" t="e">
        <f>SUM(Q98:U98)+SUM(AB94:AB95)</f>
        <v>#DIV/0!</v>
      </c>
      <c r="AF98" s="300"/>
      <c r="AG98" s="301"/>
      <c r="AH98" s="301"/>
    </row>
    <row r="100" spans="2:34" s="58" customFormat="1" x14ac:dyDescent="0.2">
      <c r="B100" s="58" t="s">
        <v>531</v>
      </c>
      <c r="C100" s="386">
        <f>WACC</f>
        <v>7.0000000000000007E-2</v>
      </c>
      <c r="AF100" s="300"/>
      <c r="AG100" s="301"/>
      <c r="AH100" s="301"/>
    </row>
    <row r="101" spans="2:34" s="58" customFormat="1" x14ac:dyDescent="0.2">
      <c r="B101" s="58" t="s">
        <v>532</v>
      </c>
      <c r="C101" s="387">
        <v>0.03</v>
      </c>
      <c r="AF101" s="300"/>
      <c r="AG101" s="301"/>
      <c r="AH101" s="301"/>
    </row>
  </sheetData>
  <mergeCells count="1">
    <mergeCell ref="AD5:AD6"/>
  </mergeCells>
  <pageMargins left="0.7" right="0.7" top="0.75" bottom="0.75" header="0.3" footer="0.3"/>
  <pageSetup scale="16"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528C-4678-46AB-A282-96E9C37BFB50}">
  <sheetPr codeName="Sheet19">
    <tabColor theme="2" tint="-0.249977111117893"/>
  </sheetPr>
  <dimension ref="B2:XET69"/>
  <sheetViews>
    <sheetView showGridLines="0" zoomScaleNormal="100" workbookViewId="0">
      <pane ySplit="4" topLeftCell="A11" activePane="bottomLeft" state="frozen"/>
      <selection pane="bottomLeft" activeCell="K13" sqref="K13"/>
    </sheetView>
  </sheetViews>
  <sheetFormatPr baseColWidth="10" defaultColWidth="9" defaultRowHeight="14" x14ac:dyDescent="0.2"/>
  <cols>
    <col min="1" max="1" width="2.83203125" style="65" customWidth="1"/>
    <col min="2" max="2" width="52.83203125" style="65" customWidth="1"/>
    <col min="3" max="3" width="2.5" style="65" customWidth="1"/>
    <col min="4" max="4" width="16.5" style="65" customWidth="1"/>
    <col min="5" max="5" width="20.83203125" style="65" bestFit="1" customWidth="1"/>
    <col min="6" max="6" width="16.5" style="65" customWidth="1"/>
    <col min="7" max="7" width="44.83203125" style="65" customWidth="1"/>
    <col min="8" max="8" width="23" style="65" customWidth="1"/>
    <col min="9" max="9" width="2.5" style="65" customWidth="1"/>
    <col min="10" max="10" width="16.83203125" style="65" customWidth="1"/>
    <col min="11" max="11" width="16.5" style="65" customWidth="1"/>
    <col min="12" max="12" width="2.5" style="65" customWidth="1"/>
    <col min="13" max="13" width="30.83203125" style="65" customWidth="1"/>
    <col min="14" max="16" width="16.5" style="65" customWidth="1"/>
    <col min="17" max="16384" width="9" style="65"/>
  </cols>
  <sheetData>
    <row r="2" spans="2:18 16374:16374" ht="15" x14ac:dyDescent="0.2">
      <c r="B2" s="59" t="s">
        <v>533</v>
      </c>
    </row>
    <row r="4" spans="2:18 16374:16374" x14ac:dyDescent="0.2">
      <c r="D4" s="90" t="s">
        <v>534</v>
      </c>
      <c r="E4" s="90" t="s">
        <v>535</v>
      </c>
      <c r="F4" s="90" t="s">
        <v>536</v>
      </c>
      <c r="G4" s="90" t="s">
        <v>537</v>
      </c>
      <c r="H4" s="90" t="s">
        <v>538</v>
      </c>
      <c r="J4" s="90" t="s">
        <v>539</v>
      </c>
      <c r="K4" s="90" t="s">
        <v>540</v>
      </c>
      <c r="M4" s="90" t="s">
        <v>481</v>
      </c>
      <c r="O4" s="168" t="s">
        <v>541</v>
      </c>
    </row>
    <row r="5" spans="2:18 16374:16374" ht="15" x14ac:dyDescent="0.2">
      <c r="B5" s="169" t="s">
        <v>531</v>
      </c>
      <c r="C5" s="83"/>
      <c r="D5" s="85" t="s">
        <v>542</v>
      </c>
      <c r="E5" s="85"/>
      <c r="F5" s="85" t="s">
        <v>543</v>
      </c>
      <c r="G5" s="170"/>
      <c r="H5" s="170"/>
      <c r="I5" s="170"/>
      <c r="J5" s="426">
        <v>7.0000000000000007E-2</v>
      </c>
      <c r="K5" s="206">
        <f>J5</f>
        <v>7.0000000000000007E-2</v>
      </c>
      <c r="L5" s="170"/>
      <c r="M5" s="173"/>
      <c r="O5" s="234">
        <v>5.2999999999999999E-2</v>
      </c>
      <c r="P5" s="175"/>
    </row>
    <row r="6" spans="2:18 16374:16374" ht="15" x14ac:dyDescent="0.2">
      <c r="B6" s="169" t="s">
        <v>544</v>
      </c>
      <c r="C6" s="83"/>
      <c r="D6" s="170" t="s">
        <v>545</v>
      </c>
      <c r="E6" s="170"/>
      <c r="F6" s="170"/>
      <c r="G6" s="170"/>
      <c r="H6" s="170" t="s">
        <v>543</v>
      </c>
      <c r="I6" s="170"/>
      <c r="J6" s="171">
        <f>730*12</f>
        <v>8760</v>
      </c>
      <c r="K6" s="172">
        <f>J6</f>
        <v>8760</v>
      </c>
      <c r="L6" s="170"/>
      <c r="M6" s="173"/>
      <c r="O6" s="174">
        <v>8760</v>
      </c>
      <c r="P6" s="175"/>
    </row>
    <row r="7" spans="2:18 16374:16374" x14ac:dyDescent="0.2">
      <c r="B7" s="169" t="s">
        <v>546</v>
      </c>
      <c r="C7" s="83"/>
      <c r="D7" s="170" t="s">
        <v>545</v>
      </c>
      <c r="E7" s="170"/>
      <c r="F7" s="170"/>
      <c r="G7" s="170"/>
      <c r="H7" s="170" t="s">
        <v>543</v>
      </c>
      <c r="I7" s="170"/>
      <c r="J7" s="176">
        <v>1E-3</v>
      </c>
      <c r="K7" s="177">
        <v>1E-3</v>
      </c>
      <c r="L7" s="170"/>
      <c r="M7" s="173"/>
      <c r="O7" s="178">
        <v>1E-3</v>
      </c>
      <c r="R7" s="65" t="s">
        <v>547</v>
      </c>
    </row>
    <row r="8" spans="2:18 16374:16374" x14ac:dyDescent="0.2">
      <c r="B8" s="179" t="s">
        <v>548</v>
      </c>
      <c r="C8" s="180"/>
      <c r="D8" s="181" t="s">
        <v>545</v>
      </c>
      <c r="E8" s="181"/>
      <c r="F8" s="181"/>
      <c r="G8" s="181"/>
      <c r="H8" s="181" t="s">
        <v>543</v>
      </c>
      <c r="I8" s="181"/>
      <c r="J8" s="182">
        <v>1E-3</v>
      </c>
      <c r="K8" s="183">
        <v>1E-3</v>
      </c>
      <c r="L8" s="181"/>
      <c r="M8" s="184"/>
      <c r="O8" s="185">
        <v>1E-3</v>
      </c>
    </row>
    <row r="9" spans="2:18 16374:16374" s="136" customFormat="1" ht="8.25" customHeight="1" x14ac:dyDescent="0.2">
      <c r="D9" s="186"/>
      <c r="E9" s="186"/>
      <c r="F9" s="186"/>
      <c r="G9" s="186"/>
      <c r="H9" s="186"/>
      <c r="J9" s="187"/>
      <c r="K9" s="188"/>
      <c r="O9" s="188"/>
    </row>
    <row r="10" spans="2:18 16374:16374" x14ac:dyDescent="0.2">
      <c r="B10" s="189" t="s">
        <v>549</v>
      </c>
      <c r="C10" s="190"/>
      <c r="D10" s="191"/>
      <c r="E10" s="191"/>
      <c r="F10" s="191"/>
      <c r="G10" s="191"/>
      <c r="H10" s="191"/>
      <c r="I10" s="191"/>
      <c r="J10" s="192"/>
      <c r="K10" s="192"/>
      <c r="L10" s="191"/>
      <c r="M10" s="193"/>
      <c r="O10" s="192"/>
      <c r="XET10" s="194"/>
    </row>
    <row r="11" spans="2:18 16374:16374" x14ac:dyDescent="0.2">
      <c r="B11" s="195" t="s">
        <v>550</v>
      </c>
      <c r="D11" s="85" t="s">
        <v>551</v>
      </c>
      <c r="E11" s="85"/>
      <c r="F11" s="85" t="s">
        <v>552</v>
      </c>
      <c r="G11" s="85" t="s">
        <v>553</v>
      </c>
      <c r="H11" s="85" t="s">
        <v>554</v>
      </c>
      <c r="I11" s="85"/>
      <c r="J11" s="196">
        <v>12</v>
      </c>
      <c r="K11" s="197">
        <f t="shared" ref="K11:K17" si="0">J11</f>
        <v>12</v>
      </c>
      <c r="L11" s="85"/>
      <c r="M11" s="198"/>
      <c r="O11" s="199">
        <v>8</v>
      </c>
    </row>
    <row r="12" spans="2:18 16374:16374" x14ac:dyDescent="0.2">
      <c r="B12" s="169" t="s">
        <v>555</v>
      </c>
      <c r="C12" s="83"/>
      <c r="D12" s="85" t="s">
        <v>551</v>
      </c>
      <c r="E12" s="85"/>
      <c r="F12" s="85" t="s">
        <v>552</v>
      </c>
      <c r="G12" s="85" t="s">
        <v>553</v>
      </c>
      <c r="H12" s="85" t="s">
        <v>556</v>
      </c>
      <c r="I12" s="85"/>
      <c r="J12" s="196">
        <v>7</v>
      </c>
      <c r="K12" s="640">
        <f>'1-Client Variables'!D66</f>
        <v>0</v>
      </c>
      <c r="L12" s="170"/>
      <c r="M12" s="173"/>
      <c r="O12" s="200">
        <v>2</v>
      </c>
    </row>
    <row r="13" spans="2:18 16374:16374" x14ac:dyDescent="0.2">
      <c r="B13" s="169" t="s">
        <v>557</v>
      </c>
      <c r="C13" s="83"/>
      <c r="D13" s="85" t="s">
        <v>542</v>
      </c>
      <c r="E13" s="85"/>
      <c r="F13" s="85" t="s">
        <v>543</v>
      </c>
      <c r="G13" s="85"/>
      <c r="H13" s="85"/>
      <c r="I13" s="85"/>
      <c r="J13" s="196">
        <v>1</v>
      </c>
      <c r="K13" s="197">
        <f t="shared" si="0"/>
        <v>1</v>
      </c>
      <c r="L13" s="170"/>
      <c r="M13" s="173"/>
      <c r="O13" s="200"/>
    </row>
    <row r="14" spans="2:18 16374:16374" x14ac:dyDescent="0.2">
      <c r="B14" s="195" t="s">
        <v>558</v>
      </c>
      <c r="D14" s="85" t="s">
        <v>551</v>
      </c>
      <c r="E14" s="85"/>
      <c r="F14" s="85" t="s">
        <v>552</v>
      </c>
      <c r="G14" s="85" t="s">
        <v>553</v>
      </c>
      <c r="H14" s="85" t="s">
        <v>556</v>
      </c>
      <c r="I14" s="85"/>
      <c r="J14" s="201">
        <v>147</v>
      </c>
      <c r="K14" s="202">
        <f t="shared" si="0"/>
        <v>147</v>
      </c>
      <c r="L14" s="85"/>
      <c r="M14" s="198"/>
      <c r="O14" s="203">
        <v>212.26137087912085</v>
      </c>
    </row>
    <row r="15" spans="2:18 16374:16374" x14ac:dyDescent="0.2">
      <c r="B15" s="195" t="s">
        <v>559</v>
      </c>
      <c r="D15" s="85" t="s">
        <v>542</v>
      </c>
      <c r="E15" s="85"/>
      <c r="F15" s="85"/>
      <c r="G15" s="85"/>
      <c r="H15" s="85"/>
      <c r="I15" s="85"/>
      <c r="J15" s="194">
        <v>16.503450721153847</v>
      </c>
      <c r="K15" s="202">
        <f t="shared" si="0"/>
        <v>16.503450721153847</v>
      </c>
      <c r="L15" s="85"/>
      <c r="M15" s="198"/>
      <c r="O15" s="203">
        <v>16.503450721153847</v>
      </c>
    </row>
    <row r="16" spans="2:18 16374:16374" x14ac:dyDescent="0.2">
      <c r="B16" s="195" t="s">
        <v>560</v>
      </c>
      <c r="D16" s="85" t="s">
        <v>551</v>
      </c>
      <c r="E16" s="85" t="s">
        <v>561</v>
      </c>
      <c r="F16" s="85" t="s">
        <v>552</v>
      </c>
      <c r="G16" s="85" t="s">
        <v>553</v>
      </c>
      <c r="H16" s="85" t="s">
        <v>556</v>
      </c>
      <c r="I16" s="85"/>
      <c r="J16" s="194">
        <v>2.2000000000000002</v>
      </c>
      <c r="K16" s="202">
        <f t="shared" si="0"/>
        <v>2.2000000000000002</v>
      </c>
      <c r="M16" s="198"/>
      <c r="O16" s="203">
        <v>1.9049193548387107</v>
      </c>
    </row>
    <row r="17" spans="2:15 16374:16374" x14ac:dyDescent="0.2">
      <c r="B17" s="195" t="s">
        <v>562</v>
      </c>
      <c r="D17" s="85" t="s">
        <v>543</v>
      </c>
      <c r="E17" s="85"/>
      <c r="F17" s="85"/>
      <c r="G17" s="85"/>
      <c r="H17" s="85"/>
      <c r="I17" s="85"/>
      <c r="J17" s="201">
        <v>0</v>
      </c>
      <c r="K17" s="204">
        <f t="shared" si="0"/>
        <v>0</v>
      </c>
      <c r="M17" s="198" t="s">
        <v>563</v>
      </c>
      <c r="O17" s="205">
        <v>960</v>
      </c>
    </row>
    <row r="18" spans="2:15 16374:16374" x14ac:dyDescent="0.2">
      <c r="B18" s="169" t="s">
        <v>564</v>
      </c>
      <c r="D18" s="85" t="s">
        <v>542</v>
      </c>
      <c r="E18" s="170" t="s">
        <v>565</v>
      </c>
      <c r="F18" s="85" t="s">
        <v>543</v>
      </c>
      <c r="G18" s="85"/>
      <c r="H18" s="85" t="s">
        <v>566</v>
      </c>
      <c r="I18" s="85"/>
      <c r="J18" s="194">
        <v>0.15</v>
      </c>
      <c r="K18" s="202">
        <f t="shared" ref="K18:K19" si="1">J18</f>
        <v>0.15</v>
      </c>
      <c r="M18" s="173"/>
      <c r="O18" s="203">
        <v>0.15</v>
      </c>
    </row>
    <row r="19" spans="2:15 16374:16374" x14ac:dyDescent="0.2">
      <c r="B19" s="169" t="s">
        <v>567</v>
      </c>
      <c r="D19" s="85" t="s">
        <v>542</v>
      </c>
      <c r="E19" s="170" t="s">
        <v>565</v>
      </c>
      <c r="F19" s="85" t="s">
        <v>543</v>
      </c>
      <c r="G19" s="85"/>
      <c r="H19" s="85" t="s">
        <v>566</v>
      </c>
      <c r="I19" s="85"/>
      <c r="J19" s="194">
        <v>0.15</v>
      </c>
      <c r="K19" s="202">
        <f t="shared" si="1"/>
        <v>0.15</v>
      </c>
      <c r="M19" s="173"/>
      <c r="O19" s="203">
        <v>0.15</v>
      </c>
    </row>
    <row r="20" spans="2:15 16374:16374" x14ac:dyDescent="0.2">
      <c r="B20" s="195" t="s">
        <v>568</v>
      </c>
      <c r="D20" s="85"/>
      <c r="E20" s="170" t="s">
        <v>569</v>
      </c>
      <c r="F20" s="85" t="s">
        <v>570</v>
      </c>
      <c r="G20" s="85"/>
      <c r="H20" s="85"/>
      <c r="I20" s="85"/>
      <c r="J20" s="194"/>
      <c r="K20" s="206">
        <v>0.05</v>
      </c>
      <c r="M20" s="207" t="s">
        <v>571</v>
      </c>
      <c r="O20" s="208">
        <v>0.05</v>
      </c>
    </row>
    <row r="21" spans="2:15 16374:16374" x14ac:dyDescent="0.2">
      <c r="B21" s="209" t="s">
        <v>572</v>
      </c>
      <c r="C21" s="210"/>
      <c r="D21" s="211"/>
      <c r="E21" s="181" t="s">
        <v>569</v>
      </c>
      <c r="F21" s="211" t="s">
        <v>570</v>
      </c>
      <c r="G21" s="211"/>
      <c r="H21" s="211"/>
      <c r="I21" s="211"/>
      <c r="J21" s="212"/>
      <c r="K21" s="213">
        <v>0.1</v>
      </c>
      <c r="L21" s="210"/>
      <c r="M21" s="214" t="s">
        <v>571</v>
      </c>
      <c r="O21" s="215">
        <v>0.1</v>
      </c>
    </row>
    <row r="22" spans="2:15 16374:16374" s="136" customFormat="1" ht="8.25" customHeight="1" x14ac:dyDescent="0.2">
      <c r="D22" s="186"/>
      <c r="E22" s="186"/>
      <c r="F22" s="186"/>
      <c r="G22" s="186"/>
      <c r="H22" s="186"/>
      <c r="J22" s="187"/>
      <c r="K22" s="188"/>
      <c r="O22" s="188"/>
    </row>
    <row r="23" spans="2:15 16374:16374" x14ac:dyDescent="0.2">
      <c r="B23" s="189" t="s">
        <v>573</v>
      </c>
      <c r="C23" s="190"/>
      <c r="D23" s="191"/>
      <c r="E23" s="191"/>
      <c r="F23" s="191"/>
      <c r="G23" s="191"/>
      <c r="H23" s="191"/>
      <c r="I23" s="191"/>
      <c r="J23" s="192"/>
      <c r="K23" s="192"/>
      <c r="L23" s="191"/>
      <c r="M23" s="193"/>
      <c r="O23" s="192"/>
      <c r="XET23" s="194"/>
    </row>
    <row r="24" spans="2:15 16374:16374" x14ac:dyDescent="0.2">
      <c r="B24" s="195" t="s">
        <v>574</v>
      </c>
      <c r="D24" s="85" t="s">
        <v>575</v>
      </c>
      <c r="E24" s="85"/>
      <c r="F24" s="85" t="s">
        <v>543</v>
      </c>
      <c r="G24" s="85"/>
      <c r="H24" s="85" t="s">
        <v>576</v>
      </c>
      <c r="J24" s="216">
        <v>16</v>
      </c>
      <c r="K24" s="197">
        <f>J24</f>
        <v>16</v>
      </c>
      <c r="M24" s="198"/>
      <c r="O24" s="200">
        <v>16</v>
      </c>
    </row>
    <row r="25" spans="2:15 16374:16374" x14ac:dyDescent="0.2">
      <c r="B25" s="195" t="s">
        <v>577</v>
      </c>
      <c r="D25" s="85" t="s">
        <v>575</v>
      </c>
      <c r="E25" s="85"/>
      <c r="F25" s="85" t="s">
        <v>543</v>
      </c>
      <c r="G25" s="85"/>
      <c r="H25" s="85" t="s">
        <v>576</v>
      </c>
      <c r="J25" s="216">
        <v>2</v>
      </c>
      <c r="K25" s="197">
        <f t="shared" ref="K25:K34" si="2">J25</f>
        <v>2</v>
      </c>
      <c r="M25" s="198"/>
      <c r="O25" s="200">
        <v>2</v>
      </c>
    </row>
    <row r="26" spans="2:15 16374:16374" x14ac:dyDescent="0.2">
      <c r="B26" s="195" t="s">
        <v>578</v>
      </c>
      <c r="D26" s="85" t="s">
        <v>551</v>
      </c>
      <c r="E26" s="85"/>
      <c r="F26" s="85" t="s">
        <v>552</v>
      </c>
      <c r="G26" s="85"/>
      <c r="H26" s="85" t="s">
        <v>579</v>
      </c>
      <c r="J26" s="216">
        <v>3</v>
      </c>
      <c r="K26" s="197">
        <f t="shared" si="2"/>
        <v>3</v>
      </c>
      <c r="M26" s="198"/>
      <c r="O26" s="200">
        <v>3</v>
      </c>
    </row>
    <row r="27" spans="2:15 16374:16374" x14ac:dyDescent="0.2">
      <c r="B27" s="195" t="s">
        <v>580</v>
      </c>
      <c r="D27" s="85" t="s">
        <v>551</v>
      </c>
      <c r="E27" s="85"/>
      <c r="F27" s="85" t="s">
        <v>552</v>
      </c>
      <c r="G27" s="85"/>
      <c r="H27" s="85" t="s">
        <v>579</v>
      </c>
      <c r="J27" s="216">
        <v>13</v>
      </c>
      <c r="K27" s="197">
        <f t="shared" si="2"/>
        <v>13</v>
      </c>
      <c r="M27" s="198"/>
      <c r="O27" s="200">
        <v>13</v>
      </c>
    </row>
    <row r="28" spans="2:15 16374:16374" x14ac:dyDescent="0.2">
      <c r="B28" s="195" t="s">
        <v>581</v>
      </c>
      <c r="D28" s="85" t="s">
        <v>551</v>
      </c>
      <c r="E28" s="85"/>
      <c r="F28" s="85" t="s">
        <v>552</v>
      </c>
      <c r="G28" s="85"/>
      <c r="H28" s="85" t="s">
        <v>579</v>
      </c>
      <c r="J28" s="216">
        <v>2</v>
      </c>
      <c r="K28" s="197">
        <f t="shared" si="2"/>
        <v>2</v>
      </c>
      <c r="M28" s="198"/>
      <c r="O28" s="200">
        <v>2</v>
      </c>
    </row>
    <row r="29" spans="2:15 16374:16374" s="136" customFormat="1" ht="8.25" customHeight="1" x14ac:dyDescent="0.2">
      <c r="B29" s="217"/>
      <c r="D29" s="186"/>
      <c r="E29" s="186"/>
      <c r="F29" s="186"/>
      <c r="G29" s="186"/>
      <c r="H29" s="186"/>
      <c r="J29" s="218"/>
      <c r="K29" s="219"/>
      <c r="M29" s="220"/>
      <c r="O29" s="219"/>
    </row>
    <row r="30" spans="2:15 16374:16374" x14ac:dyDescent="0.2">
      <c r="B30" s="195" t="s">
        <v>582</v>
      </c>
      <c r="D30" s="85" t="s">
        <v>542</v>
      </c>
      <c r="E30" s="85" t="s">
        <v>583</v>
      </c>
      <c r="F30" s="85" t="s">
        <v>552</v>
      </c>
      <c r="G30" s="85"/>
      <c r="H30" s="85" t="s">
        <v>584</v>
      </c>
      <c r="J30" s="194">
        <v>905.995</v>
      </c>
      <c r="K30" s="202">
        <f>J30</f>
        <v>905.995</v>
      </c>
      <c r="M30" s="198"/>
      <c r="O30" s="203">
        <v>905.995</v>
      </c>
    </row>
    <row r="31" spans="2:15 16374:16374" x14ac:dyDescent="0.2">
      <c r="B31" s="195" t="s">
        <v>585</v>
      </c>
      <c r="D31" s="85" t="s">
        <v>551</v>
      </c>
      <c r="E31" s="85"/>
      <c r="F31" s="85" t="s">
        <v>552</v>
      </c>
      <c r="G31" s="85"/>
      <c r="H31" s="85" t="s">
        <v>579</v>
      </c>
      <c r="J31" s="194">
        <v>86607.142857142855</v>
      </c>
      <c r="K31" s="202">
        <f t="shared" si="2"/>
        <v>86607.142857142855</v>
      </c>
      <c r="M31" s="198"/>
      <c r="O31" s="203">
        <v>86607.142857142855</v>
      </c>
    </row>
    <row r="32" spans="2:15 16374:16374" x14ac:dyDescent="0.2">
      <c r="B32" s="195" t="s">
        <v>586</v>
      </c>
      <c r="D32" s="85" t="s">
        <v>551</v>
      </c>
      <c r="E32" s="85"/>
      <c r="F32" s="85" t="s">
        <v>552</v>
      </c>
      <c r="G32" s="85"/>
      <c r="H32" s="85" t="s">
        <v>579</v>
      </c>
      <c r="J32" s="194">
        <v>14572.727272727272</v>
      </c>
      <c r="K32" s="202">
        <f t="shared" si="2"/>
        <v>14572.727272727272</v>
      </c>
      <c r="M32" s="198"/>
      <c r="O32" s="203">
        <v>14572.727272727272</v>
      </c>
    </row>
    <row r="33" spans="2:15 16374:16374" x14ac:dyDescent="0.2">
      <c r="B33" s="195" t="s">
        <v>587</v>
      </c>
      <c r="D33" s="85" t="s">
        <v>551</v>
      </c>
      <c r="E33" s="85"/>
      <c r="F33" s="85" t="s">
        <v>552</v>
      </c>
      <c r="G33" s="85"/>
      <c r="H33" s="85" t="s">
        <v>579</v>
      </c>
      <c r="J33" s="194">
        <v>4317.7560975609758</v>
      </c>
      <c r="K33" s="202">
        <f t="shared" si="2"/>
        <v>4317.7560975609758</v>
      </c>
      <c r="M33" s="198"/>
      <c r="O33" s="203">
        <v>4317.7560975609758</v>
      </c>
    </row>
    <row r="34" spans="2:15 16374:16374" x14ac:dyDescent="0.2">
      <c r="B34" s="195" t="s">
        <v>588</v>
      </c>
      <c r="D34" s="85" t="s">
        <v>551</v>
      </c>
      <c r="E34" s="85"/>
      <c r="F34" s="85" t="s">
        <v>552</v>
      </c>
      <c r="G34" s="85"/>
      <c r="H34" s="85" t="s">
        <v>579</v>
      </c>
      <c r="J34" s="194">
        <v>96333.333333333328</v>
      </c>
      <c r="K34" s="202">
        <f t="shared" si="2"/>
        <v>96333.333333333328</v>
      </c>
      <c r="M34" s="198"/>
      <c r="O34" s="203">
        <v>96333.333333333328</v>
      </c>
    </row>
    <row r="35" spans="2:15 16374:16374" x14ac:dyDescent="0.2">
      <c r="B35" s="209" t="s">
        <v>589</v>
      </c>
      <c r="C35" s="210"/>
      <c r="D35" s="211"/>
      <c r="E35" s="181" t="s">
        <v>569</v>
      </c>
      <c r="F35" s="211" t="s">
        <v>570</v>
      </c>
      <c r="G35" s="211"/>
      <c r="H35" s="211"/>
      <c r="I35" s="211"/>
      <c r="J35" s="212"/>
      <c r="K35" s="213">
        <v>0.1</v>
      </c>
      <c r="L35" s="210"/>
      <c r="M35" s="214" t="s">
        <v>571</v>
      </c>
      <c r="O35" s="215">
        <v>0.1</v>
      </c>
    </row>
    <row r="36" spans="2:15 16374:16374" s="136" customFormat="1" ht="8.25" customHeight="1" x14ac:dyDescent="0.2">
      <c r="D36" s="186"/>
      <c r="E36" s="186"/>
      <c r="F36" s="186"/>
      <c r="G36" s="186"/>
      <c r="H36" s="186"/>
      <c r="J36" s="187"/>
      <c r="K36" s="188"/>
      <c r="O36" s="188"/>
    </row>
    <row r="37" spans="2:15 16374:16374" x14ac:dyDescent="0.2">
      <c r="B37" s="189" t="s">
        <v>590</v>
      </c>
      <c r="C37" s="190"/>
      <c r="D37" s="191"/>
      <c r="E37" s="191"/>
      <c r="F37" s="191"/>
      <c r="G37" s="191"/>
      <c r="H37" s="191"/>
      <c r="I37" s="191"/>
      <c r="J37" s="192"/>
      <c r="K37" s="192"/>
      <c r="L37" s="191"/>
      <c r="M37" s="193"/>
      <c r="O37" s="192"/>
      <c r="XET37" s="194"/>
    </row>
    <row r="38" spans="2:15 16374:16374" x14ac:dyDescent="0.2">
      <c r="B38" s="195" t="s">
        <v>591</v>
      </c>
      <c r="D38" s="85" t="s">
        <v>542</v>
      </c>
      <c r="E38" s="85" t="s">
        <v>592</v>
      </c>
      <c r="F38" s="85" t="s">
        <v>543</v>
      </c>
      <c r="G38" s="85" t="s">
        <v>593</v>
      </c>
      <c r="H38" s="85" t="s">
        <v>594</v>
      </c>
      <c r="J38" s="201">
        <v>86.160000000000011</v>
      </c>
      <c r="K38" s="202">
        <f>J38</f>
        <v>86.160000000000011</v>
      </c>
      <c r="M38" s="198" t="s">
        <v>595</v>
      </c>
      <c r="O38" s="203">
        <v>51.930000000000007</v>
      </c>
    </row>
    <row r="39" spans="2:15 16374:16374" x14ac:dyDescent="0.2">
      <c r="B39" s="195" t="s">
        <v>596</v>
      </c>
      <c r="D39" s="85" t="s">
        <v>542</v>
      </c>
      <c r="E39" s="85" t="s">
        <v>592</v>
      </c>
      <c r="F39" s="85" t="s">
        <v>543</v>
      </c>
      <c r="G39" s="85" t="s">
        <v>593</v>
      </c>
      <c r="H39" s="85" t="s">
        <v>594</v>
      </c>
      <c r="J39" s="201">
        <v>1814.46</v>
      </c>
      <c r="K39" s="202">
        <f>J39</f>
        <v>1814.46</v>
      </c>
      <c r="M39" s="198" t="s">
        <v>595</v>
      </c>
      <c r="O39" s="203">
        <v>993.9</v>
      </c>
    </row>
    <row r="40" spans="2:15 16374:16374" x14ac:dyDescent="0.2">
      <c r="B40" s="195" t="s">
        <v>597</v>
      </c>
      <c r="D40" s="85" t="s">
        <v>542</v>
      </c>
      <c r="E40" s="85" t="s">
        <v>592</v>
      </c>
      <c r="F40" s="85" t="s">
        <v>543</v>
      </c>
      <c r="G40" s="85" t="s">
        <v>593</v>
      </c>
      <c r="H40" s="85" t="s">
        <v>594</v>
      </c>
      <c r="J40" s="201">
        <v>343.72499999999997</v>
      </c>
      <c r="K40" s="202">
        <f t="shared" ref="K40:K45" si="3">J40</f>
        <v>343.72499999999997</v>
      </c>
      <c r="M40" s="198" t="s">
        <v>598</v>
      </c>
      <c r="O40" s="203"/>
    </row>
    <row r="41" spans="2:15 16374:16374" x14ac:dyDescent="0.2">
      <c r="B41" s="195" t="s">
        <v>599</v>
      </c>
      <c r="D41" s="85" t="s">
        <v>542</v>
      </c>
      <c r="E41" s="85" t="s">
        <v>592</v>
      </c>
      <c r="F41" s="85" t="s">
        <v>543</v>
      </c>
      <c r="G41" s="85" t="s">
        <v>593</v>
      </c>
      <c r="H41" s="85" t="s">
        <v>594</v>
      </c>
      <c r="J41" s="201">
        <v>6598.335</v>
      </c>
      <c r="K41" s="202">
        <f t="shared" si="3"/>
        <v>6598.335</v>
      </c>
      <c r="M41" s="198" t="s">
        <v>598</v>
      </c>
      <c r="O41" s="203"/>
    </row>
    <row r="42" spans="2:15 16374:16374" x14ac:dyDescent="0.2">
      <c r="B42" s="195" t="s">
        <v>591</v>
      </c>
      <c r="D42" s="85" t="s">
        <v>542</v>
      </c>
      <c r="E42" s="85" t="s">
        <v>592</v>
      </c>
      <c r="F42" s="85" t="s">
        <v>543</v>
      </c>
      <c r="G42" s="85" t="s">
        <v>593</v>
      </c>
      <c r="H42" s="85" t="s">
        <v>600</v>
      </c>
      <c r="J42" s="201">
        <v>73.08</v>
      </c>
      <c r="K42" s="202">
        <f t="shared" si="3"/>
        <v>73.08</v>
      </c>
      <c r="M42" s="198" t="s">
        <v>595</v>
      </c>
      <c r="O42" s="203"/>
    </row>
    <row r="43" spans="2:15 16374:16374" x14ac:dyDescent="0.2">
      <c r="B43" s="195" t="s">
        <v>596</v>
      </c>
      <c r="D43" s="85" t="s">
        <v>542</v>
      </c>
      <c r="E43" s="85" t="s">
        <v>592</v>
      </c>
      <c r="F43" s="85" t="s">
        <v>543</v>
      </c>
      <c r="G43" s="85" t="s">
        <v>593</v>
      </c>
      <c r="H43" s="85" t="s">
        <v>600</v>
      </c>
      <c r="J43" s="201">
        <v>1539.6</v>
      </c>
      <c r="K43" s="202">
        <f t="shared" si="3"/>
        <v>1539.6</v>
      </c>
      <c r="M43" s="198" t="s">
        <v>595</v>
      </c>
      <c r="O43" s="203"/>
    </row>
    <row r="44" spans="2:15 16374:16374" x14ac:dyDescent="0.2">
      <c r="B44" s="195" t="s">
        <v>597</v>
      </c>
      <c r="D44" s="85" t="s">
        <v>542</v>
      </c>
      <c r="E44" s="85" t="s">
        <v>592</v>
      </c>
      <c r="F44" s="85" t="s">
        <v>543</v>
      </c>
      <c r="G44" s="85" t="s">
        <v>593</v>
      </c>
      <c r="H44" s="85" t="s">
        <v>600</v>
      </c>
      <c r="J44" s="201">
        <v>291.65000000000003</v>
      </c>
      <c r="K44" s="202">
        <f t="shared" si="3"/>
        <v>291.65000000000003</v>
      </c>
      <c r="M44" s="198" t="s">
        <v>598</v>
      </c>
      <c r="O44" s="203"/>
    </row>
    <row r="45" spans="2:15 16374:16374" x14ac:dyDescent="0.2">
      <c r="B45" s="195" t="s">
        <v>599</v>
      </c>
      <c r="D45" s="85" t="s">
        <v>542</v>
      </c>
      <c r="E45" s="85" t="s">
        <v>592</v>
      </c>
      <c r="F45" s="85" t="s">
        <v>543</v>
      </c>
      <c r="G45" s="85" t="s">
        <v>593</v>
      </c>
      <c r="H45" s="85" t="s">
        <v>600</v>
      </c>
      <c r="J45" s="201">
        <v>5598.6750000000002</v>
      </c>
      <c r="K45" s="202">
        <f t="shared" si="3"/>
        <v>5598.6750000000002</v>
      </c>
      <c r="M45" s="198" t="s">
        <v>598</v>
      </c>
      <c r="O45" s="203"/>
    </row>
    <row r="46" spans="2:15 16374:16374" x14ac:dyDescent="0.2">
      <c r="B46" s="195" t="s">
        <v>601</v>
      </c>
      <c r="D46" s="85" t="s">
        <v>551</v>
      </c>
      <c r="E46" s="85"/>
      <c r="F46" s="85" t="s">
        <v>552</v>
      </c>
      <c r="G46" s="85" t="s">
        <v>553</v>
      </c>
      <c r="H46" s="85" t="s">
        <v>556</v>
      </c>
      <c r="J46" s="201">
        <v>208</v>
      </c>
      <c r="K46" s="202">
        <f>J46</f>
        <v>208</v>
      </c>
      <c r="M46" s="198" t="s">
        <v>602</v>
      </c>
      <c r="O46" s="203">
        <v>51.552083333333329</v>
      </c>
    </row>
    <row r="47" spans="2:15 16374:16374" x14ac:dyDescent="0.2">
      <c r="B47" s="195" t="s">
        <v>603</v>
      </c>
      <c r="D47" s="85" t="s">
        <v>551</v>
      </c>
      <c r="E47" s="85"/>
      <c r="F47" s="85" t="s">
        <v>552</v>
      </c>
      <c r="G47" s="85" t="s">
        <v>553</v>
      </c>
      <c r="H47" s="85" t="s">
        <v>556</v>
      </c>
      <c r="J47" s="201">
        <v>239</v>
      </c>
      <c r="K47" s="202">
        <f>J47</f>
        <v>239</v>
      </c>
      <c r="M47" s="198" t="s">
        <v>602</v>
      </c>
      <c r="O47" s="203">
        <v>108</v>
      </c>
    </row>
    <row r="48" spans="2:15 16374:16374" x14ac:dyDescent="0.2">
      <c r="B48" s="209" t="s">
        <v>604</v>
      </c>
      <c r="C48" s="210"/>
      <c r="D48" s="211" t="s">
        <v>542</v>
      </c>
      <c r="E48" s="211" t="s">
        <v>605</v>
      </c>
      <c r="F48" s="211" t="s">
        <v>570</v>
      </c>
      <c r="G48" s="211"/>
      <c r="H48" s="211" t="s">
        <v>566</v>
      </c>
      <c r="I48" s="210"/>
      <c r="J48" s="212">
        <f>20*12</f>
        <v>240</v>
      </c>
      <c r="K48" s="221">
        <f>J48</f>
        <v>240</v>
      </c>
      <c r="L48" s="210"/>
      <c r="M48" s="184"/>
      <c r="O48" s="222">
        <v>240</v>
      </c>
    </row>
    <row r="49" spans="2:15" s="136" customFormat="1" ht="8.25" customHeight="1" x14ac:dyDescent="0.2">
      <c r="D49" s="186"/>
      <c r="E49" s="186"/>
      <c r="F49" s="186"/>
      <c r="G49" s="186"/>
      <c r="H49" s="186"/>
      <c r="J49" s="187"/>
      <c r="K49" s="188"/>
      <c r="O49" s="188"/>
    </row>
    <row r="50" spans="2:15" x14ac:dyDescent="0.2">
      <c r="B50" s="189" t="s">
        <v>606</v>
      </c>
      <c r="C50" s="190"/>
      <c r="D50" s="190"/>
      <c r="E50" s="190"/>
      <c r="F50" s="190"/>
      <c r="G50" s="190"/>
      <c r="H50" s="190"/>
      <c r="I50" s="190"/>
      <c r="J50" s="190"/>
      <c r="K50" s="190"/>
      <c r="L50" s="190"/>
      <c r="M50" s="193"/>
      <c r="O50" s="190"/>
    </row>
    <row r="51" spans="2:15" x14ac:dyDescent="0.2">
      <c r="B51" s="195" t="s">
        <v>607</v>
      </c>
      <c r="D51" s="85" t="s">
        <v>551</v>
      </c>
      <c r="E51" s="85"/>
      <c r="F51" s="85" t="s">
        <v>552</v>
      </c>
      <c r="G51" s="85" t="s">
        <v>553</v>
      </c>
      <c r="H51" s="85" t="s">
        <v>608</v>
      </c>
      <c r="J51" s="431">
        <v>0.53</v>
      </c>
      <c r="K51" s="224">
        <v>0.25</v>
      </c>
      <c r="M51" s="198" t="s">
        <v>609</v>
      </c>
      <c r="O51" s="225">
        <v>0.39072463768115945</v>
      </c>
    </row>
    <row r="52" spans="2:15" x14ac:dyDescent="0.2">
      <c r="B52" s="195" t="s">
        <v>610</v>
      </c>
      <c r="D52" s="85" t="s">
        <v>551</v>
      </c>
      <c r="E52" s="85"/>
      <c r="F52" s="85" t="s">
        <v>552</v>
      </c>
      <c r="G52" s="85" t="s">
        <v>553</v>
      </c>
      <c r="H52" s="85" t="s">
        <v>608</v>
      </c>
      <c r="J52" s="428">
        <v>338.4401709401709</v>
      </c>
      <c r="K52" s="202">
        <f>J52</f>
        <v>338.4401709401709</v>
      </c>
      <c r="M52" s="198" t="s">
        <v>609</v>
      </c>
      <c r="O52" s="203">
        <v>337.72613857834051</v>
      </c>
    </row>
    <row r="53" spans="2:15" x14ac:dyDescent="0.2">
      <c r="B53" s="195" t="s">
        <v>611</v>
      </c>
      <c r="D53" s="85" t="s">
        <v>551</v>
      </c>
      <c r="E53" s="85"/>
      <c r="F53" s="85" t="s">
        <v>552</v>
      </c>
      <c r="G53" s="85" t="s">
        <v>553</v>
      </c>
      <c r="H53" s="85" t="s">
        <v>608</v>
      </c>
      <c r="J53" s="428">
        <v>52.283796296296295</v>
      </c>
      <c r="K53" s="202">
        <f>J53</f>
        <v>52.283796296296295</v>
      </c>
      <c r="M53" s="198" t="s">
        <v>609</v>
      </c>
      <c r="O53" s="203"/>
    </row>
    <row r="54" spans="2:15" x14ac:dyDescent="0.2">
      <c r="B54" s="195" t="s">
        <v>612</v>
      </c>
      <c r="D54" s="85" t="s">
        <v>613</v>
      </c>
      <c r="E54" s="85"/>
      <c r="F54" s="85" t="s">
        <v>552</v>
      </c>
      <c r="G54" s="85" t="s">
        <v>614</v>
      </c>
      <c r="H54" s="85" t="s">
        <v>543</v>
      </c>
      <c r="J54" s="196">
        <v>1.56</v>
      </c>
      <c r="K54" s="197">
        <f>J54</f>
        <v>1.56</v>
      </c>
      <c r="M54" s="198"/>
      <c r="O54" s="200">
        <v>1.8</v>
      </c>
    </row>
    <row r="55" spans="2:15" x14ac:dyDescent="0.2">
      <c r="B55" s="195" t="s">
        <v>615</v>
      </c>
      <c r="D55" s="85" t="s">
        <v>542</v>
      </c>
      <c r="E55" s="85"/>
      <c r="F55" s="85" t="s">
        <v>552</v>
      </c>
      <c r="G55" s="85"/>
      <c r="H55" s="85" t="s">
        <v>616</v>
      </c>
      <c r="J55" s="430">
        <v>10.056105815276913</v>
      </c>
      <c r="K55" s="197">
        <f t="shared" ref="K55:K57" si="4">J55</f>
        <v>10.056105815276913</v>
      </c>
      <c r="M55" s="198"/>
      <c r="O55" s="200">
        <v>8.9252116930688352</v>
      </c>
    </row>
    <row r="56" spans="2:15" x14ac:dyDescent="0.2">
      <c r="B56" s="195" t="s">
        <v>617</v>
      </c>
      <c r="D56" s="85" t="s">
        <v>542</v>
      </c>
      <c r="E56" s="85"/>
      <c r="F56" s="85" t="s">
        <v>552</v>
      </c>
      <c r="G56" s="85"/>
      <c r="H56" s="85" t="s">
        <v>616</v>
      </c>
      <c r="J56" s="226">
        <v>10</v>
      </c>
      <c r="K56" s="197">
        <f t="shared" si="4"/>
        <v>10</v>
      </c>
      <c r="M56" s="198"/>
      <c r="O56" s="200">
        <v>10</v>
      </c>
    </row>
    <row r="57" spans="2:15" x14ac:dyDescent="0.2">
      <c r="B57" s="209" t="s">
        <v>618</v>
      </c>
      <c r="C57" s="210"/>
      <c r="D57" s="211" t="s">
        <v>542</v>
      </c>
      <c r="E57" s="211"/>
      <c r="F57" s="211"/>
      <c r="G57" s="211"/>
      <c r="H57" s="211"/>
      <c r="I57" s="210"/>
      <c r="J57" s="429">
        <v>0.3</v>
      </c>
      <c r="K57" s="227">
        <f t="shared" si="4"/>
        <v>0.3</v>
      </c>
      <c r="L57" s="210"/>
      <c r="M57" s="228"/>
      <c r="O57" s="229">
        <v>0.5</v>
      </c>
    </row>
    <row r="58" spans="2:15" s="136" customFormat="1" ht="8.25" customHeight="1" x14ac:dyDescent="0.2">
      <c r="D58" s="186"/>
      <c r="E58" s="186"/>
      <c r="F58" s="186"/>
      <c r="G58" s="186"/>
      <c r="H58" s="186"/>
      <c r="J58" s="187"/>
      <c r="K58" s="188"/>
      <c r="O58" s="188"/>
    </row>
    <row r="59" spans="2:15" x14ac:dyDescent="0.2">
      <c r="B59" s="189" t="s">
        <v>619</v>
      </c>
      <c r="C59" s="190"/>
      <c r="D59" s="190"/>
      <c r="E59" s="190"/>
      <c r="F59" s="190"/>
      <c r="G59" s="190"/>
      <c r="H59" s="190"/>
      <c r="I59" s="190"/>
      <c r="J59" s="190"/>
      <c r="K59" s="190"/>
      <c r="L59" s="190"/>
      <c r="M59" s="193"/>
      <c r="O59" s="190"/>
    </row>
    <row r="60" spans="2:15" x14ac:dyDescent="0.2">
      <c r="B60" s="209" t="s">
        <v>620</v>
      </c>
      <c r="C60" s="210"/>
      <c r="D60" s="211" t="s">
        <v>621</v>
      </c>
      <c r="E60" s="211"/>
      <c r="F60" s="211" t="s">
        <v>552</v>
      </c>
      <c r="G60" s="211"/>
      <c r="H60" s="181" t="s">
        <v>543</v>
      </c>
      <c r="I60" s="210"/>
      <c r="J60" s="230">
        <v>100000</v>
      </c>
      <c r="K60" s="231">
        <f>J60</f>
        <v>100000</v>
      </c>
      <c r="L60" s="210"/>
      <c r="M60" s="214" t="s">
        <v>571</v>
      </c>
      <c r="O60" s="232">
        <v>100000</v>
      </c>
    </row>
    <row r="61" spans="2:15" s="136" customFormat="1" ht="8.25" customHeight="1" x14ac:dyDescent="0.2">
      <c r="D61" s="186"/>
      <c r="E61" s="186"/>
      <c r="F61" s="186"/>
      <c r="G61" s="186"/>
      <c r="H61" s="186"/>
      <c r="J61" s="187"/>
      <c r="K61" s="188"/>
      <c r="O61" s="188"/>
    </row>
    <row r="62" spans="2:15" x14ac:dyDescent="0.2">
      <c r="B62" s="189" t="s">
        <v>622</v>
      </c>
      <c r="C62" s="190"/>
      <c r="D62" s="190"/>
      <c r="E62" s="190"/>
      <c r="F62" s="190"/>
      <c r="G62" s="190"/>
      <c r="H62" s="190"/>
      <c r="I62" s="190"/>
      <c r="J62" s="190"/>
      <c r="K62" s="190"/>
      <c r="L62" s="190"/>
      <c r="M62" s="193"/>
    </row>
    <row r="63" spans="2:15" x14ac:dyDescent="0.2">
      <c r="B63" s="195" t="s">
        <v>623</v>
      </c>
      <c r="D63" s="85" t="s">
        <v>551</v>
      </c>
      <c r="E63" s="85"/>
      <c r="F63" s="85" t="s">
        <v>552</v>
      </c>
      <c r="G63" s="85" t="s">
        <v>553</v>
      </c>
      <c r="H63" s="85" t="s">
        <v>554</v>
      </c>
      <c r="J63" s="236">
        <v>146</v>
      </c>
      <c r="K63" s="762">
        <v>1200</v>
      </c>
      <c r="M63" s="173"/>
    </row>
    <row r="64" spans="2:15" x14ac:dyDescent="0.2">
      <c r="B64" s="195" t="s">
        <v>624</v>
      </c>
      <c r="D64" s="85" t="s">
        <v>551</v>
      </c>
      <c r="E64" s="85"/>
      <c r="F64" s="85" t="s">
        <v>552</v>
      </c>
      <c r="G64" s="85" t="s">
        <v>553</v>
      </c>
      <c r="H64" s="85" t="s">
        <v>625</v>
      </c>
      <c r="J64" s="235">
        <v>196587.20930232559</v>
      </c>
      <c r="K64" s="233">
        <f>J64</f>
        <v>196587.20930232559</v>
      </c>
      <c r="M64" s="198" t="s">
        <v>626</v>
      </c>
    </row>
    <row r="65" spans="2:13" x14ac:dyDescent="0.2">
      <c r="B65" s="169" t="s">
        <v>627</v>
      </c>
      <c r="C65" s="83"/>
      <c r="D65" s="170" t="s">
        <v>613</v>
      </c>
      <c r="E65" s="170"/>
      <c r="F65" s="170" t="s">
        <v>552</v>
      </c>
      <c r="G65" s="170" t="s">
        <v>628</v>
      </c>
      <c r="H65" s="170" t="s">
        <v>543</v>
      </c>
      <c r="I65" s="83"/>
      <c r="J65" s="543">
        <v>2040</v>
      </c>
      <c r="K65" s="544">
        <f t="shared" ref="K65" si="5">J65</f>
        <v>2040</v>
      </c>
      <c r="L65" s="83"/>
      <c r="M65" s="207"/>
    </row>
    <row r="66" spans="2:13" x14ac:dyDescent="0.2">
      <c r="B66" s="195" t="s">
        <v>629</v>
      </c>
      <c r="D66" s="85" t="s">
        <v>551</v>
      </c>
      <c r="E66" s="85"/>
      <c r="F66" s="85" t="s">
        <v>552</v>
      </c>
      <c r="G66" s="85" t="s">
        <v>553</v>
      </c>
      <c r="H66" s="85" t="s">
        <v>554</v>
      </c>
      <c r="J66" s="223">
        <v>0.32</v>
      </c>
      <c r="K66" s="244">
        <f>J66</f>
        <v>0.32</v>
      </c>
      <c r="M66" s="198" t="s">
        <v>630</v>
      </c>
    </row>
    <row r="67" spans="2:13" x14ac:dyDescent="0.2">
      <c r="B67" s="195" t="s">
        <v>631</v>
      </c>
      <c r="D67" s="85" t="s">
        <v>613</v>
      </c>
      <c r="E67" s="85"/>
      <c r="F67" s="85" t="s">
        <v>552</v>
      </c>
      <c r="G67" s="85" t="s">
        <v>632</v>
      </c>
      <c r="H67" s="85" t="s">
        <v>543</v>
      </c>
      <c r="J67" s="223">
        <v>0.42</v>
      </c>
      <c r="K67" s="244">
        <f>J67</f>
        <v>0.42</v>
      </c>
      <c r="M67" s="198"/>
    </row>
    <row r="68" spans="2:13" x14ac:dyDescent="0.2">
      <c r="B68" s="209" t="s">
        <v>633</v>
      </c>
      <c r="C68" s="210"/>
      <c r="D68" s="211"/>
      <c r="E68" s="211"/>
      <c r="F68" s="211"/>
      <c r="G68" s="211"/>
      <c r="H68" s="211"/>
      <c r="I68" s="210"/>
      <c r="J68" s="237">
        <v>0.95</v>
      </c>
      <c r="K68" s="238">
        <f>J68</f>
        <v>0.95</v>
      </c>
      <c r="L68" s="210"/>
      <c r="M68" s="228"/>
    </row>
    <row r="69" spans="2:13" x14ac:dyDescent="0.2">
      <c r="J69" s="634">
        <v>0.75</v>
      </c>
    </row>
  </sheetData>
  <pageMargins left="0.7" right="0.7" top="0.75" bottom="0.75" header="0.3" footer="0.3"/>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3AD28-7D54-4E7B-BB59-BBC097BB4B1A}">
  <sheetPr codeName="Sheet15">
    <tabColor theme="2" tint="-0.249977111117893"/>
  </sheetPr>
  <dimension ref="B2:T166"/>
  <sheetViews>
    <sheetView showGridLines="0" topLeftCell="C1" zoomScaleNormal="100" workbookViewId="0">
      <pane ySplit="2" topLeftCell="A3" activePane="bottomLeft" state="frozen"/>
      <selection pane="bottomLeft" activeCell="R37" sqref="R37"/>
    </sheetView>
  </sheetViews>
  <sheetFormatPr baseColWidth="10" defaultColWidth="9" defaultRowHeight="14" x14ac:dyDescent="0.2"/>
  <cols>
    <col min="1" max="1" width="1" style="65" customWidth="1"/>
    <col min="2" max="2" width="50.83203125" style="65" customWidth="1"/>
    <col min="3" max="6" width="15" style="65" customWidth="1"/>
    <col min="7" max="7" width="1" style="65" customWidth="1"/>
    <col min="8" max="8" width="55" style="65" customWidth="1"/>
    <col min="9" max="19" width="19" style="65" customWidth="1"/>
    <col min="20" max="16384" width="9" style="65"/>
  </cols>
  <sheetData>
    <row r="2" spans="2:15" ht="15" x14ac:dyDescent="0.2">
      <c r="B2" s="59" t="s">
        <v>634</v>
      </c>
    </row>
    <row r="4" spans="2:15" s="68" customFormat="1" x14ac:dyDescent="0.2">
      <c r="B4" s="133" t="s">
        <v>635</v>
      </c>
    </row>
    <row r="5" spans="2:15" ht="7.5" customHeight="1" x14ac:dyDescent="0.2"/>
    <row r="6" spans="2:15" x14ac:dyDescent="0.2">
      <c r="C6" s="90" t="s">
        <v>636</v>
      </c>
      <c r="D6" s="90" t="s">
        <v>637</v>
      </c>
      <c r="E6" s="90" t="s">
        <v>638</v>
      </c>
      <c r="H6" s="90" t="s">
        <v>481</v>
      </c>
      <c r="I6" s="71"/>
      <c r="J6" s="71"/>
      <c r="K6" s="71"/>
      <c r="L6" s="71"/>
      <c r="M6" s="71"/>
      <c r="N6" s="71"/>
      <c r="O6" s="71"/>
    </row>
    <row r="7" spans="2:15" x14ac:dyDescent="0.2">
      <c r="B7" s="65" t="s">
        <v>639</v>
      </c>
      <c r="C7" s="75" t="e">
        <f>I11</f>
        <v>#DIV/0!</v>
      </c>
      <c r="D7" s="75">
        <f>'1-Client Variables'!$D$24</f>
        <v>5</v>
      </c>
      <c r="E7" s="75" t="e">
        <f>C7/D7</f>
        <v>#DIV/0!</v>
      </c>
    </row>
    <row r="8" spans="2:15" x14ac:dyDescent="0.2">
      <c r="C8" s="91"/>
      <c r="D8" s="91"/>
      <c r="E8" s="91"/>
      <c r="F8" s="70"/>
      <c r="I8" s="85" t="s">
        <v>640</v>
      </c>
      <c r="J8" s="85" t="s">
        <v>411</v>
      </c>
      <c r="K8" s="85" t="s">
        <v>412</v>
      </c>
      <c r="L8" s="85" t="s">
        <v>413</v>
      </c>
    </row>
    <row r="9" spans="2:15" x14ac:dyDescent="0.2">
      <c r="C9" s="91"/>
      <c r="D9" s="91"/>
      <c r="E9" s="91"/>
      <c r="F9" s="70"/>
      <c r="H9" s="92" t="s">
        <v>641</v>
      </c>
      <c r="I9" s="93"/>
      <c r="J9" s="94" t="e">
        <f>'1-Client Variables'!D47</f>
        <v>#DIV/0!</v>
      </c>
      <c r="K9" s="94" t="e">
        <f>'1-Client Variables'!D87</f>
        <v>#DIV/0!</v>
      </c>
      <c r="L9" s="94" t="e">
        <f>'1-Client Variables'!D126</f>
        <v>#DIV/0!</v>
      </c>
    </row>
    <row r="10" spans="2:15" x14ac:dyDescent="0.2">
      <c r="C10" s="91"/>
      <c r="D10" s="91"/>
      <c r="E10" s="91"/>
      <c r="F10" s="70"/>
      <c r="H10" s="92" t="s">
        <v>642</v>
      </c>
      <c r="I10" s="93"/>
      <c r="J10" s="94">
        <f>'1-Client Variables'!D52</f>
        <v>0</v>
      </c>
      <c r="K10" s="94">
        <f>'1-Client Variables'!D92</f>
        <v>0</v>
      </c>
      <c r="L10" s="94">
        <f>'1-Client Variables'!D131</f>
        <v>0</v>
      </c>
    </row>
    <row r="11" spans="2:15" x14ac:dyDescent="0.2">
      <c r="C11" s="91"/>
      <c r="D11" s="91"/>
      <c r="E11" s="91"/>
      <c r="F11" s="70"/>
      <c r="H11" s="92" t="s">
        <v>636</v>
      </c>
      <c r="I11" s="95" t="e">
        <f>SUM(J11:L11)</f>
        <v>#DIV/0!</v>
      </c>
      <c r="J11" s="94" t="e">
        <f>J9*'Benchmark Assumptions'!$K$14+J10*'Benchmark Assumptions'!$K$15</f>
        <v>#DIV/0!</v>
      </c>
      <c r="K11" s="94" t="e">
        <f>K9*'Benchmark Assumptions'!$K$14+K10*'Benchmark Assumptions'!$K$15</f>
        <v>#DIV/0!</v>
      </c>
      <c r="L11" s="94" t="e">
        <f>L9*'Benchmark Assumptions'!$K$14+L10*'Benchmark Assumptions'!$K$15</f>
        <v>#DIV/0!</v>
      </c>
    </row>
    <row r="12" spans="2:15" x14ac:dyDescent="0.2">
      <c r="C12" s="91"/>
      <c r="D12" s="91"/>
      <c r="E12" s="91"/>
      <c r="F12" s="70"/>
    </row>
    <row r="13" spans="2:15" x14ac:dyDescent="0.2">
      <c r="C13" s="91"/>
      <c r="D13" s="91"/>
      <c r="E13" s="91"/>
      <c r="F13" s="96" t="s">
        <v>643</v>
      </c>
      <c r="H13" s="92" t="s">
        <v>644</v>
      </c>
      <c r="I13" s="93"/>
      <c r="J13" s="94">
        <f>IF('1-Client Variables'!D42=0,0,'1-Client Variables'!D47/'1-Client Variables'!D42)</f>
        <v>0</v>
      </c>
      <c r="K13" s="94">
        <f>IF('1-Client Variables'!D82=0,0,'1-Client Variables'!D87/'1-Client Variables'!D82)</f>
        <v>0</v>
      </c>
      <c r="L13" s="94">
        <f>IF('1-Client Variables'!D121=0,0,'1-Client Variables'!D126/'1-Client Variables'!D121)</f>
        <v>0</v>
      </c>
    </row>
    <row r="14" spans="2:15" x14ac:dyDescent="0.2">
      <c r="C14" s="91"/>
      <c r="D14" s="91"/>
      <c r="E14" s="91"/>
      <c r="F14" s="70"/>
      <c r="H14" s="92" t="s">
        <v>645</v>
      </c>
      <c r="I14" s="93"/>
      <c r="J14" s="94">
        <f>IF('1-Client Variables'!D42=0,0,'1-Client Variables'!D52/'1-Client Variables'!D42)</f>
        <v>0</v>
      </c>
      <c r="K14" s="94">
        <f>IF('1-Client Variables'!D82=0,0,'1-Client Variables'!D92/'1-Client Variables'!D82)</f>
        <v>0</v>
      </c>
      <c r="L14" s="94">
        <f>IF('1-Client Variables'!D121=0,0,'1-Client Variables'!D131/'1-Client Variables'!D121)</f>
        <v>0</v>
      </c>
    </row>
    <row r="15" spans="2:15" x14ac:dyDescent="0.2">
      <c r="C15" s="91"/>
      <c r="D15" s="91"/>
      <c r="E15" s="91"/>
      <c r="F15" s="70"/>
      <c r="H15" s="92" t="s">
        <v>646</v>
      </c>
      <c r="I15" s="97"/>
      <c r="J15" s="98">
        <f>IF('1-Client Variables'!D42=0,0,J11/'1-Client Variables'!D42)</f>
        <v>0</v>
      </c>
      <c r="K15" s="98">
        <f>IF('1-Client Variables'!D82=0,0,K11/'1-Client Variables'!D82)</f>
        <v>0</v>
      </c>
      <c r="L15" s="98">
        <f>IF('1-Client Variables'!D121=0,0,L11/'1-Client Variables'!D121)</f>
        <v>0</v>
      </c>
    </row>
    <row r="16" spans="2:15" x14ac:dyDescent="0.2">
      <c r="C16" s="91"/>
      <c r="D16" s="91"/>
      <c r="E16" s="91"/>
      <c r="F16" s="70"/>
      <c r="H16" s="92" t="s">
        <v>647</v>
      </c>
      <c r="I16" s="97"/>
      <c r="J16" s="98" t="e">
        <f>J11/$D$7</f>
        <v>#DIV/0!</v>
      </c>
      <c r="K16" s="98" t="e">
        <f>K11/$D$7</f>
        <v>#DIV/0!</v>
      </c>
      <c r="L16" s="98" t="e">
        <f>L11/$D$7</f>
        <v>#DIV/0!</v>
      </c>
    </row>
    <row r="17" spans="2:15" x14ac:dyDescent="0.2">
      <c r="C17" s="91"/>
      <c r="D17" s="91"/>
      <c r="E17" s="91"/>
      <c r="F17" s="70"/>
      <c r="I17" s="88"/>
    </row>
    <row r="18" spans="2:15" x14ac:dyDescent="0.2">
      <c r="C18" s="90" t="s">
        <v>636</v>
      </c>
      <c r="D18" s="90" t="s">
        <v>637</v>
      </c>
      <c r="E18" s="90" t="s">
        <v>638</v>
      </c>
      <c r="H18" s="90" t="s">
        <v>481</v>
      </c>
      <c r="I18" s="71"/>
      <c r="J18" s="71"/>
      <c r="K18" s="71"/>
      <c r="L18" s="71"/>
      <c r="M18" s="71"/>
      <c r="N18" s="71"/>
      <c r="O18" s="71"/>
    </row>
    <row r="19" spans="2:15" x14ac:dyDescent="0.2">
      <c r="B19" s="65" t="s">
        <v>648</v>
      </c>
      <c r="C19" s="75">
        <f>I27</f>
        <v>0</v>
      </c>
      <c r="D19" s="75">
        <f>'1-Client Variables'!$D$24</f>
        <v>5</v>
      </c>
      <c r="E19" s="75">
        <f>C19/D19</f>
        <v>0</v>
      </c>
    </row>
    <row r="20" spans="2:15" ht="7.5" customHeight="1" x14ac:dyDescent="0.2"/>
    <row r="21" spans="2:15" x14ac:dyDescent="0.2">
      <c r="I21" s="85" t="s">
        <v>640</v>
      </c>
      <c r="J21" s="85" t="s">
        <v>411</v>
      </c>
      <c r="K21" s="85" t="s">
        <v>412</v>
      </c>
      <c r="L21" s="85" t="s">
        <v>413</v>
      </c>
    </row>
    <row r="22" spans="2:15" x14ac:dyDescent="0.2">
      <c r="H22" s="92" t="s">
        <v>649</v>
      </c>
      <c r="I22" s="93"/>
      <c r="J22" s="94">
        <f>'1-Client Variables'!D42</f>
        <v>0</v>
      </c>
      <c r="K22" s="94">
        <f>'1-Client Variables'!D82</f>
        <v>0</v>
      </c>
      <c r="L22" s="94">
        <f>'1-Client Variables'!D121</f>
        <v>0</v>
      </c>
    </row>
    <row r="23" spans="2:15" x14ac:dyDescent="0.2">
      <c r="H23" s="92" t="s">
        <v>650</v>
      </c>
      <c r="I23" s="93"/>
      <c r="J23" s="94">
        <f>J22*'Benchmark Assumptions'!$K$17</f>
        <v>0</v>
      </c>
      <c r="K23" s="94">
        <f>K22*'Benchmark Assumptions'!$K$17</f>
        <v>0</v>
      </c>
      <c r="L23" s="94">
        <f>L22*'Benchmark Assumptions'!$K$17</f>
        <v>0</v>
      </c>
      <c r="M23" s="99"/>
    </row>
    <row r="24" spans="2:15" x14ac:dyDescent="0.2">
      <c r="H24" s="92" t="s">
        <v>651</v>
      </c>
      <c r="I24" s="93"/>
      <c r="J24" s="94">
        <f>'1-Client Variables'!D54</f>
        <v>0</v>
      </c>
      <c r="K24" s="94">
        <f>'1-Client Variables'!D94</f>
        <v>0</v>
      </c>
      <c r="L24" s="94">
        <f>'1-Client Variables'!D133</f>
        <v>0</v>
      </c>
    </row>
    <row r="25" spans="2:15" x14ac:dyDescent="0.2">
      <c r="H25" s="92" t="s">
        <v>652</v>
      </c>
      <c r="I25" s="93"/>
      <c r="J25" s="94">
        <f t="shared" ref="J25:L25" si="0">J24-J23</f>
        <v>0</v>
      </c>
      <c r="K25" s="94">
        <f t="shared" si="0"/>
        <v>0</v>
      </c>
      <c r="L25" s="94">
        <f t="shared" si="0"/>
        <v>0</v>
      </c>
    </row>
    <row r="26" spans="2:15" x14ac:dyDescent="0.2">
      <c r="H26" s="92" t="s">
        <v>653</v>
      </c>
      <c r="I26" s="93"/>
      <c r="J26" s="100">
        <f>'Benchmark Assumptions'!$K$16</f>
        <v>2.2000000000000002</v>
      </c>
      <c r="K26" s="100">
        <f>'Benchmark Assumptions'!$K$16</f>
        <v>2.2000000000000002</v>
      </c>
      <c r="L26" s="100">
        <f>'Benchmark Assumptions'!$K$16</f>
        <v>2.2000000000000002</v>
      </c>
      <c r="M26" s="99" t="s">
        <v>654</v>
      </c>
    </row>
    <row r="27" spans="2:15" x14ac:dyDescent="0.2">
      <c r="H27" s="92" t="s">
        <v>636</v>
      </c>
      <c r="I27" s="95">
        <f>SUM(J27:L27)</f>
        <v>0</v>
      </c>
      <c r="J27" s="94">
        <f>IF(J26*J25&lt;0,0,J26*J25)</f>
        <v>0</v>
      </c>
      <c r="K27" s="94">
        <f>IF(K26*K25&lt;0,0,K26*K25)</f>
        <v>0</v>
      </c>
      <c r="L27" s="94">
        <f>IF(L26*L25&lt;0,0,L26*L25)</f>
        <v>0</v>
      </c>
    </row>
    <row r="28" spans="2:15" x14ac:dyDescent="0.2">
      <c r="C28" s="91"/>
      <c r="D28" s="91"/>
      <c r="E28" s="91"/>
      <c r="F28" s="70"/>
    </row>
    <row r="29" spans="2:15" x14ac:dyDescent="0.2">
      <c r="C29" s="91"/>
      <c r="D29" s="91"/>
      <c r="E29" s="91"/>
      <c r="F29" s="96" t="s">
        <v>643</v>
      </c>
      <c r="H29" s="92" t="s">
        <v>647</v>
      </c>
      <c r="I29" s="93"/>
      <c r="J29" s="98">
        <f>J27/$D$19</f>
        <v>0</v>
      </c>
      <c r="K29" s="98">
        <f t="shared" ref="K29:L29" si="1">K27/$D$19</f>
        <v>0</v>
      </c>
      <c r="L29" s="98">
        <f t="shared" si="1"/>
        <v>0</v>
      </c>
    </row>
    <row r="31" spans="2:15" x14ac:dyDescent="0.2">
      <c r="C31" s="90" t="s">
        <v>636</v>
      </c>
      <c r="D31" s="90" t="s">
        <v>637</v>
      </c>
      <c r="E31" s="90" t="s">
        <v>638</v>
      </c>
      <c r="H31" s="90" t="s">
        <v>481</v>
      </c>
      <c r="I31" s="71"/>
      <c r="J31" s="71"/>
      <c r="K31" s="71"/>
      <c r="L31" s="71"/>
      <c r="M31" s="71"/>
      <c r="N31" s="71"/>
      <c r="O31" s="71"/>
    </row>
    <row r="32" spans="2:15" x14ac:dyDescent="0.2">
      <c r="B32" s="65" t="s">
        <v>655</v>
      </c>
      <c r="C32" s="75">
        <f>SUM(I37:P37)</f>
        <v>0</v>
      </c>
      <c r="D32" s="75">
        <f>'1-Client Variables'!$D$24</f>
        <v>5</v>
      </c>
      <c r="E32" s="75">
        <f>C32/D32</f>
        <v>0</v>
      </c>
    </row>
    <row r="33" spans="2:16" ht="15" thickBot="1" x14ac:dyDescent="0.25">
      <c r="I33" s="85" t="s">
        <v>411</v>
      </c>
      <c r="J33" s="85" t="s">
        <v>412</v>
      </c>
      <c r="K33" s="85" t="s">
        <v>413</v>
      </c>
    </row>
    <row r="34" spans="2:16" ht="16.5" customHeight="1" thickBot="1" x14ac:dyDescent="0.25">
      <c r="B34" s="801" t="s">
        <v>656</v>
      </c>
      <c r="C34" s="801"/>
      <c r="D34" s="801"/>
      <c r="E34" s="801"/>
      <c r="H34" s="80"/>
      <c r="I34" s="85" t="s">
        <v>657</v>
      </c>
      <c r="J34" s="85" t="s">
        <v>657</v>
      </c>
      <c r="K34" s="85" t="s">
        <v>657</v>
      </c>
      <c r="L34" s="101" t="s">
        <v>658</v>
      </c>
      <c r="M34" s="102" t="s">
        <v>659</v>
      </c>
      <c r="N34" s="102" t="s">
        <v>660</v>
      </c>
      <c r="O34" s="103" t="s">
        <v>661</v>
      </c>
      <c r="P34" s="65" t="s">
        <v>662</v>
      </c>
    </row>
    <row r="35" spans="2:16" x14ac:dyDescent="0.2">
      <c r="B35" s="801"/>
      <c r="C35" s="801"/>
      <c r="D35" s="801"/>
      <c r="E35" s="801"/>
      <c r="H35" s="92" t="s">
        <v>663</v>
      </c>
      <c r="I35" s="104">
        <f>'1-Client Variables'!D42/'Benchmark Assumptions'!$K$24</f>
        <v>0</v>
      </c>
      <c r="J35" s="104">
        <f>'1-Client Variables'!D82/'Benchmark Assumptions'!$K$24</f>
        <v>0</v>
      </c>
      <c r="K35" s="104">
        <f>'1-Client Variables'!D121/'Benchmark Assumptions'!$K$24</f>
        <v>0</v>
      </c>
      <c r="L35" s="94">
        <f>'1-Client Variables'!D18*'Benchmark Assumptions'!K25</f>
        <v>0</v>
      </c>
      <c r="M35" s="94">
        <f>L35*'Benchmark Assumptions'!K26</f>
        <v>0</v>
      </c>
      <c r="N35" s="94">
        <f>L35*'Benchmark Assumptions'!K27</f>
        <v>0</v>
      </c>
      <c r="O35" s="94">
        <f>L35*'Benchmark Assumptions'!K28</f>
        <v>0</v>
      </c>
    </row>
    <row r="36" spans="2:16" x14ac:dyDescent="0.2">
      <c r="B36" s="801"/>
      <c r="C36" s="801"/>
      <c r="D36" s="801"/>
      <c r="E36" s="801"/>
      <c r="H36" s="92" t="s">
        <v>664</v>
      </c>
      <c r="I36" s="100">
        <f>'Benchmark Assumptions'!$K$30</f>
        <v>905.995</v>
      </c>
      <c r="J36" s="100">
        <f>'Benchmark Assumptions'!$K$30</f>
        <v>905.995</v>
      </c>
      <c r="K36" s="100">
        <f>'Benchmark Assumptions'!$K$30</f>
        <v>905.995</v>
      </c>
      <c r="L36" s="100">
        <f>'Benchmark Assumptions'!K31</f>
        <v>86607.142857142855</v>
      </c>
      <c r="M36" s="100">
        <f>'Benchmark Assumptions'!K32</f>
        <v>14572.727272727272</v>
      </c>
      <c r="N36" s="100">
        <f>'Benchmark Assumptions'!K33</f>
        <v>4317.7560975609758</v>
      </c>
      <c r="O36" s="100">
        <f>'Benchmark Assumptions'!K34</f>
        <v>96333.333333333328</v>
      </c>
    </row>
    <row r="37" spans="2:16" x14ac:dyDescent="0.2">
      <c r="H37" s="92" t="s">
        <v>665</v>
      </c>
      <c r="I37" s="105">
        <f>I36*I35</f>
        <v>0</v>
      </c>
      <c r="J37" s="106">
        <f t="shared" ref="J37:K37" si="2">J36*J35</f>
        <v>0</v>
      </c>
      <c r="K37" s="106">
        <f t="shared" si="2"/>
        <v>0</v>
      </c>
      <c r="L37" s="106">
        <f t="shared" ref="L37:O37" si="3">L36*L35</f>
        <v>0</v>
      </c>
      <c r="M37" s="106">
        <f t="shared" si="3"/>
        <v>0</v>
      </c>
      <c r="N37" s="106">
        <f t="shared" si="3"/>
        <v>0</v>
      </c>
      <c r="O37" s="106">
        <f t="shared" si="3"/>
        <v>0</v>
      </c>
    </row>
    <row r="39" spans="2:16" x14ac:dyDescent="0.2">
      <c r="B39" s="67"/>
      <c r="C39" s="90" t="s">
        <v>373</v>
      </c>
      <c r="H39" s="90" t="s">
        <v>481</v>
      </c>
      <c r="I39" s="71"/>
      <c r="J39" s="71"/>
      <c r="K39" s="71"/>
      <c r="L39" s="71"/>
      <c r="M39" s="71"/>
      <c r="N39" s="71"/>
      <c r="O39" s="71"/>
    </row>
    <row r="40" spans="2:16" x14ac:dyDescent="0.2">
      <c r="B40" s="65" t="s">
        <v>666</v>
      </c>
      <c r="C40" s="75" t="e">
        <f>SUM(I47:M47)+SUM(I54:J54)</f>
        <v>#DIV/0!</v>
      </c>
    </row>
    <row r="41" spans="2:16" ht="7.5" customHeight="1" x14ac:dyDescent="0.2"/>
    <row r="42" spans="2:16" x14ac:dyDescent="0.2">
      <c r="I42" s="85" t="s">
        <v>667</v>
      </c>
      <c r="J42" s="85" t="s">
        <v>668</v>
      </c>
      <c r="K42" s="85" t="s">
        <v>669</v>
      </c>
      <c r="L42" s="85" t="s">
        <v>670</v>
      </c>
      <c r="M42" s="85" t="s">
        <v>671</v>
      </c>
    </row>
    <row r="43" spans="2:16" x14ac:dyDescent="0.2">
      <c r="F43" s="96" t="s">
        <v>672</v>
      </c>
      <c r="H43" s="92" t="s">
        <v>673</v>
      </c>
      <c r="I43" s="86" t="e">
        <f>'1-Client Variables'!D64</f>
        <v>#DIV/0!</v>
      </c>
      <c r="J43" s="86">
        <f>'1-Client Variables'!D67</f>
        <v>0</v>
      </c>
      <c r="K43" s="86">
        <f>'1-Client Variables'!D70</f>
        <v>0</v>
      </c>
      <c r="L43" s="86">
        <f>'1-Client Variables'!D68</f>
        <v>0</v>
      </c>
      <c r="M43" s="86">
        <f>'1-Client Variables'!D71</f>
        <v>0</v>
      </c>
    </row>
    <row r="44" spans="2:16" x14ac:dyDescent="0.2">
      <c r="H44" s="92" t="s">
        <v>674</v>
      </c>
      <c r="I44" s="86" t="e">
        <f>'1-Client Variables'!D104</f>
        <v>#DIV/0!</v>
      </c>
      <c r="J44" s="86">
        <f>'1-Client Variables'!D106</f>
        <v>0</v>
      </c>
      <c r="K44" s="86">
        <f>'1-Client Variables'!D109</f>
        <v>0</v>
      </c>
      <c r="L44" s="86">
        <f>'1-Client Variables'!D107</f>
        <v>0</v>
      </c>
      <c r="M44" s="86">
        <f>'1-Client Variables'!D110</f>
        <v>0</v>
      </c>
    </row>
    <row r="45" spans="2:16" x14ac:dyDescent="0.2">
      <c r="H45" s="92" t="s">
        <v>675</v>
      </c>
      <c r="I45" s="86" t="e">
        <f>'1-Client Variables'!D143</f>
        <v>#DIV/0!</v>
      </c>
      <c r="J45" s="86">
        <f>'1-Client Variables'!D145</f>
        <v>0</v>
      </c>
      <c r="K45" s="86">
        <f>'1-Client Variables'!D148</f>
        <v>0</v>
      </c>
      <c r="L45" s="86">
        <f>'1-Client Variables'!D146</f>
        <v>0</v>
      </c>
      <c r="M45" s="86">
        <f>'1-Client Variables'!D149</f>
        <v>0</v>
      </c>
    </row>
    <row r="46" spans="2:16" x14ac:dyDescent="0.2">
      <c r="H46" s="92" t="s">
        <v>676</v>
      </c>
      <c r="I46" s="72">
        <f>'Benchmark Assumptions'!K46</f>
        <v>208</v>
      </c>
      <c r="J46" s="72">
        <f>IF('1-Client Variables'!D13="B",'Benchmark Assumptions'!K38,IF('1-Client Variables'!D13="D",'Benchmark Assumptions'!K42,"Error price level"))</f>
        <v>73.08</v>
      </c>
      <c r="K46" s="72">
        <f>IF('1-Client Variables'!D14="B",'Benchmark Assumptions'!K39,IF('1-Client Variables'!D14="D",'Benchmark Assumptions'!K43,"Error price level"))</f>
        <v>1539.6</v>
      </c>
      <c r="L46" s="72">
        <f>IF('1-Client Variables'!D13="B",'Benchmark Assumptions'!K40,IF('1-Client Variables'!D13="D",'Benchmark Assumptions'!K44,"Error price level"))</f>
        <v>291.65000000000003</v>
      </c>
      <c r="M46" s="72">
        <f>IF('1-Client Variables'!D14="B",'Benchmark Assumptions'!K41,IF('1-Client Variables'!D14="D",'Benchmark Assumptions'!K45,"Error price level"))</f>
        <v>5598.6750000000002</v>
      </c>
    </row>
    <row r="47" spans="2:16" x14ac:dyDescent="0.2">
      <c r="H47" s="92" t="s">
        <v>373</v>
      </c>
      <c r="I47" s="76" t="e">
        <f>I46*SUM(I43:I45)</f>
        <v>#DIV/0!</v>
      </c>
      <c r="J47" s="77">
        <f t="shared" ref="J47:M47" si="4">J46*SUM(J43:J45)</f>
        <v>0</v>
      </c>
      <c r="K47" s="77">
        <f t="shared" si="4"/>
        <v>0</v>
      </c>
      <c r="L47" s="77">
        <f t="shared" si="4"/>
        <v>0</v>
      </c>
      <c r="M47" s="78">
        <f t="shared" si="4"/>
        <v>0</v>
      </c>
    </row>
    <row r="48" spans="2:16" x14ac:dyDescent="0.2">
      <c r="I48" s="85"/>
      <c r="J48" s="85"/>
      <c r="K48" s="85"/>
    </row>
    <row r="49" spans="2:15" x14ac:dyDescent="0.2">
      <c r="I49" s="85" t="s">
        <v>677</v>
      </c>
      <c r="J49" s="85" t="s">
        <v>678</v>
      </c>
    </row>
    <row r="50" spans="2:15" x14ac:dyDescent="0.2">
      <c r="F50" s="96" t="s">
        <v>679</v>
      </c>
      <c r="H50" s="92" t="s">
        <v>680</v>
      </c>
      <c r="I50" s="107">
        <f>IF('2a-Consumption Plan Wk1'!E35="Yes",'1-Client Variables'!D59,0)</f>
        <v>0</v>
      </c>
      <c r="J50" s="108">
        <f>IF('2a-Consumption Plan Wk1'!E42="Yes",'1-Client Variables'!D61,0)</f>
        <v>0</v>
      </c>
      <c r="K50" s="65" t="s">
        <v>681</v>
      </c>
    </row>
    <row r="51" spans="2:15" x14ac:dyDescent="0.2">
      <c r="H51" s="92" t="s">
        <v>682</v>
      </c>
      <c r="I51" s="109">
        <f>IF('2b-Consumption Plan Wk2'!E35="Yes",'1-Client Variables'!D99,0)</f>
        <v>0</v>
      </c>
      <c r="J51" s="110">
        <f>IF('2b-Consumption Plan Wk2'!E42="Yes",'1-Client Variables'!D101,0)</f>
        <v>0</v>
      </c>
    </row>
    <row r="52" spans="2:15" x14ac:dyDescent="0.2">
      <c r="H52" s="92" t="s">
        <v>683</v>
      </c>
      <c r="I52" s="111">
        <f>IF('2c-Consumption Plan Wk3'!E35="Yes",'1-Client Variables'!D138,0)</f>
        <v>0</v>
      </c>
      <c r="J52" s="112">
        <f>IF('2c-Consumption Plan Wk3'!E42="Yes",'1-Client Variables'!D140,0)</f>
        <v>0</v>
      </c>
    </row>
    <row r="53" spans="2:15" x14ac:dyDescent="0.2">
      <c r="H53" s="92" t="s">
        <v>684</v>
      </c>
      <c r="I53" s="72">
        <f>'Benchmark Assumptions'!K47</f>
        <v>239</v>
      </c>
      <c r="J53" s="72">
        <f>'Benchmark Assumptions'!K48</f>
        <v>240</v>
      </c>
    </row>
    <row r="54" spans="2:15" x14ac:dyDescent="0.2">
      <c r="H54" s="92" t="s">
        <v>373</v>
      </c>
      <c r="I54" s="76">
        <f>I53*SUM(I50:I52)</f>
        <v>0</v>
      </c>
      <c r="J54" s="78">
        <f>J53*SUM(J50:J52)</f>
        <v>0</v>
      </c>
    </row>
    <row r="56" spans="2:15" s="68" customFormat="1" x14ac:dyDescent="0.2">
      <c r="B56" s="133" t="s">
        <v>685</v>
      </c>
    </row>
    <row r="57" spans="2:15" ht="7.5" customHeight="1" x14ac:dyDescent="0.2"/>
    <row r="58" spans="2:15" x14ac:dyDescent="0.2">
      <c r="C58" s="90" t="s">
        <v>373</v>
      </c>
      <c r="H58" s="90" t="s">
        <v>481</v>
      </c>
      <c r="I58" s="71"/>
      <c r="J58" s="71"/>
      <c r="K58" s="71"/>
      <c r="L58" s="71"/>
      <c r="M58" s="71"/>
      <c r="N58" s="71"/>
      <c r="O58" s="71"/>
    </row>
    <row r="59" spans="2:15" x14ac:dyDescent="0.2">
      <c r="B59" s="65" t="s">
        <v>349</v>
      </c>
      <c r="C59" s="75" t="e">
        <f>I80</f>
        <v>#DIV/0!</v>
      </c>
    </row>
    <row r="60" spans="2:15" x14ac:dyDescent="0.2">
      <c r="B60" s="65" t="s">
        <v>350</v>
      </c>
      <c r="C60" s="75" t="e">
        <f>I83</f>
        <v>#DIV/0!</v>
      </c>
    </row>
    <row r="61" spans="2:15" ht="7.5" customHeight="1" x14ac:dyDescent="0.2"/>
    <row r="62" spans="2:15" x14ac:dyDescent="0.2">
      <c r="H62" s="113" t="s">
        <v>686</v>
      </c>
      <c r="I62" s="93"/>
      <c r="K62" s="94" t="e">
        <f>SUM('1-Client Variables'!D47,'1-Client Variables'!D87,'1-Client Variables'!D126)</f>
        <v>#DIV/0!</v>
      </c>
      <c r="L62" s="60" t="s">
        <v>687</v>
      </c>
    </row>
    <row r="63" spans="2:15" x14ac:dyDescent="0.2">
      <c r="H63" s="113" t="s">
        <v>688</v>
      </c>
      <c r="I63" s="93"/>
      <c r="K63" s="114">
        <f>'Benchmark Assumptions'!K55*'Benchmark Assumptions'!K7</f>
        <v>1.0056105815276913E-2</v>
      </c>
      <c r="L63" s="60" t="s">
        <v>689</v>
      </c>
    </row>
    <row r="64" spans="2:15" x14ac:dyDescent="0.2">
      <c r="H64" s="113" t="s">
        <v>690</v>
      </c>
      <c r="I64" s="93"/>
      <c r="K64" s="115">
        <f>(1/'Benchmark Assumptions'!K57)</f>
        <v>3.3333333333333335</v>
      </c>
      <c r="L64" s="60"/>
    </row>
    <row r="65" spans="8:13" x14ac:dyDescent="0.2">
      <c r="H65" s="113" t="s">
        <v>691</v>
      </c>
      <c r="I65" s="60"/>
      <c r="K65" s="115">
        <f>'Benchmark Assumptions'!K54</f>
        <v>1.56</v>
      </c>
      <c r="L65" s="60"/>
    </row>
    <row r="66" spans="8:13" x14ac:dyDescent="0.2">
      <c r="I66" s="85"/>
      <c r="K66" s="116" t="e">
        <f>K62*K63*K64*K65</f>
        <v>#DIV/0!</v>
      </c>
      <c r="L66" s="65" t="s">
        <v>692</v>
      </c>
    </row>
    <row r="67" spans="8:13" x14ac:dyDescent="0.2">
      <c r="I67" s="85"/>
      <c r="K67" s="116"/>
    </row>
    <row r="68" spans="8:13" x14ac:dyDescent="0.2">
      <c r="H68" s="113" t="s">
        <v>693</v>
      </c>
      <c r="I68" s="93"/>
      <c r="K68" s="94">
        <f>SUM('1-Client Variables'!D54,'1-Client Variables'!D94,'1-Client Variables'!D133)*'Benchmark Assumptions'!K8</f>
        <v>0</v>
      </c>
      <c r="L68" s="60" t="s">
        <v>694</v>
      </c>
    </row>
    <row r="69" spans="8:13" x14ac:dyDescent="0.2">
      <c r="H69" s="113" t="s">
        <v>695</v>
      </c>
      <c r="I69" s="93"/>
      <c r="K69" s="117">
        <f>'Benchmark Assumptions'!K56</f>
        <v>10</v>
      </c>
      <c r="L69" s="60" t="s">
        <v>696</v>
      </c>
    </row>
    <row r="70" spans="8:13" x14ac:dyDescent="0.2">
      <c r="H70" s="113" t="s">
        <v>697</v>
      </c>
      <c r="I70" s="93"/>
      <c r="K70" s="118">
        <f>(1/'Benchmark Assumptions'!K6)</f>
        <v>1.1415525114155251E-4</v>
      </c>
      <c r="L70" s="60"/>
    </row>
    <row r="71" spans="8:13" x14ac:dyDescent="0.2">
      <c r="H71" s="113" t="s">
        <v>690</v>
      </c>
      <c r="I71" s="60"/>
      <c r="K71" s="115">
        <f>(1/'Benchmark Assumptions'!K57)</f>
        <v>3.3333333333333335</v>
      </c>
      <c r="L71" s="60"/>
    </row>
    <row r="72" spans="8:13" x14ac:dyDescent="0.2">
      <c r="H72" s="113" t="s">
        <v>691</v>
      </c>
      <c r="I72" s="60"/>
      <c r="K72" s="115">
        <f>'Benchmark Assumptions'!K54</f>
        <v>1.56</v>
      </c>
      <c r="L72" s="60"/>
    </row>
    <row r="73" spans="8:13" x14ac:dyDescent="0.2">
      <c r="I73" s="85"/>
      <c r="K73" s="116">
        <f>K68*K69*K70*K71*K72</f>
        <v>0</v>
      </c>
      <c r="L73" s="65" t="s">
        <v>692</v>
      </c>
      <c r="M73" s="119"/>
    </row>
    <row r="74" spans="8:13" x14ac:dyDescent="0.2">
      <c r="I74" s="85"/>
    </row>
    <row r="75" spans="8:13" x14ac:dyDescent="0.2">
      <c r="H75" s="92" t="s">
        <v>698</v>
      </c>
      <c r="I75" s="94" t="e">
        <f>K66+K73</f>
        <v>#DIV/0!</v>
      </c>
    </row>
    <row r="76" spans="8:13" x14ac:dyDescent="0.2">
      <c r="H76" s="92" t="s">
        <v>699</v>
      </c>
      <c r="I76" s="120">
        <f>'Benchmark Assumptions'!K51</f>
        <v>0.25</v>
      </c>
      <c r="M76" s="121"/>
    </row>
    <row r="77" spans="8:13" x14ac:dyDescent="0.2">
      <c r="H77" s="92" t="s">
        <v>700</v>
      </c>
      <c r="I77" s="94" t="e">
        <f>I75/(1-I76)</f>
        <v>#DIV/0!</v>
      </c>
      <c r="K77" s="116"/>
      <c r="M77" s="121"/>
    </row>
    <row r="78" spans="8:13" x14ac:dyDescent="0.2">
      <c r="I78" s="88"/>
      <c r="K78" s="116"/>
      <c r="M78" s="432"/>
    </row>
    <row r="79" spans="8:13" x14ac:dyDescent="0.2">
      <c r="H79" s="92" t="s">
        <v>701</v>
      </c>
      <c r="I79" s="122">
        <f>'Benchmark Assumptions'!K52</f>
        <v>338.4401709401709</v>
      </c>
      <c r="K79" s="121"/>
    </row>
    <row r="80" spans="8:13" x14ac:dyDescent="0.2">
      <c r="H80" s="92" t="s">
        <v>702</v>
      </c>
      <c r="I80" s="123" t="e">
        <f>I79*I77*12</f>
        <v>#DIV/0!</v>
      </c>
    </row>
    <row r="81" spans="2:15" x14ac:dyDescent="0.2">
      <c r="I81" s="433"/>
    </row>
    <row r="82" spans="2:15" x14ac:dyDescent="0.2">
      <c r="H82" s="92" t="s">
        <v>703</v>
      </c>
      <c r="I82" s="122">
        <f>'Benchmark Assumptions'!K53</f>
        <v>52.283796296296295</v>
      </c>
    </row>
    <row r="83" spans="2:15" x14ac:dyDescent="0.2">
      <c r="H83" s="92" t="s">
        <v>704</v>
      </c>
      <c r="I83" s="123" t="e">
        <f>I82*I77*12</f>
        <v>#DIV/0!</v>
      </c>
    </row>
    <row r="85" spans="2:15" x14ac:dyDescent="0.2">
      <c r="C85" s="90" t="s">
        <v>373</v>
      </c>
      <c r="H85" s="90" t="s">
        <v>481</v>
      </c>
      <c r="I85" s="71"/>
      <c r="J85" s="71"/>
      <c r="K85" s="71"/>
      <c r="L85" s="71"/>
      <c r="M85" s="71"/>
      <c r="N85" s="71"/>
      <c r="O85" s="71"/>
    </row>
    <row r="86" spans="2:15" x14ac:dyDescent="0.2">
      <c r="B86" s="65" t="s">
        <v>348</v>
      </c>
      <c r="C86" s="75">
        <f>I90</f>
        <v>0</v>
      </c>
    </row>
    <row r="87" spans="2:15" ht="7.5" customHeight="1" x14ac:dyDescent="0.2"/>
    <row r="88" spans="2:15" x14ac:dyDescent="0.2">
      <c r="B88" s="801" t="s">
        <v>705</v>
      </c>
      <c r="C88" s="801"/>
      <c r="D88" s="801"/>
      <c r="E88" s="801"/>
      <c r="H88" s="92" t="s">
        <v>706</v>
      </c>
      <c r="I88" s="94">
        <f>'1-Client Variables'!D20</f>
        <v>0</v>
      </c>
    </row>
    <row r="89" spans="2:15" x14ac:dyDescent="0.2">
      <c r="B89" s="801"/>
      <c r="C89" s="801"/>
      <c r="D89" s="801"/>
      <c r="E89" s="801"/>
      <c r="H89" s="92" t="s">
        <v>620</v>
      </c>
      <c r="I89" s="98">
        <f>'Benchmark Assumptions'!K60</f>
        <v>100000</v>
      </c>
    </row>
    <row r="90" spans="2:15" x14ac:dyDescent="0.2">
      <c r="B90" s="801"/>
      <c r="C90" s="801"/>
      <c r="D90" s="801"/>
      <c r="E90" s="801"/>
      <c r="H90" s="92" t="s">
        <v>707</v>
      </c>
      <c r="I90" s="123">
        <f>I89*I88</f>
        <v>0</v>
      </c>
    </row>
    <row r="91" spans="2:15" x14ac:dyDescent="0.2">
      <c r="B91" s="124"/>
      <c r="C91" s="124"/>
    </row>
    <row r="93" spans="2:15" x14ac:dyDescent="0.2">
      <c r="B93" s="67"/>
      <c r="C93" s="90" t="s">
        <v>373</v>
      </c>
      <c r="H93" s="90" t="s">
        <v>481</v>
      </c>
      <c r="I93" s="71"/>
      <c r="J93" s="71"/>
      <c r="K93" s="71"/>
      <c r="L93" s="71"/>
      <c r="M93" s="71"/>
      <c r="N93" s="71"/>
      <c r="O93" s="71"/>
    </row>
    <row r="94" spans="2:15" x14ac:dyDescent="0.2">
      <c r="B94" s="65" t="s">
        <v>339</v>
      </c>
      <c r="C94" s="75" t="e">
        <f>J99</f>
        <v>#DIV/0!</v>
      </c>
    </row>
    <row r="95" spans="2:15" ht="7.5" customHeight="1" x14ac:dyDescent="0.2"/>
    <row r="96" spans="2:15" x14ac:dyDescent="0.2">
      <c r="I96" s="85"/>
    </row>
    <row r="97" spans="2:15" x14ac:dyDescent="0.2">
      <c r="J97" s="85" t="s">
        <v>640</v>
      </c>
      <c r="K97" s="85" t="s">
        <v>411</v>
      </c>
      <c r="L97" s="85" t="s">
        <v>412</v>
      </c>
      <c r="M97" s="85" t="s">
        <v>413</v>
      </c>
    </row>
    <row r="98" spans="2:15" x14ac:dyDescent="0.2">
      <c r="H98" s="92" t="s">
        <v>708</v>
      </c>
      <c r="K98" s="125">
        <f>'Benchmark Assumptions'!$K$20</f>
        <v>0.05</v>
      </c>
      <c r="L98" s="125">
        <f>'Benchmark Assumptions'!$K$20</f>
        <v>0.05</v>
      </c>
      <c r="M98" s="125">
        <f>'Benchmark Assumptions'!$K$20</f>
        <v>0.05</v>
      </c>
      <c r="N98" s="126" t="s">
        <v>709</v>
      </c>
    </row>
    <row r="99" spans="2:15" x14ac:dyDescent="0.2">
      <c r="H99" s="92" t="s">
        <v>710</v>
      </c>
      <c r="J99" s="95" t="e">
        <f>SUM(K99:M99)</f>
        <v>#DIV/0!</v>
      </c>
      <c r="K99" s="94" t="e">
        <f>K98*J11</f>
        <v>#DIV/0!</v>
      </c>
      <c r="L99" s="94" t="e">
        <f>L98*K11</f>
        <v>#DIV/0!</v>
      </c>
      <c r="M99" s="94" t="e">
        <f>M98*L11</f>
        <v>#DIV/0!</v>
      </c>
    </row>
    <row r="101" spans="2:15" x14ac:dyDescent="0.2">
      <c r="B101" s="67"/>
      <c r="C101" s="90" t="s">
        <v>373</v>
      </c>
      <c r="H101" s="90" t="s">
        <v>481</v>
      </c>
      <c r="I101" s="71"/>
      <c r="J101" s="71"/>
      <c r="K101" s="71"/>
      <c r="L101" s="71"/>
      <c r="M101" s="71"/>
      <c r="N101" s="71"/>
      <c r="O101" s="71"/>
    </row>
    <row r="102" spans="2:15" x14ac:dyDescent="0.2">
      <c r="B102" s="65" t="s">
        <v>711</v>
      </c>
      <c r="C102" s="75">
        <f>J107</f>
        <v>0</v>
      </c>
    </row>
    <row r="103" spans="2:15" ht="7.5" customHeight="1" x14ac:dyDescent="0.2"/>
    <row r="104" spans="2:15" x14ac:dyDescent="0.2">
      <c r="I104" s="85"/>
    </row>
    <row r="105" spans="2:15" x14ac:dyDescent="0.2">
      <c r="J105" s="85" t="s">
        <v>640</v>
      </c>
      <c r="K105" s="85" t="s">
        <v>411</v>
      </c>
      <c r="L105" s="85" t="s">
        <v>412</v>
      </c>
      <c r="M105" s="85" t="s">
        <v>413</v>
      </c>
    </row>
    <row r="106" spans="2:15" x14ac:dyDescent="0.2">
      <c r="H106" s="92" t="s">
        <v>712</v>
      </c>
      <c r="K106" s="125">
        <f>'Benchmark Assumptions'!$K$21</f>
        <v>0.1</v>
      </c>
      <c r="L106" s="125">
        <f>'Benchmark Assumptions'!$K$21</f>
        <v>0.1</v>
      </c>
      <c r="M106" s="125">
        <f>'Benchmark Assumptions'!$K$21</f>
        <v>0.1</v>
      </c>
      <c r="N106" s="126" t="s">
        <v>709</v>
      </c>
    </row>
    <row r="107" spans="2:15" x14ac:dyDescent="0.2">
      <c r="H107" s="92" t="s">
        <v>710</v>
      </c>
      <c r="J107" s="95">
        <f>SUM(K107:M107)</f>
        <v>0</v>
      </c>
      <c r="K107" s="94">
        <f>K106*J27</f>
        <v>0</v>
      </c>
      <c r="L107" s="94">
        <f>L106*K27</f>
        <v>0</v>
      </c>
      <c r="M107" s="94">
        <f>M106*L27</f>
        <v>0</v>
      </c>
    </row>
    <row r="109" spans="2:15" x14ac:dyDescent="0.2">
      <c r="B109" s="67"/>
      <c r="C109" s="90" t="s">
        <v>373</v>
      </c>
      <c r="H109" s="90" t="s">
        <v>481</v>
      </c>
      <c r="I109" s="71"/>
      <c r="J109" s="71"/>
      <c r="K109" s="71"/>
      <c r="L109" s="71"/>
      <c r="M109" s="71"/>
      <c r="N109" s="71"/>
      <c r="O109" s="71"/>
    </row>
    <row r="110" spans="2:15" x14ac:dyDescent="0.2">
      <c r="B110" s="65" t="s">
        <v>345</v>
      </c>
      <c r="C110" s="75">
        <f>J115</f>
        <v>0</v>
      </c>
    </row>
    <row r="111" spans="2:15" ht="7.5" customHeight="1" x14ac:dyDescent="0.2"/>
    <row r="112" spans="2:15" x14ac:dyDescent="0.2">
      <c r="I112" s="85"/>
    </row>
    <row r="113" spans="2:15" x14ac:dyDescent="0.2">
      <c r="J113" s="85" t="s">
        <v>640</v>
      </c>
    </row>
    <row r="114" spans="2:15" x14ac:dyDescent="0.2">
      <c r="H114" s="92" t="s">
        <v>713</v>
      </c>
      <c r="J114" s="125">
        <f>'Benchmark Assumptions'!$K$35</f>
        <v>0.1</v>
      </c>
      <c r="K114" s="126" t="s">
        <v>709</v>
      </c>
    </row>
    <row r="115" spans="2:15" x14ac:dyDescent="0.2">
      <c r="H115" s="92" t="s">
        <v>710</v>
      </c>
      <c r="J115" s="95">
        <f>J114*C32</f>
        <v>0</v>
      </c>
    </row>
    <row r="116" spans="2:15" x14ac:dyDescent="0.2">
      <c r="J116" s="88"/>
      <c r="K116" s="89"/>
    </row>
    <row r="117" spans="2:15" x14ac:dyDescent="0.2">
      <c r="C117" s="90" t="s">
        <v>373</v>
      </c>
      <c r="H117" s="90" t="s">
        <v>481</v>
      </c>
      <c r="I117" s="71"/>
      <c r="J117" s="71"/>
      <c r="K117" s="71"/>
      <c r="L117" s="71"/>
      <c r="M117" s="71"/>
      <c r="N117" s="71"/>
      <c r="O117" s="71"/>
    </row>
    <row r="118" spans="2:15" x14ac:dyDescent="0.2">
      <c r="B118" s="65" t="s">
        <v>714</v>
      </c>
      <c r="C118" s="75">
        <f>J125</f>
        <v>0</v>
      </c>
    </row>
    <row r="119" spans="2:15" ht="7.5" customHeight="1" x14ac:dyDescent="0.2"/>
    <row r="120" spans="2:15" x14ac:dyDescent="0.2">
      <c r="I120" s="85"/>
    </row>
    <row r="121" spans="2:15" x14ac:dyDescent="0.2">
      <c r="J121" s="85" t="s">
        <v>640</v>
      </c>
      <c r="K121" s="85" t="s">
        <v>411</v>
      </c>
      <c r="L121" s="85" t="s">
        <v>412</v>
      </c>
      <c r="M121" s="85" t="s">
        <v>413</v>
      </c>
    </row>
    <row r="122" spans="2:15" x14ac:dyDescent="0.2">
      <c r="H122" s="92" t="s">
        <v>715</v>
      </c>
      <c r="J122" s="127"/>
      <c r="K122" s="128" t="str">
        <f>'2a-Consumption Plan Wk1'!E35</f>
        <v>No</v>
      </c>
      <c r="L122" s="128" t="str">
        <f>'2b-Consumption Plan Wk2'!E35</f>
        <v>No</v>
      </c>
      <c r="M122" s="128" t="str">
        <f>'2c-Consumption Plan Wk3'!E35</f>
        <v>No</v>
      </c>
    </row>
    <row r="123" spans="2:15" x14ac:dyDescent="0.2">
      <c r="H123" s="92" t="s">
        <v>564</v>
      </c>
      <c r="J123" s="129"/>
      <c r="K123" s="130">
        <f>'Benchmark Assumptions'!$K$18</f>
        <v>0.15</v>
      </c>
      <c r="L123" s="130">
        <f>'Benchmark Assumptions'!$K$18</f>
        <v>0.15</v>
      </c>
      <c r="M123" s="130">
        <f>'Benchmark Assumptions'!$K$18</f>
        <v>0.15</v>
      </c>
      <c r="N123" s="131"/>
    </row>
    <row r="124" spans="2:15" x14ac:dyDescent="0.2">
      <c r="H124" s="92" t="s">
        <v>716</v>
      </c>
      <c r="J124" s="127"/>
      <c r="K124" s="132">
        <f>'1-Client Variables'!D58</f>
        <v>0</v>
      </c>
      <c r="L124" s="132">
        <f>'1-Client Variables'!D98</f>
        <v>0</v>
      </c>
      <c r="M124" s="132">
        <f>'1-Client Variables'!D137</f>
        <v>0</v>
      </c>
      <c r="N124" s="131"/>
    </row>
    <row r="125" spans="2:15" x14ac:dyDescent="0.2">
      <c r="H125" s="92" t="s">
        <v>710</v>
      </c>
      <c r="J125" s="95">
        <f>SUM(K125:M125)</f>
        <v>0</v>
      </c>
      <c r="K125" s="132">
        <f>IF(K122="Yes",K124*K123,0)</f>
        <v>0</v>
      </c>
      <c r="L125" s="132">
        <f t="shared" ref="L125" si="5">IF(L122="Yes",L124*L123,0)</f>
        <v>0</v>
      </c>
      <c r="M125" s="132">
        <f>IF(M122="Yes",M124*M123,0)</f>
        <v>0</v>
      </c>
    </row>
    <row r="126" spans="2:15" x14ac:dyDescent="0.2">
      <c r="J126" s="88"/>
      <c r="K126" s="89"/>
    </row>
    <row r="127" spans="2:15" x14ac:dyDescent="0.2">
      <c r="C127" s="90" t="s">
        <v>373</v>
      </c>
      <c r="H127" s="90" t="s">
        <v>481</v>
      </c>
      <c r="I127" s="71"/>
      <c r="J127" s="71"/>
      <c r="K127" s="71"/>
      <c r="L127" s="71"/>
      <c r="M127" s="71"/>
      <c r="N127" s="71"/>
      <c r="O127" s="71"/>
    </row>
    <row r="128" spans="2:15" x14ac:dyDescent="0.2">
      <c r="B128" s="65" t="s">
        <v>717</v>
      </c>
      <c r="C128" s="75">
        <f>J135</f>
        <v>0</v>
      </c>
    </row>
    <row r="129" spans="2:19" ht="7.5" customHeight="1" x14ac:dyDescent="0.2"/>
    <row r="130" spans="2:19" x14ac:dyDescent="0.2">
      <c r="I130" s="85"/>
    </row>
    <row r="131" spans="2:19" x14ac:dyDescent="0.2">
      <c r="J131" s="85" t="s">
        <v>640</v>
      </c>
      <c r="K131" s="85" t="s">
        <v>411</v>
      </c>
      <c r="L131" s="85" t="s">
        <v>412</v>
      </c>
      <c r="M131" s="85" t="s">
        <v>413</v>
      </c>
    </row>
    <row r="132" spans="2:19" x14ac:dyDescent="0.2">
      <c r="H132" s="92" t="s">
        <v>718</v>
      </c>
      <c r="J132" s="127"/>
      <c r="K132" s="128" t="str">
        <f>'2a-Consumption Plan Wk1'!E42</f>
        <v>No</v>
      </c>
      <c r="L132" s="128" t="str">
        <f>'2b-Consumption Plan Wk2'!E42</f>
        <v>No</v>
      </c>
      <c r="M132" s="128" t="str">
        <f>'2c-Consumption Plan Wk3'!E42</f>
        <v>No</v>
      </c>
    </row>
    <row r="133" spans="2:19" x14ac:dyDescent="0.2">
      <c r="H133" s="92" t="s">
        <v>719</v>
      </c>
      <c r="J133" s="129"/>
      <c r="K133" s="130">
        <f>'Benchmark Assumptions'!$K$19</f>
        <v>0.15</v>
      </c>
      <c r="L133" s="130">
        <f>'Benchmark Assumptions'!$K$19</f>
        <v>0.15</v>
      </c>
      <c r="M133" s="130">
        <f>'Benchmark Assumptions'!$K$19</f>
        <v>0.15</v>
      </c>
      <c r="N133" s="131"/>
    </row>
    <row r="134" spans="2:19" x14ac:dyDescent="0.2">
      <c r="H134" s="92" t="s">
        <v>720</v>
      </c>
      <c r="J134" s="127"/>
      <c r="K134" s="132">
        <f>'1-Client Variables'!D60</f>
        <v>0</v>
      </c>
      <c r="L134" s="132">
        <f>'1-Client Variables'!D100</f>
        <v>0</v>
      </c>
      <c r="M134" s="132">
        <f>'1-Client Variables'!D139</f>
        <v>0</v>
      </c>
      <c r="N134" s="131"/>
    </row>
    <row r="135" spans="2:19" x14ac:dyDescent="0.2">
      <c r="H135" s="92" t="s">
        <v>710</v>
      </c>
      <c r="J135" s="95">
        <f>SUM(K135:M135)</f>
        <v>0</v>
      </c>
      <c r="K135" s="132">
        <f>IF(K132="Yes",K134*K133,0)</f>
        <v>0</v>
      </c>
      <c r="L135" s="132">
        <f t="shared" ref="L135" si="6">IF(L132="Yes",L134*L133,0)</f>
        <v>0</v>
      </c>
      <c r="M135" s="132">
        <f>IF(M132="Yes",M134*M133,0)</f>
        <v>0</v>
      </c>
    </row>
    <row r="136" spans="2:19" x14ac:dyDescent="0.2">
      <c r="J136" s="88"/>
      <c r="K136" s="89"/>
    </row>
    <row r="138" spans="2:19" x14ac:dyDescent="0.2">
      <c r="H138" s="90" t="s">
        <v>481</v>
      </c>
      <c r="I138" s="71"/>
      <c r="J138" s="71"/>
      <c r="K138" s="71"/>
      <c r="L138" s="71"/>
      <c r="M138" s="71"/>
      <c r="N138" s="71"/>
      <c r="O138" s="71"/>
    </row>
    <row r="139" spans="2:19" x14ac:dyDescent="0.2">
      <c r="B139" s="65" t="s">
        <v>721</v>
      </c>
    </row>
    <row r="140" spans="2:19" ht="7.5" customHeight="1" x14ac:dyDescent="0.2"/>
    <row r="141" spans="2:19" ht="7.5" customHeight="1" x14ac:dyDescent="0.2"/>
    <row r="142" spans="2:19" x14ac:dyDescent="0.2">
      <c r="H142" s="65" t="s">
        <v>77</v>
      </c>
      <c r="I142" s="69">
        <f>'1-Client Variables'!$D$26</f>
        <v>0.1</v>
      </c>
    </row>
    <row r="144" spans="2:19" x14ac:dyDescent="0.2">
      <c r="H144" s="80" t="s">
        <v>411</v>
      </c>
      <c r="I144" s="73" t="s">
        <v>332</v>
      </c>
      <c r="J144" s="63">
        <v>1</v>
      </c>
      <c r="K144" s="63">
        <f>J144+1</f>
        <v>2</v>
      </c>
      <c r="L144" s="63">
        <f t="shared" ref="L144:M144" si="7">K144+1</f>
        <v>3</v>
      </c>
      <c r="M144" s="63">
        <f t="shared" si="7"/>
        <v>4</v>
      </c>
      <c r="N144" s="63">
        <f>M144+1</f>
        <v>5</v>
      </c>
      <c r="O144" s="63">
        <f>N144+1</f>
        <v>6</v>
      </c>
      <c r="P144" s="63">
        <f>O144+1</f>
        <v>7</v>
      </c>
      <c r="Q144" s="63">
        <f t="shared" ref="Q144:S144" si="8">P144+1</f>
        <v>8</v>
      </c>
      <c r="R144" s="63">
        <f t="shared" si="8"/>
        <v>9</v>
      </c>
      <c r="S144" s="63">
        <f t="shared" si="8"/>
        <v>10</v>
      </c>
    </row>
    <row r="145" spans="8:20" x14ac:dyDescent="0.2">
      <c r="H145" s="239" t="s">
        <v>722</v>
      </c>
      <c r="I145" s="86">
        <f>'1-Client Variables'!D41</f>
        <v>0</v>
      </c>
      <c r="J145" s="86">
        <f>I145*(1+$I$142)</f>
        <v>0</v>
      </c>
      <c r="K145" s="86">
        <f t="shared" ref="K145:S145" si="9">J145*(1+$I$142)</f>
        <v>0</v>
      </c>
      <c r="L145" s="86">
        <f t="shared" si="9"/>
        <v>0</v>
      </c>
      <c r="M145" s="86">
        <f t="shared" si="9"/>
        <v>0</v>
      </c>
      <c r="N145" s="86">
        <f t="shared" si="9"/>
        <v>0</v>
      </c>
      <c r="O145" s="86">
        <f t="shared" si="9"/>
        <v>0</v>
      </c>
      <c r="P145" s="86">
        <f t="shared" si="9"/>
        <v>0</v>
      </c>
      <c r="Q145" s="86">
        <f t="shared" si="9"/>
        <v>0</v>
      </c>
      <c r="R145" s="86">
        <f t="shared" si="9"/>
        <v>0</v>
      </c>
      <c r="S145" s="86">
        <f t="shared" si="9"/>
        <v>0</v>
      </c>
    </row>
    <row r="146" spans="8:20" x14ac:dyDescent="0.2">
      <c r="H146" s="65" t="s">
        <v>723</v>
      </c>
      <c r="I146" s="86">
        <f>'Benchmark Assumptions'!$K$63</f>
        <v>1200</v>
      </c>
      <c r="J146" s="86">
        <f>'Benchmark Assumptions'!$K$63</f>
        <v>1200</v>
      </c>
      <c r="K146" s="86">
        <f>'Benchmark Assumptions'!$K$63</f>
        <v>1200</v>
      </c>
      <c r="L146" s="86">
        <f>'Benchmark Assumptions'!$K$63</f>
        <v>1200</v>
      </c>
      <c r="M146" s="86">
        <f>'Benchmark Assumptions'!$K$63</f>
        <v>1200</v>
      </c>
      <c r="N146" s="86">
        <f>'Benchmark Assumptions'!$K$63</f>
        <v>1200</v>
      </c>
      <c r="O146" s="86">
        <f>'Benchmark Assumptions'!$K$63</f>
        <v>1200</v>
      </c>
      <c r="P146" s="86">
        <f>'Benchmark Assumptions'!$K$63</f>
        <v>1200</v>
      </c>
      <c r="Q146" s="86">
        <f>'Benchmark Assumptions'!$K$63</f>
        <v>1200</v>
      </c>
      <c r="R146" s="86">
        <f>'Benchmark Assumptions'!$K$63</f>
        <v>1200</v>
      </c>
      <c r="S146" s="86">
        <f>'Benchmark Assumptions'!$K$63</f>
        <v>1200</v>
      </c>
    </row>
    <row r="147" spans="8:20" x14ac:dyDescent="0.2">
      <c r="H147" s="239" t="s">
        <v>724</v>
      </c>
      <c r="I147" s="86">
        <f>ROUND(I145/I146,0)</f>
        <v>0</v>
      </c>
      <c r="J147" s="86">
        <f t="shared" ref="J147:S147" si="10">ROUND(J145/J146,0)</f>
        <v>0</v>
      </c>
      <c r="K147" s="86">
        <f t="shared" si="10"/>
        <v>0</v>
      </c>
      <c r="L147" s="86">
        <f t="shared" si="10"/>
        <v>0</v>
      </c>
      <c r="M147" s="86">
        <f t="shared" si="10"/>
        <v>0</v>
      </c>
      <c r="N147" s="86">
        <f t="shared" si="10"/>
        <v>0</v>
      </c>
      <c r="O147" s="86">
        <f t="shared" si="10"/>
        <v>0</v>
      </c>
      <c r="P147" s="86">
        <f t="shared" si="10"/>
        <v>0</v>
      </c>
      <c r="Q147" s="86">
        <f t="shared" si="10"/>
        <v>0</v>
      </c>
      <c r="R147" s="86">
        <f t="shared" si="10"/>
        <v>0</v>
      </c>
      <c r="S147" s="86">
        <f t="shared" si="10"/>
        <v>0</v>
      </c>
    </row>
    <row r="148" spans="8:20" x14ac:dyDescent="0.2">
      <c r="H148" s="239" t="s">
        <v>725</v>
      </c>
      <c r="I148" s="243">
        <f>'Benchmark Assumptions'!$K$64</f>
        <v>196587.20930232559</v>
      </c>
      <c r="J148" s="243">
        <f>'Benchmark Assumptions'!$K$64</f>
        <v>196587.20930232559</v>
      </c>
      <c r="K148" s="243">
        <f>'Benchmark Assumptions'!$K$64</f>
        <v>196587.20930232559</v>
      </c>
      <c r="L148" s="243">
        <f>'Benchmark Assumptions'!$K$64</f>
        <v>196587.20930232559</v>
      </c>
      <c r="M148" s="243">
        <f>'Benchmark Assumptions'!$K$64</f>
        <v>196587.20930232559</v>
      </c>
      <c r="N148" s="243">
        <f>'Benchmark Assumptions'!$K$64</f>
        <v>196587.20930232559</v>
      </c>
      <c r="O148" s="243">
        <f>'Benchmark Assumptions'!$K$64</f>
        <v>196587.20930232559</v>
      </c>
      <c r="P148" s="243">
        <f>'Benchmark Assumptions'!$K$64</f>
        <v>196587.20930232559</v>
      </c>
      <c r="Q148" s="243">
        <f>'Benchmark Assumptions'!$K$64</f>
        <v>196587.20930232559</v>
      </c>
      <c r="R148" s="243">
        <f>'Benchmark Assumptions'!$K$64</f>
        <v>196587.20930232559</v>
      </c>
      <c r="S148" s="243">
        <f>'Benchmark Assumptions'!$K$64</f>
        <v>196587.20930232559</v>
      </c>
    </row>
    <row r="149" spans="8:20" x14ac:dyDescent="0.2">
      <c r="H149" s="239" t="s">
        <v>726</v>
      </c>
      <c r="I149" s="245">
        <f>I148*I147</f>
        <v>0</v>
      </c>
      <c r="J149" s="245">
        <f t="shared" ref="J149:S149" si="11">J148*J147</f>
        <v>0</v>
      </c>
      <c r="K149" s="245">
        <f t="shared" si="11"/>
        <v>0</v>
      </c>
      <c r="L149" s="245">
        <f t="shared" si="11"/>
        <v>0</v>
      </c>
      <c r="M149" s="245">
        <f t="shared" si="11"/>
        <v>0</v>
      </c>
      <c r="N149" s="245">
        <f t="shared" si="11"/>
        <v>0</v>
      </c>
      <c r="O149" s="245">
        <f t="shared" si="11"/>
        <v>0</v>
      </c>
      <c r="P149" s="245">
        <f t="shared" si="11"/>
        <v>0</v>
      </c>
      <c r="Q149" s="245">
        <f t="shared" si="11"/>
        <v>0</v>
      </c>
      <c r="R149" s="245">
        <f t="shared" si="11"/>
        <v>0</v>
      </c>
      <c r="S149" s="245">
        <f t="shared" si="11"/>
        <v>0</v>
      </c>
      <c r="T149" s="74" t="e">
        <f>(S149-I149)/I149</f>
        <v>#DIV/0!</v>
      </c>
    </row>
    <row r="151" spans="8:20" x14ac:dyDescent="0.2">
      <c r="H151" s="80" t="s">
        <v>412</v>
      </c>
      <c r="I151" s="73" t="s">
        <v>332</v>
      </c>
      <c r="J151" s="63">
        <v>1</v>
      </c>
      <c r="K151" s="63">
        <f>J151+1</f>
        <v>2</v>
      </c>
      <c r="L151" s="63">
        <f t="shared" ref="L151:M151" si="12">K151+1</f>
        <v>3</v>
      </c>
      <c r="M151" s="63">
        <f t="shared" si="12"/>
        <v>4</v>
      </c>
      <c r="N151" s="63">
        <f>M151+1</f>
        <v>5</v>
      </c>
      <c r="O151" s="63">
        <f>N151+1</f>
        <v>6</v>
      </c>
      <c r="P151" s="63">
        <f>O151+1</f>
        <v>7</v>
      </c>
      <c r="Q151" s="63">
        <f t="shared" ref="Q151:S151" si="13">P151+1</f>
        <v>8</v>
      </c>
      <c r="R151" s="63">
        <f t="shared" si="13"/>
        <v>9</v>
      </c>
      <c r="S151" s="63">
        <f t="shared" si="13"/>
        <v>10</v>
      </c>
    </row>
    <row r="152" spans="8:20" x14ac:dyDescent="0.2">
      <c r="H152" s="239" t="s">
        <v>722</v>
      </c>
      <c r="I152" s="86">
        <f>'1-Client Variables'!D81</f>
        <v>0</v>
      </c>
      <c r="J152" s="86">
        <f t="shared" ref="J152:S152" si="14">I152*(1+$I$142)</f>
        <v>0</v>
      </c>
      <c r="K152" s="86">
        <f t="shared" si="14"/>
        <v>0</v>
      </c>
      <c r="L152" s="86">
        <f t="shared" si="14"/>
        <v>0</v>
      </c>
      <c r="M152" s="86">
        <f t="shared" si="14"/>
        <v>0</v>
      </c>
      <c r="N152" s="86">
        <f t="shared" si="14"/>
        <v>0</v>
      </c>
      <c r="O152" s="86">
        <f t="shared" si="14"/>
        <v>0</v>
      </c>
      <c r="P152" s="86">
        <f t="shared" si="14"/>
        <v>0</v>
      </c>
      <c r="Q152" s="86">
        <f t="shared" si="14"/>
        <v>0</v>
      </c>
      <c r="R152" s="86">
        <f t="shared" si="14"/>
        <v>0</v>
      </c>
      <c r="S152" s="86">
        <f t="shared" si="14"/>
        <v>0</v>
      </c>
    </row>
    <row r="153" spans="8:20" x14ac:dyDescent="0.2">
      <c r="H153" s="65" t="s">
        <v>723</v>
      </c>
      <c r="I153" s="86">
        <f>'Benchmark Assumptions'!$K$63</f>
        <v>1200</v>
      </c>
      <c r="J153" s="86">
        <f>'Benchmark Assumptions'!$K$63</f>
        <v>1200</v>
      </c>
      <c r="K153" s="86">
        <f>'Benchmark Assumptions'!$K$63</f>
        <v>1200</v>
      </c>
      <c r="L153" s="86">
        <f>'Benchmark Assumptions'!$K$63</f>
        <v>1200</v>
      </c>
      <c r="M153" s="86">
        <f>'Benchmark Assumptions'!$K$63</f>
        <v>1200</v>
      </c>
      <c r="N153" s="86">
        <f>'Benchmark Assumptions'!$K$63</f>
        <v>1200</v>
      </c>
      <c r="O153" s="86">
        <f>'Benchmark Assumptions'!$K$63</f>
        <v>1200</v>
      </c>
      <c r="P153" s="86">
        <f>'Benchmark Assumptions'!$K$63</f>
        <v>1200</v>
      </c>
      <c r="Q153" s="86">
        <f>'Benchmark Assumptions'!$K$63</f>
        <v>1200</v>
      </c>
      <c r="R153" s="86">
        <f>'Benchmark Assumptions'!$K$63</f>
        <v>1200</v>
      </c>
      <c r="S153" s="86">
        <f>'Benchmark Assumptions'!$K$63</f>
        <v>1200</v>
      </c>
    </row>
    <row r="154" spans="8:20" x14ac:dyDescent="0.2">
      <c r="H154" s="239" t="s">
        <v>724</v>
      </c>
      <c r="I154" s="86">
        <f>ROUND(I152/I153,0)</f>
        <v>0</v>
      </c>
      <c r="J154" s="86">
        <f t="shared" ref="J154:S154" si="15">ROUND(J152/J153,0)</f>
        <v>0</v>
      </c>
      <c r="K154" s="86">
        <f t="shared" si="15"/>
        <v>0</v>
      </c>
      <c r="L154" s="86">
        <f t="shared" si="15"/>
        <v>0</v>
      </c>
      <c r="M154" s="86">
        <f t="shared" si="15"/>
        <v>0</v>
      </c>
      <c r="N154" s="86">
        <f t="shared" si="15"/>
        <v>0</v>
      </c>
      <c r="O154" s="86">
        <f t="shared" si="15"/>
        <v>0</v>
      </c>
      <c r="P154" s="86">
        <f t="shared" si="15"/>
        <v>0</v>
      </c>
      <c r="Q154" s="86">
        <f t="shared" si="15"/>
        <v>0</v>
      </c>
      <c r="R154" s="86">
        <f t="shared" si="15"/>
        <v>0</v>
      </c>
      <c r="S154" s="86">
        <f t="shared" si="15"/>
        <v>0</v>
      </c>
    </row>
    <row r="155" spans="8:20" x14ac:dyDescent="0.2">
      <c r="H155" s="239" t="s">
        <v>725</v>
      </c>
      <c r="I155" s="243">
        <f>'Benchmark Assumptions'!$K$64</f>
        <v>196587.20930232559</v>
      </c>
      <c r="J155" s="243">
        <f>'Benchmark Assumptions'!$K$64</f>
        <v>196587.20930232559</v>
      </c>
      <c r="K155" s="243">
        <f>'Benchmark Assumptions'!$K$64</f>
        <v>196587.20930232559</v>
      </c>
      <c r="L155" s="243">
        <f>'Benchmark Assumptions'!$K$64</f>
        <v>196587.20930232559</v>
      </c>
      <c r="M155" s="243">
        <f>'Benchmark Assumptions'!$K$64</f>
        <v>196587.20930232559</v>
      </c>
      <c r="N155" s="243">
        <f>'Benchmark Assumptions'!$K$64</f>
        <v>196587.20930232559</v>
      </c>
      <c r="O155" s="243">
        <f>'Benchmark Assumptions'!$K$64</f>
        <v>196587.20930232559</v>
      </c>
      <c r="P155" s="243">
        <f>'Benchmark Assumptions'!$K$64</f>
        <v>196587.20930232559</v>
      </c>
      <c r="Q155" s="243">
        <f>'Benchmark Assumptions'!$K$64</f>
        <v>196587.20930232559</v>
      </c>
      <c r="R155" s="243">
        <f>'Benchmark Assumptions'!$K$64</f>
        <v>196587.20930232559</v>
      </c>
      <c r="S155" s="243">
        <f>'Benchmark Assumptions'!$K$64</f>
        <v>196587.20930232559</v>
      </c>
    </row>
    <row r="156" spans="8:20" x14ac:dyDescent="0.2">
      <c r="H156" s="239" t="s">
        <v>726</v>
      </c>
      <c r="I156" s="245">
        <f>I155*I154</f>
        <v>0</v>
      </c>
      <c r="J156" s="245">
        <f t="shared" ref="J156" si="16">J155*J154</f>
        <v>0</v>
      </c>
      <c r="K156" s="245">
        <f t="shared" ref="K156" si="17">K155*K154</f>
        <v>0</v>
      </c>
      <c r="L156" s="245">
        <f t="shared" ref="L156" si="18">L155*L154</f>
        <v>0</v>
      </c>
      <c r="M156" s="245">
        <f t="shared" ref="M156" si="19">M155*M154</f>
        <v>0</v>
      </c>
      <c r="N156" s="245">
        <f t="shared" ref="N156" si="20">N155*N154</f>
        <v>0</v>
      </c>
      <c r="O156" s="245">
        <f t="shared" ref="O156" si="21">O155*O154</f>
        <v>0</v>
      </c>
      <c r="P156" s="245">
        <f t="shared" ref="P156" si="22">P155*P154</f>
        <v>0</v>
      </c>
      <c r="Q156" s="245">
        <f t="shared" ref="Q156" si="23">Q155*Q154</f>
        <v>0</v>
      </c>
      <c r="R156" s="245">
        <f t="shared" ref="R156" si="24">R155*R154</f>
        <v>0</v>
      </c>
      <c r="S156" s="245">
        <f t="shared" ref="S156" si="25">S155*S154</f>
        <v>0</v>
      </c>
      <c r="T156" s="74" t="e">
        <f>(S156-I156)/I156</f>
        <v>#DIV/0!</v>
      </c>
    </row>
    <row r="158" spans="8:20" x14ac:dyDescent="0.2">
      <c r="H158" s="80" t="s">
        <v>413</v>
      </c>
      <c r="I158" s="73" t="s">
        <v>332</v>
      </c>
      <c r="J158" s="63">
        <v>1</v>
      </c>
      <c r="K158" s="63">
        <f>J158+1</f>
        <v>2</v>
      </c>
      <c r="L158" s="63">
        <f t="shared" ref="L158:M158" si="26">K158+1</f>
        <v>3</v>
      </c>
      <c r="M158" s="63">
        <f t="shared" si="26"/>
        <v>4</v>
      </c>
      <c r="N158" s="63">
        <f>M158+1</f>
        <v>5</v>
      </c>
      <c r="O158" s="63">
        <f>N158+1</f>
        <v>6</v>
      </c>
      <c r="P158" s="63">
        <f>O158+1</f>
        <v>7</v>
      </c>
      <c r="Q158" s="63">
        <f t="shared" ref="Q158:S158" si="27">P158+1</f>
        <v>8</v>
      </c>
      <c r="R158" s="63">
        <f t="shared" si="27"/>
        <v>9</v>
      </c>
      <c r="S158" s="63">
        <f t="shared" si="27"/>
        <v>10</v>
      </c>
    </row>
    <row r="159" spans="8:20" x14ac:dyDescent="0.2">
      <c r="H159" s="239" t="s">
        <v>722</v>
      </c>
      <c r="I159" s="86">
        <f>'1-Client Variables'!D120</f>
        <v>0</v>
      </c>
      <c r="J159" s="86">
        <f t="shared" ref="J159:S159" si="28">I159*(1+$I$142)</f>
        <v>0</v>
      </c>
      <c r="K159" s="86">
        <f t="shared" si="28"/>
        <v>0</v>
      </c>
      <c r="L159" s="86">
        <f t="shared" si="28"/>
        <v>0</v>
      </c>
      <c r="M159" s="86">
        <f t="shared" si="28"/>
        <v>0</v>
      </c>
      <c r="N159" s="86">
        <f t="shared" si="28"/>
        <v>0</v>
      </c>
      <c r="O159" s="86">
        <f t="shared" si="28"/>
        <v>0</v>
      </c>
      <c r="P159" s="86">
        <f t="shared" si="28"/>
        <v>0</v>
      </c>
      <c r="Q159" s="86">
        <f t="shared" si="28"/>
        <v>0</v>
      </c>
      <c r="R159" s="86">
        <f t="shared" si="28"/>
        <v>0</v>
      </c>
      <c r="S159" s="86">
        <f t="shared" si="28"/>
        <v>0</v>
      </c>
    </row>
    <row r="160" spans="8:20" x14ac:dyDescent="0.2">
      <c r="H160" s="65" t="s">
        <v>723</v>
      </c>
      <c r="I160" s="86">
        <f>'Benchmark Assumptions'!$K$63</f>
        <v>1200</v>
      </c>
      <c r="J160" s="86">
        <f>'Benchmark Assumptions'!$K$63</f>
        <v>1200</v>
      </c>
      <c r="K160" s="86">
        <f>'Benchmark Assumptions'!$K$63</f>
        <v>1200</v>
      </c>
      <c r="L160" s="86">
        <f>'Benchmark Assumptions'!$K$63</f>
        <v>1200</v>
      </c>
      <c r="M160" s="86">
        <f>'Benchmark Assumptions'!$K$63</f>
        <v>1200</v>
      </c>
      <c r="N160" s="86">
        <f>'Benchmark Assumptions'!$K$63</f>
        <v>1200</v>
      </c>
      <c r="O160" s="86">
        <f>'Benchmark Assumptions'!$K$63</f>
        <v>1200</v>
      </c>
      <c r="P160" s="86">
        <f>'Benchmark Assumptions'!$K$63</f>
        <v>1200</v>
      </c>
      <c r="Q160" s="86">
        <f>'Benchmark Assumptions'!$K$63</f>
        <v>1200</v>
      </c>
      <c r="R160" s="86">
        <f>'Benchmark Assumptions'!$K$63</f>
        <v>1200</v>
      </c>
      <c r="S160" s="86">
        <f>'Benchmark Assumptions'!$K$63</f>
        <v>1200</v>
      </c>
    </row>
    <row r="161" spans="8:20" x14ac:dyDescent="0.2">
      <c r="H161" s="239" t="s">
        <v>724</v>
      </c>
      <c r="I161" s="86">
        <f t="shared" ref="I161:S161" si="29">ROUND(I159/I160,0)</f>
        <v>0</v>
      </c>
      <c r="J161" s="86">
        <f t="shared" si="29"/>
        <v>0</v>
      </c>
      <c r="K161" s="86">
        <f t="shared" si="29"/>
        <v>0</v>
      </c>
      <c r="L161" s="86">
        <f t="shared" si="29"/>
        <v>0</v>
      </c>
      <c r="M161" s="86">
        <f t="shared" si="29"/>
        <v>0</v>
      </c>
      <c r="N161" s="86">
        <f t="shared" si="29"/>
        <v>0</v>
      </c>
      <c r="O161" s="86">
        <f t="shared" si="29"/>
        <v>0</v>
      </c>
      <c r="P161" s="86">
        <f t="shared" si="29"/>
        <v>0</v>
      </c>
      <c r="Q161" s="86">
        <f t="shared" si="29"/>
        <v>0</v>
      </c>
      <c r="R161" s="86">
        <f t="shared" si="29"/>
        <v>0</v>
      </c>
      <c r="S161" s="86">
        <f t="shared" si="29"/>
        <v>0</v>
      </c>
    </row>
    <row r="162" spans="8:20" x14ac:dyDescent="0.2">
      <c r="H162" s="239" t="s">
        <v>725</v>
      </c>
      <c r="I162" s="243">
        <f>'Benchmark Assumptions'!$K$64</f>
        <v>196587.20930232559</v>
      </c>
      <c r="J162" s="243">
        <f>'Benchmark Assumptions'!$K$64</f>
        <v>196587.20930232559</v>
      </c>
      <c r="K162" s="243">
        <f>'Benchmark Assumptions'!$K$64</f>
        <v>196587.20930232559</v>
      </c>
      <c r="L162" s="243">
        <f>'Benchmark Assumptions'!$K$64</f>
        <v>196587.20930232559</v>
      </c>
      <c r="M162" s="243">
        <f>'Benchmark Assumptions'!$K$64</f>
        <v>196587.20930232559</v>
      </c>
      <c r="N162" s="243">
        <f>'Benchmark Assumptions'!$K$64</f>
        <v>196587.20930232559</v>
      </c>
      <c r="O162" s="243">
        <f>'Benchmark Assumptions'!$K$64</f>
        <v>196587.20930232559</v>
      </c>
      <c r="P162" s="243">
        <f>'Benchmark Assumptions'!$K$64</f>
        <v>196587.20930232559</v>
      </c>
      <c r="Q162" s="243">
        <f>'Benchmark Assumptions'!$K$64</f>
        <v>196587.20930232559</v>
      </c>
      <c r="R162" s="243">
        <f>'Benchmark Assumptions'!$K$64</f>
        <v>196587.20930232559</v>
      </c>
      <c r="S162" s="243">
        <f>'Benchmark Assumptions'!$K$64</f>
        <v>196587.20930232559</v>
      </c>
    </row>
    <row r="163" spans="8:20" x14ac:dyDescent="0.2">
      <c r="H163" s="239" t="s">
        <v>726</v>
      </c>
      <c r="I163" s="245">
        <f>I162*I161</f>
        <v>0</v>
      </c>
      <c r="J163" s="245">
        <f t="shared" ref="J163" si="30">J162*J161</f>
        <v>0</v>
      </c>
      <c r="K163" s="245">
        <f t="shared" ref="K163" si="31">K162*K161</f>
        <v>0</v>
      </c>
      <c r="L163" s="245">
        <f t="shared" ref="L163" si="32">L162*L161</f>
        <v>0</v>
      </c>
      <c r="M163" s="245">
        <f t="shared" ref="M163" si="33">M162*M161</f>
        <v>0</v>
      </c>
      <c r="N163" s="245">
        <f t="shared" ref="N163" si="34">N162*N161</f>
        <v>0</v>
      </c>
      <c r="O163" s="245">
        <f t="shared" ref="O163" si="35">O162*O161</f>
        <v>0</v>
      </c>
      <c r="P163" s="245">
        <f t="shared" ref="P163" si="36">P162*P161</f>
        <v>0</v>
      </c>
      <c r="Q163" s="245">
        <f t="shared" ref="Q163" si="37">Q162*Q161</f>
        <v>0</v>
      </c>
      <c r="R163" s="245">
        <f t="shared" ref="R163" si="38">R162*R161</f>
        <v>0</v>
      </c>
      <c r="S163" s="245">
        <f t="shared" ref="S163" si="39">S162*S161</f>
        <v>0</v>
      </c>
      <c r="T163" s="74" t="e">
        <f>(S163-I163)/I163</f>
        <v>#DIV/0!</v>
      </c>
    </row>
    <row r="165" spans="8:20" x14ac:dyDescent="0.2">
      <c r="H165" s="92" t="s">
        <v>727</v>
      </c>
      <c r="I165" s="85" t="str">
        <f>'1-Client Variables'!$D$31</f>
        <v>Yes</v>
      </c>
    </row>
    <row r="166" spans="8:20" x14ac:dyDescent="0.2">
      <c r="H166" s="92" t="s">
        <v>710</v>
      </c>
      <c r="I166" s="75">
        <f>IF($I$165="Yes",I149+I156+I163,0)</f>
        <v>0</v>
      </c>
      <c r="J166" s="75">
        <f t="shared" ref="J166:S166" si="40">IF($I$165="Yes",J149+J156+J163,0)</f>
        <v>0</v>
      </c>
      <c r="K166" s="75">
        <f t="shared" si="40"/>
        <v>0</v>
      </c>
      <c r="L166" s="75">
        <f t="shared" si="40"/>
        <v>0</v>
      </c>
      <c r="M166" s="75">
        <f t="shared" si="40"/>
        <v>0</v>
      </c>
      <c r="N166" s="75">
        <f t="shared" si="40"/>
        <v>0</v>
      </c>
      <c r="O166" s="75">
        <f t="shared" si="40"/>
        <v>0</v>
      </c>
      <c r="P166" s="75">
        <f t="shared" si="40"/>
        <v>0</v>
      </c>
      <c r="Q166" s="75">
        <f t="shared" si="40"/>
        <v>0</v>
      </c>
      <c r="R166" s="75">
        <f t="shared" si="40"/>
        <v>0</v>
      </c>
      <c r="S166" s="75">
        <f t="shared" si="40"/>
        <v>0</v>
      </c>
    </row>
  </sheetData>
  <mergeCells count="2">
    <mergeCell ref="B34:E36"/>
    <mergeCell ref="B88:E90"/>
  </mergeCells>
  <phoneticPr fontId="21" type="noConversion"/>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409F4-E09A-4720-8F2D-691A633F9B8F}">
  <sheetPr codeName="Sheet16">
    <tabColor theme="2" tint="-0.249977111117893"/>
  </sheetPr>
  <dimension ref="B2:N370"/>
  <sheetViews>
    <sheetView showGridLines="0" zoomScaleNormal="100" workbookViewId="0">
      <pane ySplit="2" topLeftCell="A273" activePane="bottomLeft" state="frozen"/>
      <selection activeCell="L24" sqref="L24"/>
      <selection pane="bottomLeft" activeCell="L24" sqref="L24"/>
    </sheetView>
  </sheetViews>
  <sheetFormatPr baseColWidth="10" defaultColWidth="9" defaultRowHeight="14" x14ac:dyDescent="0.2"/>
  <cols>
    <col min="1" max="1" width="1" style="65" customWidth="1"/>
    <col min="2" max="2" width="56" style="65" customWidth="1"/>
    <col min="3" max="13" width="14" style="65" customWidth="1"/>
    <col min="14" max="16" width="17" style="65" customWidth="1"/>
    <col min="17" max="18" width="9" style="65"/>
    <col min="19" max="19" width="12.5" style="65" bestFit="1" customWidth="1"/>
    <col min="20" max="16384" width="9" style="65"/>
  </cols>
  <sheetData>
    <row r="2" spans="2:13" ht="15" x14ac:dyDescent="0.2">
      <c r="B2" s="59" t="s">
        <v>728</v>
      </c>
    </row>
    <row r="4" spans="2:13" s="66" customFormat="1" x14ac:dyDescent="0.2">
      <c r="B4" s="66" t="s">
        <v>729</v>
      </c>
    </row>
    <row r="5" spans="2:13" ht="7.5" customHeight="1" x14ac:dyDescent="0.2"/>
    <row r="7" spans="2:13" x14ac:dyDescent="0.2">
      <c r="B7" s="65" t="s">
        <v>639</v>
      </c>
    </row>
    <row r="8" spans="2:13" x14ac:dyDescent="0.2">
      <c r="B8" s="65" t="s">
        <v>730</v>
      </c>
    </row>
    <row r="9" spans="2:13" x14ac:dyDescent="0.2">
      <c r="B9" s="65" t="s">
        <v>655</v>
      </c>
    </row>
    <row r="11" spans="2:13" x14ac:dyDescent="0.2">
      <c r="B11" s="67"/>
    </row>
    <row r="12" spans="2:13" s="68" customFormat="1" x14ac:dyDescent="0.2">
      <c r="B12" s="68" t="s">
        <v>731</v>
      </c>
    </row>
    <row r="13" spans="2:13" ht="7.5" customHeight="1" x14ac:dyDescent="0.2"/>
    <row r="14" spans="2:13" x14ac:dyDescent="0.2">
      <c r="B14" s="65" t="s">
        <v>77</v>
      </c>
      <c r="C14" s="69">
        <f>'1-Client Variables'!$D$26</f>
        <v>0.1</v>
      </c>
    </row>
    <row r="15" spans="2:13" x14ac:dyDescent="0.2">
      <c r="C15" s="70"/>
    </row>
    <row r="16" spans="2:13" x14ac:dyDescent="0.2">
      <c r="B16" s="71" t="s">
        <v>732</v>
      </c>
      <c r="C16" s="71"/>
      <c r="D16" s="71"/>
      <c r="E16" s="71"/>
      <c r="F16" s="71"/>
      <c r="G16" s="71"/>
      <c r="H16" s="71"/>
      <c r="I16" s="71"/>
      <c r="J16" s="71"/>
      <c r="K16" s="71"/>
      <c r="L16" s="71"/>
      <c r="M16" s="71"/>
    </row>
    <row r="17" spans="2:13" x14ac:dyDescent="0.2">
      <c r="B17" s="65" t="s">
        <v>676</v>
      </c>
      <c r="C17" s="72">
        <f>'Benchmark Assumptions'!$K$46</f>
        <v>208</v>
      </c>
    </row>
    <row r="19" spans="2:13" x14ac:dyDescent="0.2">
      <c r="C19" s="73" t="s">
        <v>332</v>
      </c>
      <c r="D19" s="63">
        <v>1</v>
      </c>
      <c r="E19" s="63">
        <f>D19+1</f>
        <v>2</v>
      </c>
      <c r="F19" s="63">
        <f t="shared" ref="F19:G19" si="0">E19+1</f>
        <v>3</v>
      </c>
      <c r="G19" s="63">
        <f t="shared" si="0"/>
        <v>4</v>
      </c>
      <c r="H19" s="63">
        <f>G19+1</f>
        <v>5</v>
      </c>
      <c r="I19" s="63">
        <f>H19+1</f>
        <v>6</v>
      </c>
      <c r="J19" s="63">
        <f>I19+1</f>
        <v>7</v>
      </c>
      <c r="K19" s="63">
        <f t="shared" ref="K19:M19" si="1">J19+1</f>
        <v>8</v>
      </c>
      <c r="L19" s="63">
        <f t="shared" si="1"/>
        <v>9</v>
      </c>
      <c r="M19" s="63">
        <f t="shared" si="1"/>
        <v>10</v>
      </c>
    </row>
    <row r="20" spans="2:13" x14ac:dyDescent="0.2">
      <c r="B20" s="61" t="s">
        <v>733</v>
      </c>
      <c r="C20" s="70"/>
      <c r="D20" s="70"/>
      <c r="E20" s="70"/>
      <c r="F20" s="70"/>
      <c r="G20" s="70"/>
      <c r="H20" s="70"/>
      <c r="I20" s="70"/>
      <c r="J20" s="70"/>
      <c r="K20" s="70"/>
      <c r="L20" s="70"/>
      <c r="M20" s="70"/>
    </row>
    <row r="21" spans="2:13" x14ac:dyDescent="0.2">
      <c r="B21" s="65" t="s">
        <v>734</v>
      </c>
      <c r="C21" s="74"/>
      <c r="D21" s="69">
        <f>'2a-Consumption Plan Wk1'!E$17</f>
        <v>0.4</v>
      </c>
      <c r="E21" s="69">
        <f>'2a-Consumption Plan Wk1'!F$17</f>
        <v>0.8</v>
      </c>
      <c r="F21" s="69">
        <f>'2a-Consumption Plan Wk1'!G$17</f>
        <v>1</v>
      </c>
      <c r="G21" s="69">
        <f>'2a-Consumption Plan Wk1'!H$17</f>
        <v>1</v>
      </c>
      <c r="H21" s="69">
        <f>'2a-Consumption Plan Wk1'!I$17</f>
        <v>1</v>
      </c>
      <c r="I21" s="69">
        <f>'2a-Consumption Plan Wk1'!J$17</f>
        <v>1</v>
      </c>
      <c r="J21" s="69">
        <f>'2a-Consumption Plan Wk1'!K$17</f>
        <v>1</v>
      </c>
      <c r="K21" s="69">
        <f>'2a-Consumption Plan Wk1'!L$17</f>
        <v>1</v>
      </c>
      <c r="L21" s="69">
        <f>'2a-Consumption Plan Wk1'!M$17</f>
        <v>1</v>
      </c>
      <c r="M21" s="69">
        <f>'2a-Consumption Plan Wk1'!N$17</f>
        <v>1</v>
      </c>
    </row>
    <row r="22" spans="2:13" x14ac:dyDescent="0.2">
      <c r="B22" s="65" t="s">
        <v>735</v>
      </c>
      <c r="C22" s="75" t="e">
        <f>'1-Client Variables'!$D$64</f>
        <v>#DIV/0!</v>
      </c>
      <c r="D22" s="75" t="e">
        <f>C22*(1+$C$14)</f>
        <v>#DIV/0!</v>
      </c>
      <c r="E22" s="75" t="e">
        <f>D22*(1+$C$14)</f>
        <v>#DIV/0!</v>
      </c>
      <c r="F22" s="75" t="e">
        <f>E22*(1+$C$14)</f>
        <v>#DIV/0!</v>
      </c>
      <c r="G22" s="75" t="e">
        <f t="shared" ref="G22:M22" si="2">F22*(1+$C$14)</f>
        <v>#DIV/0!</v>
      </c>
      <c r="H22" s="75" t="e">
        <f t="shared" si="2"/>
        <v>#DIV/0!</v>
      </c>
      <c r="I22" s="75" t="e">
        <f t="shared" si="2"/>
        <v>#DIV/0!</v>
      </c>
      <c r="J22" s="75" t="e">
        <f t="shared" si="2"/>
        <v>#DIV/0!</v>
      </c>
      <c r="K22" s="75" t="e">
        <f t="shared" si="2"/>
        <v>#DIV/0!</v>
      </c>
      <c r="L22" s="75" t="e">
        <f t="shared" si="2"/>
        <v>#DIV/0!</v>
      </c>
      <c r="M22" s="75" t="e">
        <f t="shared" si="2"/>
        <v>#DIV/0!</v>
      </c>
    </row>
    <row r="23" spans="2:13" x14ac:dyDescent="0.2">
      <c r="B23" s="65" t="s">
        <v>736</v>
      </c>
      <c r="C23" s="75" t="e">
        <f>'1-Client Variables'!$D$64</f>
        <v>#DIV/0!</v>
      </c>
      <c r="D23" s="75" t="e">
        <f>D22*(1-D21)</f>
        <v>#DIV/0!</v>
      </c>
      <c r="E23" s="75" t="e">
        <f t="shared" ref="E23:M23" si="3">E22*(1-E21)</f>
        <v>#DIV/0!</v>
      </c>
      <c r="F23" s="75" t="e">
        <f>F22*(1-F21)</f>
        <v>#DIV/0!</v>
      </c>
      <c r="G23" s="75" t="e">
        <f t="shared" si="3"/>
        <v>#DIV/0!</v>
      </c>
      <c r="H23" s="75" t="e">
        <f t="shared" si="3"/>
        <v>#DIV/0!</v>
      </c>
      <c r="I23" s="75" t="e">
        <f t="shared" si="3"/>
        <v>#DIV/0!</v>
      </c>
      <c r="J23" s="75" t="e">
        <f t="shared" si="3"/>
        <v>#DIV/0!</v>
      </c>
      <c r="K23" s="75" t="e">
        <f t="shared" si="3"/>
        <v>#DIV/0!</v>
      </c>
      <c r="L23" s="75" t="e">
        <f t="shared" si="3"/>
        <v>#DIV/0!</v>
      </c>
      <c r="M23" s="75" t="e">
        <f t="shared" si="3"/>
        <v>#DIV/0!</v>
      </c>
    </row>
    <row r="24" spans="2:13" ht="7.5" customHeight="1" x14ac:dyDescent="0.2"/>
    <row r="25" spans="2:13" x14ac:dyDescent="0.2">
      <c r="B25" s="61" t="s">
        <v>737</v>
      </c>
      <c r="C25" s="70"/>
      <c r="D25" s="70"/>
      <c r="E25" s="70"/>
      <c r="F25" s="70"/>
      <c r="G25" s="70"/>
      <c r="H25" s="70"/>
      <c r="I25" s="70"/>
      <c r="J25" s="70"/>
      <c r="K25" s="70"/>
      <c r="L25" s="70"/>
      <c r="M25" s="70"/>
    </row>
    <row r="26" spans="2:13" x14ac:dyDescent="0.2">
      <c r="B26" s="65" t="s">
        <v>734</v>
      </c>
      <c r="C26" s="74"/>
      <c r="D26" s="69">
        <f>'2b-Consumption Plan Wk2'!E$17</f>
        <v>0</v>
      </c>
      <c r="E26" s="69">
        <f>'2b-Consumption Plan Wk2'!F$17</f>
        <v>0</v>
      </c>
      <c r="F26" s="69">
        <f>'2b-Consumption Plan Wk2'!G$17</f>
        <v>0</v>
      </c>
      <c r="G26" s="69">
        <f>'2b-Consumption Plan Wk2'!H$17</f>
        <v>0</v>
      </c>
      <c r="H26" s="69">
        <f>'2b-Consumption Plan Wk2'!I$17</f>
        <v>0</v>
      </c>
      <c r="I26" s="69">
        <f>'2b-Consumption Plan Wk2'!J$17</f>
        <v>0</v>
      </c>
      <c r="J26" s="69">
        <f>'2b-Consumption Plan Wk2'!K$17</f>
        <v>0</v>
      </c>
      <c r="K26" s="69">
        <f>'2b-Consumption Plan Wk2'!L$17</f>
        <v>0</v>
      </c>
      <c r="L26" s="69">
        <f>'2b-Consumption Plan Wk2'!M$17</f>
        <v>0</v>
      </c>
      <c r="M26" s="69">
        <f>'2b-Consumption Plan Wk2'!N$17</f>
        <v>0</v>
      </c>
    </row>
    <row r="27" spans="2:13" x14ac:dyDescent="0.2">
      <c r="B27" s="65" t="s">
        <v>735</v>
      </c>
      <c r="C27" s="75" t="e">
        <f>'1-Client Variables'!$D$104</f>
        <v>#DIV/0!</v>
      </c>
      <c r="D27" s="75" t="e">
        <f>C27*(1+$C$14)</f>
        <v>#DIV/0!</v>
      </c>
      <c r="E27" s="75" t="e">
        <f>D27*(1+$C$14)</f>
        <v>#DIV/0!</v>
      </c>
      <c r="F27" s="75" t="e">
        <f>E27*(1+$C$14)</f>
        <v>#DIV/0!</v>
      </c>
      <c r="G27" s="75" t="e">
        <f t="shared" ref="G27:M27" si="4">F27*(1+$C$14)</f>
        <v>#DIV/0!</v>
      </c>
      <c r="H27" s="75" t="e">
        <f t="shared" si="4"/>
        <v>#DIV/0!</v>
      </c>
      <c r="I27" s="75" t="e">
        <f t="shared" si="4"/>
        <v>#DIV/0!</v>
      </c>
      <c r="J27" s="75" t="e">
        <f t="shared" si="4"/>
        <v>#DIV/0!</v>
      </c>
      <c r="K27" s="75" t="e">
        <f t="shared" si="4"/>
        <v>#DIV/0!</v>
      </c>
      <c r="L27" s="75" t="e">
        <f t="shared" si="4"/>
        <v>#DIV/0!</v>
      </c>
      <c r="M27" s="75" t="e">
        <f t="shared" si="4"/>
        <v>#DIV/0!</v>
      </c>
    </row>
    <row r="28" spans="2:13" x14ac:dyDescent="0.2">
      <c r="B28" s="65" t="s">
        <v>736</v>
      </c>
      <c r="C28" s="75" t="e">
        <f>'1-Client Variables'!$D$104</f>
        <v>#DIV/0!</v>
      </c>
      <c r="D28" s="75" t="e">
        <f>D27*(1-D26)</f>
        <v>#DIV/0!</v>
      </c>
      <c r="E28" s="75" t="e">
        <f t="shared" ref="E28" si="5">E27*(1-E26)</f>
        <v>#DIV/0!</v>
      </c>
      <c r="F28" s="75" t="e">
        <f t="shared" ref="F28" si="6">F27*(1-F26)</f>
        <v>#DIV/0!</v>
      </c>
      <c r="G28" s="75" t="e">
        <f t="shared" ref="G28" si="7">G27*(1-G26)</f>
        <v>#DIV/0!</v>
      </c>
      <c r="H28" s="75" t="e">
        <f t="shared" ref="H28" si="8">H27*(1-H26)</f>
        <v>#DIV/0!</v>
      </c>
      <c r="I28" s="75" t="e">
        <f t="shared" ref="I28" si="9">I27*(1-I26)</f>
        <v>#DIV/0!</v>
      </c>
      <c r="J28" s="75" t="e">
        <f t="shared" ref="J28" si="10">J27*(1-J26)</f>
        <v>#DIV/0!</v>
      </c>
      <c r="K28" s="75" t="e">
        <f t="shared" ref="K28" si="11">K27*(1-K26)</f>
        <v>#DIV/0!</v>
      </c>
      <c r="L28" s="75" t="e">
        <f t="shared" ref="L28" si="12">L27*(1-L26)</f>
        <v>#DIV/0!</v>
      </c>
      <c r="M28" s="75" t="e">
        <f t="shared" ref="M28" si="13">M27*(1-M26)</f>
        <v>#DIV/0!</v>
      </c>
    </row>
    <row r="29" spans="2:13" ht="7.5" customHeight="1" x14ac:dyDescent="0.2"/>
    <row r="30" spans="2:13" x14ac:dyDescent="0.2">
      <c r="B30" s="61" t="s">
        <v>738</v>
      </c>
      <c r="C30" s="70"/>
      <c r="D30" s="70"/>
      <c r="E30" s="70"/>
      <c r="F30" s="70"/>
      <c r="G30" s="70"/>
      <c r="H30" s="70"/>
      <c r="I30" s="70"/>
      <c r="J30" s="70"/>
      <c r="K30" s="70"/>
      <c r="L30" s="70"/>
      <c r="M30" s="70"/>
    </row>
    <row r="31" spans="2:13" x14ac:dyDescent="0.2">
      <c r="B31" s="65" t="s">
        <v>734</v>
      </c>
      <c r="C31" s="74"/>
      <c r="D31" s="69">
        <f>'2c-Consumption Plan Wk3'!E$17</f>
        <v>0</v>
      </c>
      <c r="E31" s="69">
        <f>'2c-Consumption Plan Wk3'!F$17</f>
        <v>0</v>
      </c>
      <c r="F31" s="69">
        <f>'2c-Consumption Plan Wk3'!G$17</f>
        <v>0</v>
      </c>
      <c r="G31" s="69">
        <f>'2c-Consumption Plan Wk3'!H$17</f>
        <v>0</v>
      </c>
      <c r="H31" s="69">
        <f>'2c-Consumption Plan Wk3'!I$17</f>
        <v>0</v>
      </c>
      <c r="I31" s="69">
        <f>'2c-Consumption Plan Wk3'!J$17</f>
        <v>0</v>
      </c>
      <c r="J31" s="69">
        <f>'2c-Consumption Plan Wk3'!K$17</f>
        <v>0</v>
      </c>
      <c r="K31" s="69">
        <f>'2c-Consumption Plan Wk3'!L$17</f>
        <v>0</v>
      </c>
      <c r="L31" s="69">
        <f>'2c-Consumption Plan Wk3'!M$17</f>
        <v>0</v>
      </c>
      <c r="M31" s="69">
        <f>'2c-Consumption Plan Wk3'!N$17</f>
        <v>0</v>
      </c>
    </row>
    <row r="32" spans="2:13" x14ac:dyDescent="0.2">
      <c r="B32" s="65" t="s">
        <v>735</v>
      </c>
      <c r="C32" s="75" t="e">
        <f>'1-Client Variables'!$D$143</f>
        <v>#DIV/0!</v>
      </c>
      <c r="D32" s="75" t="e">
        <f>C32*(1+$C$14)</f>
        <v>#DIV/0!</v>
      </c>
      <c r="E32" s="75" t="e">
        <f>D32*(1+$C$14)</f>
        <v>#DIV/0!</v>
      </c>
      <c r="F32" s="75" t="e">
        <f>E32*(1+$C$14)</f>
        <v>#DIV/0!</v>
      </c>
      <c r="G32" s="75" t="e">
        <f t="shared" ref="G32:M32" si="14">F32*(1+$C$14)</f>
        <v>#DIV/0!</v>
      </c>
      <c r="H32" s="75" t="e">
        <f t="shared" si="14"/>
        <v>#DIV/0!</v>
      </c>
      <c r="I32" s="75" t="e">
        <f t="shared" si="14"/>
        <v>#DIV/0!</v>
      </c>
      <c r="J32" s="75" t="e">
        <f t="shared" si="14"/>
        <v>#DIV/0!</v>
      </c>
      <c r="K32" s="75" t="e">
        <f t="shared" si="14"/>
        <v>#DIV/0!</v>
      </c>
      <c r="L32" s="75" t="e">
        <f t="shared" si="14"/>
        <v>#DIV/0!</v>
      </c>
      <c r="M32" s="75" t="e">
        <f t="shared" si="14"/>
        <v>#DIV/0!</v>
      </c>
    </row>
    <row r="33" spans="2:14" x14ac:dyDescent="0.2">
      <c r="B33" s="65" t="s">
        <v>736</v>
      </c>
      <c r="C33" s="75" t="e">
        <f>'1-Client Variables'!$D$143</f>
        <v>#DIV/0!</v>
      </c>
      <c r="D33" s="75" t="e">
        <f>D32*(1-D31)</f>
        <v>#DIV/0!</v>
      </c>
      <c r="E33" s="75" t="e">
        <f t="shared" ref="E33" si="15">E32*(1-E31)</f>
        <v>#DIV/0!</v>
      </c>
      <c r="F33" s="75" t="e">
        <f t="shared" ref="F33" si="16">F32*(1-F31)</f>
        <v>#DIV/0!</v>
      </c>
      <c r="G33" s="75" t="e">
        <f t="shared" ref="G33" si="17">G32*(1-G31)</f>
        <v>#DIV/0!</v>
      </c>
      <c r="H33" s="75" t="e">
        <f t="shared" ref="H33" si="18">H32*(1-H31)</f>
        <v>#DIV/0!</v>
      </c>
      <c r="I33" s="75" t="e">
        <f t="shared" ref="I33" si="19">I32*(1-I31)</f>
        <v>#DIV/0!</v>
      </c>
      <c r="J33" s="75" t="e">
        <f t="shared" ref="J33" si="20">J32*(1-J31)</f>
        <v>#DIV/0!</v>
      </c>
      <c r="K33" s="75" t="e">
        <f t="shared" ref="K33" si="21">K32*(1-K31)</f>
        <v>#DIV/0!</v>
      </c>
      <c r="L33" s="75" t="e">
        <f t="shared" ref="L33" si="22">L32*(1-L31)</f>
        <v>#DIV/0!</v>
      </c>
      <c r="M33" s="75" t="e">
        <f t="shared" ref="M33" si="23">M32*(1-M31)</f>
        <v>#DIV/0!</v>
      </c>
    </row>
    <row r="34" spans="2:14" ht="7.5" customHeight="1" x14ac:dyDescent="0.2"/>
    <row r="35" spans="2:14" x14ac:dyDescent="0.2">
      <c r="B35" s="65" t="s">
        <v>373</v>
      </c>
      <c r="C35" s="75" t="e">
        <f>(C23+C28+C33)*$C17</f>
        <v>#DIV/0!</v>
      </c>
      <c r="D35" s="76" t="e">
        <f>C35</f>
        <v>#DIV/0!</v>
      </c>
      <c r="E35" s="77" t="e">
        <f>(D23+D28+D33)*$C17</f>
        <v>#DIV/0!</v>
      </c>
      <c r="F35" s="77" t="e">
        <f>(E23+E28+E33)*$C17</f>
        <v>#DIV/0!</v>
      </c>
      <c r="G35" s="77" t="e">
        <f t="shared" ref="G35:M35" si="24">(F23+F28+F33)*$C17</f>
        <v>#DIV/0!</v>
      </c>
      <c r="H35" s="77" t="e">
        <f t="shared" si="24"/>
        <v>#DIV/0!</v>
      </c>
      <c r="I35" s="77" t="e">
        <f t="shared" si="24"/>
        <v>#DIV/0!</v>
      </c>
      <c r="J35" s="77" t="e">
        <f t="shared" si="24"/>
        <v>#DIV/0!</v>
      </c>
      <c r="K35" s="77" t="e">
        <f t="shared" si="24"/>
        <v>#DIV/0!</v>
      </c>
      <c r="L35" s="77" t="e">
        <f t="shared" si="24"/>
        <v>#DIV/0!</v>
      </c>
      <c r="M35" s="78" t="e">
        <f t="shared" si="24"/>
        <v>#DIV/0!</v>
      </c>
      <c r="N35" s="79"/>
    </row>
    <row r="37" spans="2:14" x14ac:dyDescent="0.2">
      <c r="B37" s="71" t="s">
        <v>739</v>
      </c>
      <c r="C37" s="71"/>
      <c r="D37" s="71"/>
      <c r="E37" s="71"/>
      <c r="F37" s="71"/>
      <c r="G37" s="71"/>
      <c r="H37" s="71"/>
      <c r="I37" s="71"/>
      <c r="J37" s="71"/>
      <c r="K37" s="71"/>
      <c r="L37" s="71"/>
      <c r="M37" s="71"/>
    </row>
    <row r="38" spans="2:14" x14ac:dyDescent="0.2">
      <c r="B38" s="65" t="s">
        <v>676</v>
      </c>
      <c r="C38" s="72">
        <f>IF('1-Client Variables'!D13="B",'Benchmark Assumptions'!K38,IF('1-Client Variables'!D13="D",'Benchmark Assumptions'!K42,"Error price level"))</f>
        <v>73.08</v>
      </c>
    </row>
    <row r="39" spans="2:14" x14ac:dyDescent="0.2">
      <c r="B39" s="80"/>
    </row>
    <row r="40" spans="2:14" x14ac:dyDescent="0.2">
      <c r="B40" s="61" t="s">
        <v>733</v>
      </c>
    </row>
    <row r="41" spans="2:14" ht="5.25" customHeight="1" x14ac:dyDescent="0.2"/>
    <row r="42" spans="2:14" x14ac:dyDescent="0.2">
      <c r="B42" s="65" t="s">
        <v>740</v>
      </c>
    </row>
    <row r="43" spans="2:14" x14ac:dyDescent="0.2">
      <c r="B43" s="81" t="s">
        <v>741</v>
      </c>
      <c r="C43" s="75">
        <f>'1-Client Variables'!$D$67</f>
        <v>0</v>
      </c>
      <c r="D43" s="60" t="s">
        <v>742</v>
      </c>
    </row>
    <row r="44" spans="2:14" x14ac:dyDescent="0.2">
      <c r="B44" s="81" t="s">
        <v>743</v>
      </c>
      <c r="C44" s="69">
        <f>'2a-Consumption Plan Wk1'!$I$8</f>
        <v>0</v>
      </c>
    </row>
    <row r="45" spans="2:14" x14ac:dyDescent="0.2">
      <c r="B45" s="81" t="s">
        <v>744</v>
      </c>
      <c r="C45" s="75">
        <f>IF(C44&gt;-100%,C43*(1+C44),C43)</f>
        <v>0</v>
      </c>
      <c r="D45" s="60" t="s">
        <v>742</v>
      </c>
    </row>
    <row r="46" spans="2:14" ht="5.25" customHeight="1" x14ac:dyDescent="0.2"/>
    <row r="47" spans="2:14" x14ac:dyDescent="0.2">
      <c r="B47" s="80"/>
      <c r="C47" s="73" t="s">
        <v>332</v>
      </c>
      <c r="D47" s="63">
        <v>1</v>
      </c>
      <c r="E47" s="63">
        <f>D47+1</f>
        <v>2</v>
      </c>
      <c r="F47" s="63">
        <f t="shared" ref="F47" si="25">E47+1</f>
        <v>3</v>
      </c>
      <c r="G47" s="63">
        <f t="shared" ref="G47" si="26">F47+1</f>
        <v>4</v>
      </c>
      <c r="H47" s="63">
        <f>G47+1</f>
        <v>5</v>
      </c>
      <c r="I47" s="63">
        <f>H47+1</f>
        <v>6</v>
      </c>
      <c r="J47" s="63">
        <f>I47+1</f>
        <v>7</v>
      </c>
      <c r="K47" s="63">
        <f t="shared" ref="K47" si="27">J47+1</f>
        <v>8</v>
      </c>
      <c r="L47" s="63">
        <f t="shared" ref="L47" si="28">K47+1</f>
        <v>9</v>
      </c>
      <c r="M47" s="63">
        <f t="shared" ref="M47" si="29">L47+1</f>
        <v>10</v>
      </c>
    </row>
    <row r="48" spans="2:14" x14ac:dyDescent="0.2">
      <c r="B48" s="65" t="s">
        <v>734</v>
      </c>
      <c r="C48" s="74"/>
      <c r="D48" s="69">
        <f>'2a-Consumption Plan Wk1'!E$17</f>
        <v>0.4</v>
      </c>
      <c r="E48" s="69">
        <f>'2a-Consumption Plan Wk1'!F$17</f>
        <v>0.8</v>
      </c>
      <c r="F48" s="69">
        <f>'2a-Consumption Plan Wk1'!G$17</f>
        <v>1</v>
      </c>
      <c r="G48" s="69">
        <f>'2a-Consumption Plan Wk1'!H$17</f>
        <v>1</v>
      </c>
      <c r="H48" s="69">
        <f>'2a-Consumption Plan Wk1'!I$17</f>
        <v>1</v>
      </c>
      <c r="I48" s="69">
        <f>'2a-Consumption Plan Wk1'!J$17</f>
        <v>1</v>
      </c>
      <c r="J48" s="69">
        <f>'2a-Consumption Plan Wk1'!K$17</f>
        <v>1</v>
      </c>
      <c r="K48" s="69">
        <f>'2a-Consumption Plan Wk1'!L$17</f>
        <v>1</v>
      </c>
      <c r="L48" s="69">
        <f>'2a-Consumption Plan Wk1'!M$17</f>
        <v>1</v>
      </c>
      <c r="M48" s="69">
        <f>'2a-Consumption Plan Wk1'!N$17</f>
        <v>1</v>
      </c>
    </row>
    <row r="49" spans="2:14" x14ac:dyDescent="0.2">
      <c r="B49" s="65" t="s">
        <v>745</v>
      </c>
      <c r="C49" s="74"/>
      <c r="D49" s="82" t="b">
        <f>IF(D48=1,TRUE,FALSE)</f>
        <v>0</v>
      </c>
      <c r="E49" s="82" t="b">
        <f t="shared" ref="E49:M49" si="30">IF(E48=1,TRUE,FALSE)</f>
        <v>0</v>
      </c>
      <c r="F49" s="82" t="b">
        <f t="shared" si="30"/>
        <v>1</v>
      </c>
      <c r="G49" s="82" t="b">
        <f t="shared" si="30"/>
        <v>1</v>
      </c>
      <c r="H49" s="82" t="b">
        <f t="shared" si="30"/>
        <v>1</v>
      </c>
      <c r="I49" s="82" t="b">
        <f t="shared" si="30"/>
        <v>1</v>
      </c>
      <c r="J49" s="82" t="b">
        <f t="shared" si="30"/>
        <v>1</v>
      </c>
      <c r="K49" s="82" t="b">
        <f t="shared" si="30"/>
        <v>1</v>
      </c>
      <c r="L49" s="82" t="b">
        <f t="shared" si="30"/>
        <v>1</v>
      </c>
      <c r="M49" s="82" t="b">
        <f t="shared" si="30"/>
        <v>1</v>
      </c>
      <c r="N49" s="83"/>
    </row>
    <row r="50" spans="2:14" x14ac:dyDescent="0.2">
      <c r="B50" s="65" t="s">
        <v>746</v>
      </c>
      <c r="C50" s="74"/>
      <c r="D50" s="75">
        <f>IF(D49=FALSE,$C43*(1-D48)*(1+$C$14),0)</f>
        <v>0</v>
      </c>
      <c r="E50" s="75">
        <f>IF(E49=FALSE,$C43*(1-E48)*(1+$C$14)*(1+$C$14),0)</f>
        <v>0</v>
      </c>
      <c r="F50" s="75">
        <f>IF(F49=FALSE,$C43*(1-F48)*(1+$C$14)*(1+$C$14)*(1+$C$14),0)</f>
        <v>0</v>
      </c>
      <c r="G50" s="75">
        <f>IF(G49=FALSE,$C43*(1-G48)*(1+$C$14)*(1+$C$14)*(1+$C$14)*(1+$C$14),0)</f>
        <v>0</v>
      </c>
      <c r="H50" s="75">
        <f>IF(H49=FALSE,$C43*(1-H48)*(1+$C$14)*(1+$C$14)*(1+$C$14)*(1+$C$14)*(1+$C$14),0)</f>
        <v>0</v>
      </c>
      <c r="I50" s="75">
        <f>IF(I49=FALSE,$C43*(1-I48)*(1+$C$14)*(1+$C$14)*(1+$C$14)*(1+$C$14)*(1+$C$14)*(1+$C$14),0)</f>
        <v>0</v>
      </c>
      <c r="J50" s="75">
        <f>IF(J49=FALSE,$C43*(1-J48)*(1+$C$14)*(1+$C$14)*(1+$C$14)*(1+$C$14)*(1+$C$14)*(1+$C$14)*(1+$C$14),0)</f>
        <v>0</v>
      </c>
      <c r="K50" s="75">
        <f>IF(K49=FALSE,$C43*(1-K48)*(1+$C$14)*(1+$C$14)*(1+$C$14)*(1+$C$14)*(1+$C$14)*(1+$C$14)*(1+$C$14)*(1+$C$14),0)</f>
        <v>0</v>
      </c>
      <c r="L50" s="75">
        <f>IF(L49=FALSE,$C43*(1-L48)*(1+$C$14)*(1+$C$14)*(1+$C$14)*(1+$C$14)*(1+$C$14)*(1+$C$14)*(1+$C$14)*(1+$C$14)*(1+$C$14),0)</f>
        <v>0</v>
      </c>
      <c r="M50" s="75">
        <f>IF(M49=FALSE,$C43*(1-M48)*(1+$C$14)*(1+$C$14)*(1+$C$14)*(1+$C$14)*(1+$C$14)*(1+$C$14)*(1+$C$14)*(1+$C$14)*(1+$C$14)*(1+$C$14),0)</f>
        <v>0</v>
      </c>
      <c r="N50" s="83"/>
    </row>
    <row r="51" spans="2:14" x14ac:dyDescent="0.2">
      <c r="B51" s="65" t="s">
        <v>747</v>
      </c>
      <c r="C51" s="74"/>
      <c r="D51" s="75">
        <f>IF(D49=FALSE,$C43*(1+$C44)*D48*(1+$C$14),$C45*(1+$C$14))</f>
        <v>0</v>
      </c>
      <c r="E51" s="75">
        <f>IF(E49=FALSE,$C43*(1+$C44)*E48*(1+$C$14)*(1+$C$14),$C45*(1+$C$14)*(1+$C$14))</f>
        <v>0</v>
      </c>
      <c r="F51" s="75">
        <f>IF(F49=FALSE,$C43*(1+$C44)*F48*(1+$C$14)*(1+$C$14)*(1+$C$14),$C45*(1+$C$14)*(1+$C$14)*(1+$C$14))</f>
        <v>0</v>
      </c>
      <c r="G51" s="75">
        <f>IF(G49=FALSE,$C43*(1+$C44)*G48*(1+$C$14)*(1+$C$14)*(1+$C$14)*(1+$C$14),$C45*(1+$C$14)*(1+$C$14)*(1+$C$14)*(1+$C$14))</f>
        <v>0</v>
      </c>
      <c r="H51" s="75">
        <f>IF(H49=FALSE,$C43*(1+$C44)*H48*(1+$C$14)*(1+$C$14)*(1+$C$14)*(1+$C$14)*(1+$C$14),$C45*(1+$C$14)*(1+$C$14)*(1+$C$14)*(1+$C$14)*(1+$C$14))</f>
        <v>0</v>
      </c>
      <c r="I51" s="75">
        <f>IF(I49=FALSE,$C43*(1+$C44)*I48*(1+$C$14)*(1+$C$14)*(1+$C$14)*(1+$C$14)*(1+$C$14)*(1+$C$14),$C45*(1+$C$14)*(1+$C$14)*(1+$C$14)*(1+$C$14)*(1+$C$14)*(1+$C$14))</f>
        <v>0</v>
      </c>
      <c r="J51" s="75">
        <f>IF(J49=FALSE,$C43*(1+$C44)*J48*(1+$C$14)*(1+$C$14)*(1+$C$14)*(1+$C$14)*(1+$C$14)*(1+$C$14)*(1+$C$14),$C45*(1+$C$14)*(1+$C$14)*(1+$C$14)*(1+$C$14)*(1+$C$14)*(1+$C$14)*(1+$C$14))</f>
        <v>0</v>
      </c>
      <c r="K51" s="75">
        <f>IF(K49=FALSE,$C43*(1+$C44)*K48*(1+$C$14)*(1+$C$14)*(1+$C$14)*(1+$C$14)*(1+$C$14)*(1+$C$14)*(1+$C$14)*(1+$C$14),$C45*(1+$C$14)*(1+$C$14)*(1+$C$14)*(1+$C$14)*(1+$C$14)*(1+$C$14)*(1+$C$14)*(1+$C$14))</f>
        <v>0</v>
      </c>
      <c r="L51" s="75">
        <f>IF(L49=FALSE,$C43*(1+$C44)*L48*(1+$C$14)*(1+$C$14)*(1+$C$14)*(1+$C$14)*(1+$C$14)*(1+$C$14)*(1+$C$14)*(1+$C$14)*(1+$C$14),$C45*(1+$C$14)*(1+$C$14)*(1+$C$14)*(1+$C$14)*(1+$C$14)*(1+$C$14)*(1+$C$14)*(1+$C$14)*(1+$C$14))</f>
        <v>0</v>
      </c>
      <c r="M51" s="75">
        <f>IF(M49=FALSE,$C43*(1+$C44)*M48*(1+$C$14)*(1+$C$14)*(1+$C$14)*(1+$C$14)*(1+$C$14)*(1+$C$14)*(1+$C$14)*(1+$C$14)*(1+$C$14)*(1+$C$14),$C45*(1+$C$14)*(1+$C$14)*(1+$C$14)*(1+$C$14)*(1+$C$14)*(1+$C$14)*(1+$C$14)*(1+$C$14)*(1+$C$14)*(1+$C$14))</f>
        <v>0</v>
      </c>
      <c r="N51" s="83"/>
    </row>
    <row r="52" spans="2:14" x14ac:dyDescent="0.2">
      <c r="B52" s="65" t="s">
        <v>748</v>
      </c>
      <c r="C52" s="74"/>
      <c r="D52" s="84">
        <f>SUM(D50:D51)</f>
        <v>0</v>
      </c>
      <c r="E52" s="84">
        <f t="shared" ref="E52" si="31">SUM(E50:E51)</f>
        <v>0</v>
      </c>
      <c r="F52" s="84">
        <f t="shared" ref="F52" si="32">SUM(F50:F51)</f>
        <v>0</v>
      </c>
      <c r="G52" s="84">
        <f t="shared" ref="G52" si="33">SUM(G50:G51)</f>
        <v>0</v>
      </c>
      <c r="H52" s="84">
        <f t="shared" ref="H52" si="34">SUM(H50:H51)</f>
        <v>0</v>
      </c>
      <c r="I52" s="84">
        <f t="shared" ref="I52" si="35">SUM(I50:I51)</f>
        <v>0</v>
      </c>
      <c r="J52" s="84">
        <f t="shared" ref="J52" si="36">SUM(J50:J51)</f>
        <v>0</v>
      </c>
      <c r="K52" s="84">
        <f t="shared" ref="K52" si="37">SUM(K50:K51)</f>
        <v>0</v>
      </c>
      <c r="L52" s="84">
        <f t="shared" ref="L52" si="38">SUM(L50:L51)</f>
        <v>0</v>
      </c>
      <c r="M52" s="84">
        <f t="shared" ref="M52" si="39">SUM(M50:M51)</f>
        <v>0</v>
      </c>
    </row>
    <row r="53" spans="2:14" x14ac:dyDescent="0.2">
      <c r="B53" s="65" t="s">
        <v>373</v>
      </c>
      <c r="C53" s="75">
        <f>C43*$C$38</f>
        <v>0</v>
      </c>
      <c r="D53" s="76">
        <f>C53</f>
        <v>0</v>
      </c>
      <c r="E53" s="77">
        <f>D52*$C$38</f>
        <v>0</v>
      </c>
      <c r="F53" s="77">
        <f t="shared" ref="F53:M53" si="40">E52*$C$38</f>
        <v>0</v>
      </c>
      <c r="G53" s="77">
        <f t="shared" si="40"/>
        <v>0</v>
      </c>
      <c r="H53" s="77">
        <f t="shared" si="40"/>
        <v>0</v>
      </c>
      <c r="I53" s="77">
        <f t="shared" si="40"/>
        <v>0</v>
      </c>
      <c r="J53" s="77">
        <f t="shared" si="40"/>
        <v>0</v>
      </c>
      <c r="K53" s="77">
        <f t="shared" si="40"/>
        <v>0</v>
      </c>
      <c r="L53" s="77">
        <f t="shared" si="40"/>
        <v>0</v>
      </c>
      <c r="M53" s="78">
        <f t="shared" si="40"/>
        <v>0</v>
      </c>
      <c r="N53" s="79"/>
    </row>
    <row r="55" spans="2:14" x14ac:dyDescent="0.2">
      <c r="B55" s="61" t="s">
        <v>737</v>
      </c>
    </row>
    <row r="56" spans="2:14" ht="5.25" customHeight="1" x14ac:dyDescent="0.2"/>
    <row r="57" spans="2:14" x14ac:dyDescent="0.2">
      <c r="B57" s="65" t="s">
        <v>740</v>
      </c>
    </row>
    <row r="58" spans="2:14" x14ac:dyDescent="0.2">
      <c r="B58" s="81" t="s">
        <v>741</v>
      </c>
      <c r="C58" s="75">
        <f>'1-Client Variables'!$D$106</f>
        <v>0</v>
      </c>
      <c r="D58" s="60" t="s">
        <v>742</v>
      </c>
    </row>
    <row r="59" spans="2:14" x14ac:dyDescent="0.2">
      <c r="B59" s="81" t="s">
        <v>743</v>
      </c>
      <c r="C59" s="69">
        <f>'2b-Consumption Plan Wk2'!$I$8</f>
        <v>0</v>
      </c>
    </row>
    <row r="60" spans="2:14" x14ac:dyDescent="0.2">
      <c r="B60" s="81" t="s">
        <v>744</v>
      </c>
      <c r="C60" s="75">
        <f>IF(C59&gt;-100%,C58*(1+C59),C58)</f>
        <v>0</v>
      </c>
      <c r="D60" s="60" t="s">
        <v>742</v>
      </c>
    </row>
    <row r="61" spans="2:14" ht="5.25" customHeight="1" x14ac:dyDescent="0.2"/>
    <row r="62" spans="2:14" x14ac:dyDescent="0.2">
      <c r="B62" s="80"/>
      <c r="C62" s="73" t="s">
        <v>332</v>
      </c>
      <c r="D62" s="63">
        <v>1</v>
      </c>
      <c r="E62" s="63">
        <f>D62+1</f>
        <v>2</v>
      </c>
      <c r="F62" s="63">
        <f t="shared" ref="F62" si="41">E62+1</f>
        <v>3</v>
      </c>
      <c r="G62" s="63">
        <f t="shared" ref="G62" si="42">F62+1</f>
        <v>4</v>
      </c>
      <c r="H62" s="63">
        <f>G62+1</f>
        <v>5</v>
      </c>
      <c r="I62" s="63">
        <f>H62+1</f>
        <v>6</v>
      </c>
      <c r="J62" s="63">
        <f>I62+1</f>
        <v>7</v>
      </c>
      <c r="K62" s="63">
        <f t="shared" ref="K62" si="43">J62+1</f>
        <v>8</v>
      </c>
      <c r="L62" s="63">
        <f t="shared" ref="L62" si="44">K62+1</f>
        <v>9</v>
      </c>
      <c r="M62" s="63">
        <f t="shared" ref="M62" si="45">L62+1</f>
        <v>10</v>
      </c>
    </row>
    <row r="63" spans="2:14" x14ac:dyDescent="0.2">
      <c r="B63" s="65" t="s">
        <v>734</v>
      </c>
      <c r="C63" s="74"/>
      <c r="D63" s="69">
        <f>'2b-Consumption Plan Wk2'!E$17</f>
        <v>0</v>
      </c>
      <c r="E63" s="69">
        <f>'2b-Consumption Plan Wk2'!F$17</f>
        <v>0</v>
      </c>
      <c r="F63" s="69">
        <f>'2b-Consumption Plan Wk2'!G$17</f>
        <v>0</v>
      </c>
      <c r="G63" s="69">
        <f>'2b-Consumption Plan Wk2'!H$17</f>
        <v>0</v>
      </c>
      <c r="H63" s="69">
        <f>'2b-Consumption Plan Wk2'!I$17</f>
        <v>0</v>
      </c>
      <c r="I63" s="69">
        <f>'2b-Consumption Plan Wk2'!J$17</f>
        <v>0</v>
      </c>
      <c r="J63" s="69">
        <f>'2b-Consumption Plan Wk2'!K$17</f>
        <v>0</v>
      </c>
      <c r="K63" s="69">
        <f>'2b-Consumption Plan Wk2'!L$17</f>
        <v>0</v>
      </c>
      <c r="L63" s="69">
        <f>'2b-Consumption Plan Wk2'!M$17</f>
        <v>0</v>
      </c>
      <c r="M63" s="69">
        <f>'2b-Consumption Plan Wk2'!N$17</f>
        <v>0</v>
      </c>
    </row>
    <row r="64" spans="2:14" x14ac:dyDescent="0.2">
      <c r="B64" s="65" t="s">
        <v>745</v>
      </c>
      <c r="C64" s="74"/>
      <c r="D64" s="82" t="b">
        <f>IF(D63=1,TRUE,FALSE)</f>
        <v>0</v>
      </c>
      <c r="E64" s="82" t="b">
        <f t="shared" ref="E64:M64" si="46">IF(E63=1,TRUE,FALSE)</f>
        <v>0</v>
      </c>
      <c r="F64" s="82" t="b">
        <f t="shared" si="46"/>
        <v>0</v>
      </c>
      <c r="G64" s="82" t="b">
        <f t="shared" si="46"/>
        <v>0</v>
      </c>
      <c r="H64" s="82" t="b">
        <f t="shared" si="46"/>
        <v>0</v>
      </c>
      <c r="I64" s="82" t="b">
        <f t="shared" si="46"/>
        <v>0</v>
      </c>
      <c r="J64" s="82" t="b">
        <f t="shared" si="46"/>
        <v>0</v>
      </c>
      <c r="K64" s="82" t="b">
        <f t="shared" si="46"/>
        <v>0</v>
      </c>
      <c r="L64" s="82" t="b">
        <f t="shared" si="46"/>
        <v>0</v>
      </c>
      <c r="M64" s="82" t="b">
        <f t="shared" si="46"/>
        <v>0</v>
      </c>
      <c r="N64" s="83"/>
    </row>
    <row r="65" spans="2:14" x14ac:dyDescent="0.2">
      <c r="B65" s="65" t="s">
        <v>749</v>
      </c>
      <c r="C65" s="74"/>
      <c r="D65" s="75">
        <f>IF(D64=FALSE,$C58*(1-D63)*(1+$C$14),0)</f>
        <v>0</v>
      </c>
      <c r="E65" s="75">
        <f>IF(E64=FALSE,$C58*(1-E63)*(1+$C$14)*(1+$C$14),0)</f>
        <v>0</v>
      </c>
      <c r="F65" s="75">
        <f>IF(F64=FALSE,$C58*(1-F63)*(1+$C$14)*(1+$C$14)*(1+$C$14),0)</f>
        <v>0</v>
      </c>
      <c r="G65" s="75">
        <f>IF(G64=FALSE,$C58*(1-G63)*(1+$C$14)*(1+$C$14)*(1+$C$14)*(1+$C$14),0)</f>
        <v>0</v>
      </c>
      <c r="H65" s="75">
        <f>IF(H64=FALSE,$C58*(1-H63)*(1+$C$14)*(1+$C$14)*(1+$C$14)*(1+$C$14)*(1+$C$14),0)</f>
        <v>0</v>
      </c>
      <c r="I65" s="75">
        <f>IF(I64=FALSE,$C58*(1-I63)*(1+$C$14)*(1+$C$14)*(1+$C$14)*(1+$C$14)*(1+$C$14)*(1+$C$14),0)</f>
        <v>0</v>
      </c>
      <c r="J65" s="75">
        <f>IF(J64=FALSE,$C58*(1-J63)*(1+$C$14)*(1+$C$14)*(1+$C$14)*(1+$C$14)*(1+$C$14)*(1+$C$14)*(1+$C$14),0)</f>
        <v>0</v>
      </c>
      <c r="K65" s="75">
        <f>IF(K64=FALSE,$C58*(1-K63)*(1+$C$14)*(1+$C$14)*(1+$C$14)*(1+$C$14)*(1+$C$14)*(1+$C$14)*(1+$C$14)*(1+$C$14),0)</f>
        <v>0</v>
      </c>
      <c r="L65" s="75">
        <f>IF(L64=FALSE,$C58*(1-L63)*(1+$C$14)*(1+$C$14)*(1+$C$14)*(1+$C$14)*(1+$C$14)*(1+$C$14)*(1+$C$14)*(1+$C$14)*(1+$C$14),0)</f>
        <v>0</v>
      </c>
      <c r="M65" s="75">
        <f>IF(M64=FALSE,$C58*(1-M63)*(1+$C$14)*(1+$C$14)*(1+$C$14)*(1+$C$14)*(1+$C$14)*(1+$C$14)*(1+$C$14)*(1+$C$14)*(1+$C$14)*(1+$C$14),0)</f>
        <v>0</v>
      </c>
      <c r="N65" s="83"/>
    </row>
    <row r="66" spans="2:14" x14ac:dyDescent="0.2">
      <c r="B66" s="65" t="s">
        <v>750</v>
      </c>
      <c r="C66" s="74"/>
      <c r="D66" s="75">
        <f>IF(D64=FALSE,$C58*(1+$C59)*D63*(1+$C$14),$C60*(1+$C$14))</f>
        <v>0</v>
      </c>
      <c r="E66" s="75">
        <f>IF(E64=FALSE,$C58*(1+$C59)*E63*(1+$C$14)*(1+$C$14),$C60*(1+$C$14)*(1+$C$14))</f>
        <v>0</v>
      </c>
      <c r="F66" s="75">
        <f>IF(F64=FALSE,$C58*(1+$C59)*F63*(1+$C$14)*(1+$C$14)*(1+$C$14),$C60*(1+$C$14)*(1+$C$14)*(1+$C$14))</f>
        <v>0</v>
      </c>
      <c r="G66" s="75">
        <f>IF(G64=FALSE,$C58*(1+$C59)*G63*(1+$C$14)*(1+$C$14)*(1+$C$14)*(1+$C$14),$C60*(1+$C$14)*(1+$C$14)*(1+$C$14)*(1+$C$14))</f>
        <v>0</v>
      </c>
      <c r="H66" s="75">
        <f>IF(H64=FALSE,$C58*(1+$C59)*H63*(1+$C$14)*(1+$C$14)*(1+$C$14)*(1+$C$14)*(1+$C$14),$C60*(1+$C$14)*(1+$C$14)*(1+$C$14)*(1+$C$14)*(1+$C$14))</f>
        <v>0</v>
      </c>
      <c r="I66" s="75">
        <f>IF(I64=FALSE,$C58*(1+$C59)*I63*(1+$C$14)*(1+$C$14)*(1+$C$14)*(1+$C$14)*(1+$C$14)*(1+$C$14),$C60*(1+$C$14)*(1+$C$14)*(1+$C$14)*(1+$C$14)*(1+$C$14)*(1+$C$14))</f>
        <v>0</v>
      </c>
      <c r="J66" s="75">
        <f>IF(J64=FALSE,$C58*(1+$C59)*J63*(1+$C$14)*(1+$C$14)*(1+$C$14)*(1+$C$14)*(1+$C$14)*(1+$C$14)*(1+$C$14),$C60*(1+$C$14)*(1+$C$14)*(1+$C$14)*(1+$C$14)*(1+$C$14)*(1+$C$14)*(1+$C$14))</f>
        <v>0</v>
      </c>
      <c r="K66" s="75">
        <f>IF(K64=FALSE,$C58*(1+$C59)*K63*(1+$C$14)*(1+$C$14)*(1+$C$14)*(1+$C$14)*(1+$C$14)*(1+$C$14)*(1+$C$14)*(1+$C$14),$C60*(1+$C$14)*(1+$C$14)*(1+$C$14)*(1+$C$14)*(1+$C$14)*(1+$C$14)*(1+$C$14)*(1+$C$14))</f>
        <v>0</v>
      </c>
      <c r="L66" s="75">
        <f>IF(L64=FALSE,$C58*(1+$C59)*L63*(1+$C$14)*(1+$C$14)*(1+$C$14)*(1+$C$14)*(1+$C$14)*(1+$C$14)*(1+$C$14)*(1+$C$14)*(1+$C$14),$C60*(1+$C$14)*(1+$C$14)*(1+$C$14)*(1+$C$14)*(1+$C$14)*(1+$C$14)*(1+$C$14)*(1+$C$14)*(1+$C$14))</f>
        <v>0</v>
      </c>
      <c r="M66" s="75">
        <f>IF(M64=FALSE,$C58*(1+$C59)*M63*(1+$C$14)*(1+$C$14)*(1+$C$14)*(1+$C$14)*(1+$C$14)*(1+$C$14)*(1+$C$14)*(1+$C$14)*(1+$C$14)*(1+$C$14),$C60*(1+$C$14)*(1+$C$14)*(1+$C$14)*(1+$C$14)*(1+$C$14)*(1+$C$14)*(1+$C$14)*(1+$C$14)*(1+$C$14)*(1+$C$14))</f>
        <v>0</v>
      </c>
      <c r="N66" s="83"/>
    </row>
    <row r="67" spans="2:14" x14ac:dyDescent="0.2">
      <c r="B67" s="65" t="s">
        <v>748</v>
      </c>
      <c r="C67" s="74"/>
      <c r="D67" s="84">
        <f>SUM(D65:D66)</f>
        <v>0</v>
      </c>
      <c r="E67" s="84">
        <f t="shared" ref="E67:M67" si="47">SUM(E65:E66)</f>
        <v>0</v>
      </c>
      <c r="F67" s="84">
        <f t="shared" si="47"/>
        <v>0</v>
      </c>
      <c r="G67" s="84">
        <f t="shared" si="47"/>
        <v>0</v>
      </c>
      <c r="H67" s="84">
        <f t="shared" si="47"/>
        <v>0</v>
      </c>
      <c r="I67" s="84">
        <f t="shared" si="47"/>
        <v>0</v>
      </c>
      <c r="J67" s="84">
        <f t="shared" si="47"/>
        <v>0</v>
      </c>
      <c r="K67" s="84">
        <f t="shared" si="47"/>
        <v>0</v>
      </c>
      <c r="L67" s="84">
        <f t="shared" si="47"/>
        <v>0</v>
      </c>
      <c r="M67" s="84">
        <f t="shared" si="47"/>
        <v>0</v>
      </c>
    </row>
    <row r="68" spans="2:14" x14ac:dyDescent="0.2">
      <c r="B68" s="65" t="s">
        <v>373</v>
      </c>
      <c r="C68" s="75">
        <f>C58*$C$38</f>
        <v>0</v>
      </c>
      <c r="D68" s="76">
        <f>C68</f>
        <v>0</v>
      </c>
      <c r="E68" s="77">
        <f>D67*$C$38</f>
        <v>0</v>
      </c>
      <c r="F68" s="77">
        <f t="shared" ref="F68:M68" si="48">E67*$C$38</f>
        <v>0</v>
      </c>
      <c r="G68" s="77">
        <f t="shared" si="48"/>
        <v>0</v>
      </c>
      <c r="H68" s="77">
        <f t="shared" si="48"/>
        <v>0</v>
      </c>
      <c r="I68" s="77">
        <f t="shared" si="48"/>
        <v>0</v>
      </c>
      <c r="J68" s="77">
        <f t="shared" si="48"/>
        <v>0</v>
      </c>
      <c r="K68" s="77">
        <f t="shared" si="48"/>
        <v>0</v>
      </c>
      <c r="L68" s="77">
        <f t="shared" si="48"/>
        <v>0</v>
      </c>
      <c r="M68" s="78">
        <f t="shared" si="48"/>
        <v>0</v>
      </c>
    </row>
    <row r="70" spans="2:14" x14ac:dyDescent="0.2">
      <c r="B70" s="61" t="s">
        <v>738</v>
      </c>
    </row>
    <row r="71" spans="2:14" ht="5.25" customHeight="1" x14ac:dyDescent="0.2"/>
    <row r="72" spans="2:14" x14ac:dyDescent="0.2">
      <c r="B72" s="65" t="s">
        <v>740</v>
      </c>
    </row>
    <row r="73" spans="2:14" x14ac:dyDescent="0.2">
      <c r="B73" s="81" t="s">
        <v>741</v>
      </c>
      <c r="C73" s="75">
        <f>'1-Client Variables'!$D$145</f>
        <v>0</v>
      </c>
      <c r="D73" s="60" t="s">
        <v>742</v>
      </c>
    </row>
    <row r="74" spans="2:14" x14ac:dyDescent="0.2">
      <c r="B74" s="81" t="s">
        <v>743</v>
      </c>
      <c r="C74" s="69">
        <f>'2c-Consumption Plan Wk3'!$I$8</f>
        <v>0</v>
      </c>
    </row>
    <row r="75" spans="2:14" x14ac:dyDescent="0.2">
      <c r="B75" s="81" t="s">
        <v>744</v>
      </c>
      <c r="C75" s="75">
        <f>IF(C74&gt;-100%,C73*(1+C74),C73)</f>
        <v>0</v>
      </c>
      <c r="D75" s="60" t="s">
        <v>742</v>
      </c>
    </row>
    <row r="76" spans="2:14" ht="5.25" customHeight="1" x14ac:dyDescent="0.2"/>
    <row r="77" spans="2:14" x14ac:dyDescent="0.2">
      <c r="B77" s="80"/>
      <c r="C77" s="73" t="s">
        <v>332</v>
      </c>
      <c r="D77" s="63">
        <v>1</v>
      </c>
      <c r="E77" s="63">
        <f>D77+1</f>
        <v>2</v>
      </c>
      <c r="F77" s="63">
        <f t="shared" ref="F77" si="49">E77+1</f>
        <v>3</v>
      </c>
      <c r="G77" s="63">
        <f t="shared" ref="G77" si="50">F77+1</f>
        <v>4</v>
      </c>
      <c r="H77" s="63">
        <f>G77+1</f>
        <v>5</v>
      </c>
      <c r="I77" s="63">
        <f>H77+1</f>
        <v>6</v>
      </c>
      <c r="J77" s="63">
        <f>I77+1</f>
        <v>7</v>
      </c>
      <c r="K77" s="63">
        <f t="shared" ref="K77" si="51">J77+1</f>
        <v>8</v>
      </c>
      <c r="L77" s="63">
        <f t="shared" ref="L77" si="52">K77+1</f>
        <v>9</v>
      </c>
      <c r="M77" s="63">
        <f t="shared" ref="M77" si="53">L77+1</f>
        <v>10</v>
      </c>
    </row>
    <row r="78" spans="2:14" x14ac:dyDescent="0.2">
      <c r="B78" s="65" t="s">
        <v>734</v>
      </c>
      <c r="C78" s="74"/>
      <c r="D78" s="69">
        <f>'2c-Consumption Plan Wk3'!E$17</f>
        <v>0</v>
      </c>
      <c r="E78" s="69">
        <f>'2c-Consumption Plan Wk3'!F$17</f>
        <v>0</v>
      </c>
      <c r="F78" s="69">
        <f>'2c-Consumption Plan Wk3'!G$17</f>
        <v>0</v>
      </c>
      <c r="G78" s="69">
        <f>'2c-Consumption Plan Wk3'!H$17</f>
        <v>0</v>
      </c>
      <c r="H78" s="69">
        <f>'2c-Consumption Plan Wk3'!I$17</f>
        <v>0</v>
      </c>
      <c r="I78" s="69">
        <f>'2c-Consumption Plan Wk3'!J$17</f>
        <v>0</v>
      </c>
      <c r="J78" s="69">
        <f>'2c-Consumption Plan Wk3'!K$17</f>
        <v>0</v>
      </c>
      <c r="K78" s="69">
        <f>'2c-Consumption Plan Wk3'!L$17</f>
        <v>0</v>
      </c>
      <c r="L78" s="69">
        <f>'2c-Consumption Plan Wk3'!M$17</f>
        <v>0</v>
      </c>
      <c r="M78" s="69">
        <f>'2c-Consumption Plan Wk3'!N$17</f>
        <v>0</v>
      </c>
    </row>
    <row r="79" spans="2:14" x14ac:dyDescent="0.2">
      <c r="B79" s="65" t="s">
        <v>745</v>
      </c>
      <c r="C79" s="74"/>
      <c r="D79" s="82" t="b">
        <f>IF(D78=1,TRUE,FALSE)</f>
        <v>0</v>
      </c>
      <c r="E79" s="82" t="b">
        <f t="shared" ref="E79:M79" si="54">IF(E78=1,TRUE,FALSE)</f>
        <v>0</v>
      </c>
      <c r="F79" s="82" t="b">
        <f t="shared" si="54"/>
        <v>0</v>
      </c>
      <c r="G79" s="82" t="b">
        <f t="shared" si="54"/>
        <v>0</v>
      </c>
      <c r="H79" s="82" t="b">
        <f t="shared" si="54"/>
        <v>0</v>
      </c>
      <c r="I79" s="82" t="b">
        <f t="shared" si="54"/>
        <v>0</v>
      </c>
      <c r="J79" s="82" t="b">
        <f t="shared" si="54"/>
        <v>0</v>
      </c>
      <c r="K79" s="82" t="b">
        <f t="shared" si="54"/>
        <v>0</v>
      </c>
      <c r="L79" s="82" t="b">
        <f t="shared" si="54"/>
        <v>0</v>
      </c>
      <c r="M79" s="82" t="b">
        <f t="shared" si="54"/>
        <v>0</v>
      </c>
      <c r="N79" s="83"/>
    </row>
    <row r="80" spans="2:14" x14ac:dyDescent="0.2">
      <c r="B80" s="65" t="s">
        <v>749</v>
      </c>
      <c r="C80" s="74"/>
      <c r="D80" s="75">
        <f>IF(D79=FALSE,$C73*(1-D78)*(1+$C$14),0)</f>
        <v>0</v>
      </c>
      <c r="E80" s="75">
        <f>IF(E79=FALSE,$C73*(1-E78)*(1+$C$14)*(1+$C$14),0)</f>
        <v>0</v>
      </c>
      <c r="F80" s="75">
        <f>IF(F79=FALSE,$C73*(1-F78)*(1+$C$14)*(1+$C$14)*(1+$C$14),0)</f>
        <v>0</v>
      </c>
      <c r="G80" s="75">
        <f>IF(G79=FALSE,$C73*(1-G78)*(1+$C$14)*(1+$C$14)*(1+$C$14)*(1+$C$14),0)</f>
        <v>0</v>
      </c>
      <c r="H80" s="75">
        <f>IF(H79=FALSE,$C73*(1-H78)*(1+$C$14)*(1+$C$14)*(1+$C$14)*(1+$C$14)*(1+$C$14),0)</f>
        <v>0</v>
      </c>
      <c r="I80" s="75">
        <f>IF(I79=FALSE,$C73*(1-I78)*(1+$C$14)*(1+$C$14)*(1+$C$14)*(1+$C$14)*(1+$C$14)*(1+$C$14),0)</f>
        <v>0</v>
      </c>
      <c r="J80" s="75">
        <f>IF(J79=FALSE,$C73*(1-J78)*(1+$C$14)*(1+$C$14)*(1+$C$14)*(1+$C$14)*(1+$C$14)*(1+$C$14)*(1+$C$14),0)</f>
        <v>0</v>
      </c>
      <c r="K80" s="75">
        <f>IF(K79=FALSE,$C73*(1-K78)*(1+$C$14)*(1+$C$14)*(1+$C$14)*(1+$C$14)*(1+$C$14)*(1+$C$14)*(1+$C$14)*(1+$C$14),0)</f>
        <v>0</v>
      </c>
      <c r="L80" s="75">
        <f>IF(L79=FALSE,$C73*(1-L78)*(1+$C$14)*(1+$C$14)*(1+$C$14)*(1+$C$14)*(1+$C$14)*(1+$C$14)*(1+$C$14)*(1+$C$14)*(1+$C$14),0)</f>
        <v>0</v>
      </c>
      <c r="M80" s="75">
        <f>IF(M79=FALSE,$C73*(1-M78)*(1+$C$14)*(1+$C$14)*(1+$C$14)*(1+$C$14)*(1+$C$14)*(1+$C$14)*(1+$C$14)*(1+$C$14)*(1+$C$14)*(1+$C$14),0)</f>
        <v>0</v>
      </c>
    </row>
    <row r="81" spans="2:13" x14ac:dyDescent="0.2">
      <c r="B81" s="65" t="s">
        <v>750</v>
      </c>
      <c r="C81" s="74"/>
      <c r="D81" s="75">
        <f>IF(D79=FALSE,$C73*(1+$C74)*D78*(1+$C$14),$C75*(1+$C$14))</f>
        <v>0</v>
      </c>
      <c r="E81" s="75">
        <f>IF(E79=FALSE,$C73*(1+$C74)*E78*(1+$C$14)*(1+$C$14),$C75*(1+$C$14)*(1+$C$14))</f>
        <v>0</v>
      </c>
      <c r="F81" s="75">
        <f>IF(F79=FALSE,$C73*(1+$C74)*F78*(1+$C$14)*(1+$C$14)*(1+$C$14),$C75*(1+$C$14)*(1+$C$14)*(1+$C$14))</f>
        <v>0</v>
      </c>
      <c r="G81" s="75">
        <f>IF(G79=FALSE,$C73*(1+$C74)*G78*(1+$C$14)*(1+$C$14)*(1+$C$14)*(1+$C$14),$C75*(1+$C$14)*(1+$C$14)*(1+$C$14)*(1+$C$14))</f>
        <v>0</v>
      </c>
      <c r="H81" s="75">
        <f>IF(H79=FALSE,$C73*(1+$C74)*H78*(1+$C$14)*(1+$C$14)*(1+$C$14)*(1+$C$14)*(1+$C$14),$C75*(1+$C$14)*(1+$C$14)*(1+$C$14)*(1+$C$14)*(1+$C$14))</f>
        <v>0</v>
      </c>
      <c r="I81" s="75">
        <f>IF(I79=FALSE,$C73*(1+$C74)*I78*(1+$C$14)*(1+$C$14)*(1+$C$14)*(1+$C$14)*(1+$C$14)*(1+$C$14),$C75*(1+$C$14)*(1+$C$14)*(1+$C$14)*(1+$C$14)*(1+$C$14)*(1+$C$14))</f>
        <v>0</v>
      </c>
      <c r="J81" s="75">
        <f>IF(J79=FALSE,$C73*(1+$C74)*J78*(1+$C$14)*(1+$C$14)*(1+$C$14)*(1+$C$14)*(1+$C$14)*(1+$C$14)*(1+$C$14),$C75*(1+$C$14)*(1+$C$14)*(1+$C$14)*(1+$C$14)*(1+$C$14)*(1+$C$14)*(1+$C$14))</f>
        <v>0</v>
      </c>
      <c r="K81" s="75">
        <f>IF(K79=FALSE,$C73*(1+$C74)*K78*(1+$C$14)*(1+$C$14)*(1+$C$14)*(1+$C$14)*(1+$C$14)*(1+$C$14)*(1+$C$14)*(1+$C$14),$C75*(1+$C$14)*(1+$C$14)*(1+$C$14)*(1+$C$14)*(1+$C$14)*(1+$C$14)*(1+$C$14)*(1+$C$14))</f>
        <v>0</v>
      </c>
      <c r="L81" s="75">
        <f>IF(L79=FALSE,$C73*(1+$C74)*L78*(1+$C$14)*(1+$C$14)*(1+$C$14)*(1+$C$14)*(1+$C$14)*(1+$C$14)*(1+$C$14)*(1+$C$14)*(1+$C$14),$C75*(1+$C$14)*(1+$C$14)*(1+$C$14)*(1+$C$14)*(1+$C$14)*(1+$C$14)*(1+$C$14)*(1+$C$14)*(1+$C$14))</f>
        <v>0</v>
      </c>
      <c r="M81" s="75">
        <f>IF(M79=FALSE,$C73*(1+$C74)*M78*(1+$C$14)*(1+$C$14)*(1+$C$14)*(1+$C$14)*(1+$C$14)*(1+$C$14)*(1+$C$14)*(1+$C$14)*(1+$C$14)*(1+$C$14),$C75*(1+$C$14)*(1+$C$14)*(1+$C$14)*(1+$C$14)*(1+$C$14)*(1+$C$14)*(1+$C$14)*(1+$C$14)*(1+$C$14)*(1+$C$14))</f>
        <v>0</v>
      </c>
    </row>
    <row r="82" spans="2:13" x14ac:dyDescent="0.2">
      <c r="B82" s="65" t="s">
        <v>748</v>
      </c>
      <c r="C82" s="74"/>
      <c r="D82" s="84">
        <f>SUM(D80:D81)</f>
        <v>0</v>
      </c>
      <c r="E82" s="84">
        <f t="shared" ref="E82" si="55">SUM(E80:E81)</f>
        <v>0</v>
      </c>
      <c r="F82" s="84">
        <f t="shared" ref="F82" si="56">SUM(F80:F81)</f>
        <v>0</v>
      </c>
      <c r="G82" s="84">
        <f t="shared" ref="G82" si="57">SUM(G80:G81)</f>
        <v>0</v>
      </c>
      <c r="H82" s="84">
        <f t="shared" ref="H82" si="58">SUM(H80:H81)</f>
        <v>0</v>
      </c>
      <c r="I82" s="84">
        <f t="shared" ref="I82" si="59">SUM(I80:I81)</f>
        <v>0</v>
      </c>
      <c r="J82" s="84">
        <f t="shared" ref="J82" si="60">SUM(J80:J81)</f>
        <v>0</v>
      </c>
      <c r="K82" s="84">
        <f t="shared" ref="K82" si="61">SUM(K80:K81)</f>
        <v>0</v>
      </c>
      <c r="L82" s="84">
        <f t="shared" ref="L82" si="62">SUM(L80:L81)</f>
        <v>0</v>
      </c>
      <c r="M82" s="84">
        <f t="shared" ref="M82" si="63">SUM(M80:M81)</f>
        <v>0</v>
      </c>
    </row>
    <row r="83" spans="2:13" x14ac:dyDescent="0.2">
      <c r="B83" s="65" t="s">
        <v>373</v>
      </c>
      <c r="C83" s="75">
        <f>C73*$C$38</f>
        <v>0</v>
      </c>
      <c r="D83" s="76">
        <f>C83</f>
        <v>0</v>
      </c>
      <c r="E83" s="77">
        <f>D82*$C$38</f>
        <v>0</v>
      </c>
      <c r="F83" s="77">
        <f t="shared" ref="F83:M83" si="64">E82*$C$38</f>
        <v>0</v>
      </c>
      <c r="G83" s="77">
        <f t="shared" si="64"/>
        <v>0</v>
      </c>
      <c r="H83" s="77">
        <f t="shared" si="64"/>
        <v>0</v>
      </c>
      <c r="I83" s="77">
        <f t="shared" si="64"/>
        <v>0</v>
      </c>
      <c r="J83" s="77">
        <f t="shared" si="64"/>
        <v>0</v>
      </c>
      <c r="K83" s="77">
        <f t="shared" si="64"/>
        <v>0</v>
      </c>
      <c r="L83" s="77">
        <f t="shared" si="64"/>
        <v>0</v>
      </c>
      <c r="M83" s="78">
        <f t="shared" si="64"/>
        <v>0</v>
      </c>
    </row>
    <row r="85" spans="2:13" x14ac:dyDescent="0.2">
      <c r="B85" s="71" t="s">
        <v>751</v>
      </c>
      <c r="C85" s="71"/>
      <c r="D85" s="71"/>
      <c r="E85" s="71"/>
      <c r="F85" s="71"/>
      <c r="G85" s="71"/>
      <c r="H85" s="71"/>
      <c r="I85" s="71"/>
      <c r="J85" s="71"/>
      <c r="K85" s="71"/>
      <c r="L85" s="71"/>
      <c r="M85" s="71"/>
    </row>
    <row r="86" spans="2:13" x14ac:dyDescent="0.2">
      <c r="B86" s="65" t="s">
        <v>676</v>
      </c>
      <c r="C86" s="72">
        <f>IF('1-Client Variables'!D14="B",'Benchmark Assumptions'!K39,IF('1-Client Variables'!D14="D",'Benchmark Assumptions'!K43,"Error price level"))</f>
        <v>1539.6</v>
      </c>
    </row>
    <row r="87" spans="2:13" x14ac:dyDescent="0.2">
      <c r="B87" s="80"/>
    </row>
    <row r="88" spans="2:13" x14ac:dyDescent="0.2">
      <c r="B88" s="61" t="s">
        <v>733</v>
      </c>
    </row>
    <row r="89" spans="2:13" ht="5.25" customHeight="1" x14ac:dyDescent="0.2"/>
    <row r="90" spans="2:13" x14ac:dyDescent="0.2">
      <c r="B90" s="65" t="s">
        <v>752</v>
      </c>
    </row>
    <row r="91" spans="2:13" x14ac:dyDescent="0.2">
      <c r="B91" s="81" t="s">
        <v>741</v>
      </c>
      <c r="C91" s="75">
        <f>'1-Client Variables'!$D$70</f>
        <v>0</v>
      </c>
      <c r="D91" s="60" t="s">
        <v>742</v>
      </c>
    </row>
    <row r="92" spans="2:13" x14ac:dyDescent="0.2">
      <c r="B92" s="81" t="s">
        <v>743</v>
      </c>
      <c r="C92" s="69">
        <f>'2a-Consumption Plan Wk1'!$I$8</f>
        <v>0</v>
      </c>
    </row>
    <row r="93" spans="2:13" x14ac:dyDescent="0.2">
      <c r="B93" s="81" t="s">
        <v>744</v>
      </c>
      <c r="C93" s="75">
        <f>IF(C92&gt;-100%,C91*(1+C92),C91)</f>
        <v>0</v>
      </c>
      <c r="D93" s="60" t="s">
        <v>742</v>
      </c>
    </row>
    <row r="94" spans="2:13" ht="5.25" customHeight="1" x14ac:dyDescent="0.2"/>
    <row r="95" spans="2:13" x14ac:dyDescent="0.2">
      <c r="B95" s="80"/>
      <c r="C95" s="73" t="s">
        <v>332</v>
      </c>
      <c r="D95" s="63">
        <v>1</v>
      </c>
      <c r="E95" s="63">
        <f>D95+1</f>
        <v>2</v>
      </c>
      <c r="F95" s="63">
        <f t="shared" ref="F95" si="65">E95+1</f>
        <v>3</v>
      </c>
      <c r="G95" s="63">
        <f t="shared" ref="G95" si="66">F95+1</f>
        <v>4</v>
      </c>
      <c r="H95" s="63">
        <f>G95+1</f>
        <v>5</v>
      </c>
      <c r="I95" s="63">
        <f>H95+1</f>
        <v>6</v>
      </c>
      <c r="J95" s="63">
        <f>I95+1</f>
        <v>7</v>
      </c>
      <c r="K95" s="63">
        <f t="shared" ref="K95" si="67">J95+1</f>
        <v>8</v>
      </c>
      <c r="L95" s="63">
        <f t="shared" ref="L95" si="68">K95+1</f>
        <v>9</v>
      </c>
      <c r="M95" s="63">
        <f t="shared" ref="M95" si="69">L95+1</f>
        <v>10</v>
      </c>
    </row>
    <row r="96" spans="2:13" x14ac:dyDescent="0.2">
      <c r="B96" s="65" t="s">
        <v>734</v>
      </c>
      <c r="C96" s="74"/>
      <c r="D96" s="69">
        <f>'2a-Consumption Plan Wk1'!E$17</f>
        <v>0.4</v>
      </c>
      <c r="E96" s="69">
        <f>'2a-Consumption Plan Wk1'!F$17</f>
        <v>0.8</v>
      </c>
      <c r="F96" s="69">
        <f>'2a-Consumption Plan Wk1'!G$17</f>
        <v>1</v>
      </c>
      <c r="G96" s="69">
        <f>'2a-Consumption Plan Wk1'!H$17</f>
        <v>1</v>
      </c>
      <c r="H96" s="69">
        <f>'2a-Consumption Plan Wk1'!I$17</f>
        <v>1</v>
      </c>
      <c r="I96" s="69">
        <f>'2a-Consumption Plan Wk1'!J$17</f>
        <v>1</v>
      </c>
      <c r="J96" s="69">
        <f>'2a-Consumption Plan Wk1'!K$17</f>
        <v>1</v>
      </c>
      <c r="K96" s="69">
        <f>'2a-Consumption Plan Wk1'!L$17</f>
        <v>1</v>
      </c>
      <c r="L96" s="69">
        <f>'2a-Consumption Plan Wk1'!M$17</f>
        <v>1</v>
      </c>
      <c r="M96" s="69">
        <f>'2a-Consumption Plan Wk1'!N$17</f>
        <v>1</v>
      </c>
    </row>
    <row r="97" spans="2:13" x14ac:dyDescent="0.2">
      <c r="B97" s="65" t="s">
        <v>745</v>
      </c>
      <c r="C97" s="74"/>
      <c r="D97" s="82" t="b">
        <f>IF(D96=1,TRUE,FALSE)</f>
        <v>0</v>
      </c>
      <c r="E97" s="82" t="b">
        <f t="shared" ref="E97:M97" si="70">IF(E96=1,TRUE,FALSE)</f>
        <v>0</v>
      </c>
      <c r="F97" s="82" t="b">
        <f t="shared" si="70"/>
        <v>1</v>
      </c>
      <c r="G97" s="82" t="b">
        <f t="shared" si="70"/>
        <v>1</v>
      </c>
      <c r="H97" s="82" t="b">
        <f t="shared" si="70"/>
        <v>1</v>
      </c>
      <c r="I97" s="82" t="b">
        <f t="shared" si="70"/>
        <v>1</v>
      </c>
      <c r="J97" s="82" t="b">
        <f t="shared" si="70"/>
        <v>1</v>
      </c>
      <c r="K97" s="82" t="b">
        <f t="shared" si="70"/>
        <v>1</v>
      </c>
      <c r="L97" s="82" t="b">
        <f t="shared" si="70"/>
        <v>1</v>
      </c>
      <c r="M97" s="82" t="b">
        <f t="shared" si="70"/>
        <v>1</v>
      </c>
    </row>
    <row r="98" spans="2:13" x14ac:dyDescent="0.2">
      <c r="B98" s="65" t="s">
        <v>749</v>
      </c>
      <c r="C98" s="74"/>
      <c r="D98" s="75">
        <f>IF(D97=FALSE,$C91*(1-D96)*(1+$C$14),0)</f>
        <v>0</v>
      </c>
      <c r="E98" s="75">
        <f>IF(E97=FALSE,$C91*(1-E96)*(1+$C$14)*(1+$C$14),0)</f>
        <v>0</v>
      </c>
      <c r="F98" s="75">
        <f>IF(F97=FALSE,$C91*(1-F96)*(1+$C$14)*(1+$C$14)*(1+$C$14),0)</f>
        <v>0</v>
      </c>
      <c r="G98" s="75">
        <f>IF(G97=FALSE,$C91*(1-G96)*(1+$C$14)*(1+$C$14)*(1+$C$14)*(1+$C$14),0)</f>
        <v>0</v>
      </c>
      <c r="H98" s="75">
        <f>IF(H97=FALSE,$C91*(1-H96)*(1+$C$14)*(1+$C$14)*(1+$C$14)*(1+$C$14)*(1+$C$14),0)</f>
        <v>0</v>
      </c>
      <c r="I98" s="75">
        <f>IF(I97=FALSE,$C91*(1-I96)*(1+$C$14)*(1+$C$14)*(1+$C$14)*(1+$C$14)*(1+$C$14)*(1+$C$14),0)</f>
        <v>0</v>
      </c>
      <c r="J98" s="75">
        <f>IF(J97=FALSE,$C91*(1-J96)*(1+$C$14)*(1+$C$14)*(1+$C$14)*(1+$C$14)*(1+$C$14)*(1+$C$14)*(1+$C$14),0)</f>
        <v>0</v>
      </c>
      <c r="K98" s="75">
        <f>IF(K97=FALSE,$C91*(1-K96)*(1+$C$14)*(1+$C$14)*(1+$C$14)*(1+$C$14)*(1+$C$14)*(1+$C$14)*(1+$C$14)*(1+$C$14),0)</f>
        <v>0</v>
      </c>
      <c r="L98" s="75">
        <f>IF(L97=FALSE,$C91*(1-L96)*(1+$C$14)*(1+$C$14)*(1+$C$14)*(1+$C$14)*(1+$C$14)*(1+$C$14)*(1+$C$14)*(1+$C$14)*(1+$C$14),0)</f>
        <v>0</v>
      </c>
      <c r="M98" s="75">
        <f>IF(M97=FALSE,$C91*(1-M96)*(1+$C$14)*(1+$C$14)*(1+$C$14)*(1+$C$14)*(1+$C$14)*(1+$C$14)*(1+$C$14)*(1+$C$14)*(1+$C$14)*(1+$C$14),0)</f>
        <v>0</v>
      </c>
    </row>
    <row r="99" spans="2:13" x14ac:dyDescent="0.2">
      <c r="B99" s="65" t="s">
        <v>750</v>
      </c>
      <c r="C99" s="74"/>
      <c r="D99" s="75">
        <f>IF(D97=FALSE,$C91*(1+$C92)*D96*(1+$C$14),$C93*(1+$C$14))</f>
        <v>0</v>
      </c>
      <c r="E99" s="75">
        <f>IF(E97=FALSE,$C91*(1+$C92)*E96*(1+$C$14)*(1+$C$14),$C93*(1+$C$14)*(1+$C$14))</f>
        <v>0</v>
      </c>
      <c r="F99" s="75">
        <f>IF(F97=FALSE,$C91*(1+$C92)*F96*(1+$C$14)*(1+$C$14)*(1+$C$14),$C93*(1+$C$14)*(1+$C$14)*(1+$C$14))</f>
        <v>0</v>
      </c>
      <c r="G99" s="75">
        <f>IF(G97=FALSE,$C91*(1+$C92)*G96*(1+$C$14)*(1+$C$14)*(1+$C$14)*(1+$C$14),$C93*(1+$C$14)*(1+$C$14)*(1+$C$14)*(1+$C$14))</f>
        <v>0</v>
      </c>
      <c r="H99" s="75">
        <f>IF(H97=FALSE,$C91*(1+$C92)*H96*(1+$C$14)*(1+$C$14)*(1+$C$14)*(1+$C$14)*(1+$C$14),$C93*(1+$C$14)*(1+$C$14)*(1+$C$14)*(1+$C$14)*(1+$C$14))</f>
        <v>0</v>
      </c>
      <c r="I99" s="75">
        <f>IF(I97=FALSE,$C91*(1+$C92)*I96*(1+$C$14)*(1+$C$14)*(1+$C$14)*(1+$C$14)*(1+$C$14)*(1+$C$14),$C93*(1+$C$14)*(1+$C$14)*(1+$C$14)*(1+$C$14)*(1+$C$14)*(1+$C$14))</f>
        <v>0</v>
      </c>
      <c r="J99" s="75">
        <f>IF(J97=FALSE,$C91*(1+$C92)*J96*(1+$C$14)*(1+$C$14)*(1+$C$14)*(1+$C$14)*(1+$C$14)*(1+$C$14)*(1+$C$14),$C93*(1+$C$14)*(1+$C$14)*(1+$C$14)*(1+$C$14)*(1+$C$14)*(1+$C$14)*(1+$C$14))</f>
        <v>0</v>
      </c>
      <c r="K99" s="75">
        <f>IF(K97=FALSE,$C91*(1+$C92)*K96*(1+$C$14)*(1+$C$14)*(1+$C$14)*(1+$C$14)*(1+$C$14)*(1+$C$14)*(1+$C$14)*(1+$C$14),$C93*(1+$C$14)*(1+$C$14)*(1+$C$14)*(1+$C$14)*(1+$C$14)*(1+$C$14)*(1+$C$14)*(1+$C$14))</f>
        <v>0</v>
      </c>
      <c r="L99" s="75">
        <f>IF(L97=FALSE,$C91*(1+$C92)*L96*(1+$C$14)*(1+$C$14)*(1+$C$14)*(1+$C$14)*(1+$C$14)*(1+$C$14)*(1+$C$14)*(1+$C$14)*(1+$C$14),$C93*(1+$C$14)*(1+$C$14)*(1+$C$14)*(1+$C$14)*(1+$C$14)*(1+$C$14)*(1+$C$14)*(1+$C$14)*(1+$C$14))</f>
        <v>0</v>
      </c>
      <c r="M99" s="75">
        <f>IF(M97=FALSE,$C91*(1+$C92)*M96*(1+$C$14)*(1+$C$14)*(1+$C$14)*(1+$C$14)*(1+$C$14)*(1+$C$14)*(1+$C$14)*(1+$C$14)*(1+$C$14)*(1+$C$14),$C93*(1+$C$14)*(1+$C$14)*(1+$C$14)*(1+$C$14)*(1+$C$14)*(1+$C$14)*(1+$C$14)*(1+$C$14)*(1+$C$14)*(1+$C$14))</f>
        <v>0</v>
      </c>
    </row>
    <row r="100" spans="2:13" x14ac:dyDescent="0.2">
      <c r="B100" s="65" t="s">
        <v>748</v>
      </c>
      <c r="C100" s="74"/>
      <c r="D100" s="84">
        <f>SUM(D98:D99)</f>
        <v>0</v>
      </c>
      <c r="E100" s="84">
        <f t="shared" ref="E100" si="71">SUM(E98:E99)</f>
        <v>0</v>
      </c>
      <c r="F100" s="84">
        <f t="shared" ref="F100" si="72">SUM(F98:F99)</f>
        <v>0</v>
      </c>
      <c r="G100" s="84">
        <f t="shared" ref="G100" si="73">SUM(G98:G99)</f>
        <v>0</v>
      </c>
      <c r="H100" s="84">
        <f t="shared" ref="H100" si="74">SUM(H98:H99)</f>
        <v>0</v>
      </c>
      <c r="I100" s="84">
        <f t="shared" ref="I100" si="75">SUM(I98:I99)</f>
        <v>0</v>
      </c>
      <c r="J100" s="84">
        <f t="shared" ref="J100" si="76">SUM(J98:J99)</f>
        <v>0</v>
      </c>
      <c r="K100" s="84">
        <f t="shared" ref="K100" si="77">SUM(K98:K99)</f>
        <v>0</v>
      </c>
      <c r="L100" s="84">
        <f t="shared" ref="L100" si="78">SUM(L98:L99)</f>
        <v>0</v>
      </c>
      <c r="M100" s="84">
        <f t="shared" ref="M100" si="79">SUM(M98:M99)</f>
        <v>0</v>
      </c>
    </row>
    <row r="101" spans="2:13" x14ac:dyDescent="0.2">
      <c r="B101" s="65" t="s">
        <v>373</v>
      </c>
      <c r="C101" s="75">
        <f>C91*$C$86</f>
        <v>0</v>
      </c>
      <c r="D101" s="76">
        <f>C101</f>
        <v>0</v>
      </c>
      <c r="E101" s="77">
        <f>D100*$C$86</f>
        <v>0</v>
      </c>
      <c r="F101" s="77">
        <f t="shared" ref="F101:M101" si="80">E100*$C$86</f>
        <v>0</v>
      </c>
      <c r="G101" s="77">
        <f t="shared" si="80"/>
        <v>0</v>
      </c>
      <c r="H101" s="77">
        <f t="shared" si="80"/>
        <v>0</v>
      </c>
      <c r="I101" s="77">
        <f t="shared" si="80"/>
        <v>0</v>
      </c>
      <c r="J101" s="77">
        <f t="shared" si="80"/>
        <v>0</v>
      </c>
      <c r="K101" s="77">
        <f t="shared" si="80"/>
        <v>0</v>
      </c>
      <c r="L101" s="77">
        <f t="shared" si="80"/>
        <v>0</v>
      </c>
      <c r="M101" s="78">
        <f t="shared" si="80"/>
        <v>0</v>
      </c>
    </row>
    <row r="103" spans="2:13" x14ac:dyDescent="0.2">
      <c r="B103" s="61" t="s">
        <v>737</v>
      </c>
    </row>
    <row r="104" spans="2:13" ht="5.25" customHeight="1" x14ac:dyDescent="0.2"/>
    <row r="105" spans="2:13" x14ac:dyDescent="0.2">
      <c r="B105" s="65" t="s">
        <v>752</v>
      </c>
    </row>
    <row r="106" spans="2:13" x14ac:dyDescent="0.2">
      <c r="B106" s="81" t="s">
        <v>741</v>
      </c>
      <c r="C106" s="75">
        <f>'1-Client Variables'!$D$109</f>
        <v>0</v>
      </c>
      <c r="D106" s="60" t="s">
        <v>742</v>
      </c>
    </row>
    <row r="107" spans="2:13" x14ac:dyDescent="0.2">
      <c r="B107" s="81" t="s">
        <v>743</v>
      </c>
      <c r="C107" s="69">
        <f>'2b-Consumption Plan Wk2'!$I$8</f>
        <v>0</v>
      </c>
    </row>
    <row r="108" spans="2:13" x14ac:dyDescent="0.2">
      <c r="B108" s="81" t="s">
        <v>744</v>
      </c>
      <c r="C108" s="75">
        <f>IF(C107&gt;-100%,C106*(1+C107),C106)</f>
        <v>0</v>
      </c>
      <c r="D108" s="60" t="s">
        <v>742</v>
      </c>
    </row>
    <row r="109" spans="2:13" ht="5.25" customHeight="1" x14ac:dyDescent="0.2"/>
    <row r="110" spans="2:13" x14ac:dyDescent="0.2">
      <c r="B110" s="80"/>
      <c r="C110" s="73" t="s">
        <v>332</v>
      </c>
      <c r="D110" s="63">
        <v>1</v>
      </c>
      <c r="E110" s="63">
        <f>D110+1</f>
        <v>2</v>
      </c>
      <c r="F110" s="63">
        <f t="shared" ref="F110" si="81">E110+1</f>
        <v>3</v>
      </c>
      <c r="G110" s="63">
        <f t="shared" ref="G110" si="82">F110+1</f>
        <v>4</v>
      </c>
      <c r="H110" s="63">
        <f>G110+1</f>
        <v>5</v>
      </c>
      <c r="I110" s="63">
        <f>H110+1</f>
        <v>6</v>
      </c>
      <c r="J110" s="63">
        <f>I110+1</f>
        <v>7</v>
      </c>
      <c r="K110" s="63">
        <f t="shared" ref="K110" si="83">J110+1</f>
        <v>8</v>
      </c>
      <c r="L110" s="63">
        <f t="shared" ref="L110" si="84">K110+1</f>
        <v>9</v>
      </c>
      <c r="M110" s="63">
        <f t="shared" ref="M110" si="85">L110+1</f>
        <v>10</v>
      </c>
    </row>
    <row r="111" spans="2:13" x14ac:dyDescent="0.2">
      <c r="B111" s="65" t="s">
        <v>734</v>
      </c>
      <c r="C111" s="74"/>
      <c r="D111" s="69">
        <f>'2b-Consumption Plan Wk2'!E$17</f>
        <v>0</v>
      </c>
      <c r="E111" s="69">
        <f>'2b-Consumption Plan Wk2'!F$17</f>
        <v>0</v>
      </c>
      <c r="F111" s="69">
        <f>'2b-Consumption Plan Wk2'!G$17</f>
        <v>0</v>
      </c>
      <c r="G111" s="69">
        <f>'2b-Consumption Plan Wk2'!H$17</f>
        <v>0</v>
      </c>
      <c r="H111" s="69">
        <f>'2b-Consumption Plan Wk2'!I$17</f>
        <v>0</v>
      </c>
      <c r="I111" s="69">
        <f>'2b-Consumption Plan Wk2'!J$17</f>
        <v>0</v>
      </c>
      <c r="J111" s="69">
        <f>'2b-Consumption Plan Wk2'!K$17</f>
        <v>0</v>
      </c>
      <c r="K111" s="69">
        <f>'2b-Consumption Plan Wk2'!L$17</f>
        <v>0</v>
      </c>
      <c r="L111" s="69">
        <f>'2b-Consumption Plan Wk2'!M$17</f>
        <v>0</v>
      </c>
      <c r="M111" s="69">
        <f>'2b-Consumption Plan Wk2'!N$17</f>
        <v>0</v>
      </c>
    </row>
    <row r="112" spans="2:13" x14ac:dyDescent="0.2">
      <c r="B112" s="65" t="s">
        <v>745</v>
      </c>
      <c r="C112" s="74"/>
      <c r="D112" s="82" t="b">
        <f>IF(D111=1,TRUE,FALSE)</f>
        <v>0</v>
      </c>
      <c r="E112" s="82" t="b">
        <f t="shared" ref="E112:M112" si="86">IF(E111=1,TRUE,FALSE)</f>
        <v>0</v>
      </c>
      <c r="F112" s="82" t="b">
        <f t="shared" si="86"/>
        <v>0</v>
      </c>
      <c r="G112" s="82" t="b">
        <f t="shared" si="86"/>
        <v>0</v>
      </c>
      <c r="H112" s="82" t="b">
        <f t="shared" si="86"/>
        <v>0</v>
      </c>
      <c r="I112" s="82" t="b">
        <f t="shared" si="86"/>
        <v>0</v>
      </c>
      <c r="J112" s="82" t="b">
        <f t="shared" si="86"/>
        <v>0</v>
      </c>
      <c r="K112" s="82" t="b">
        <f t="shared" si="86"/>
        <v>0</v>
      </c>
      <c r="L112" s="82" t="b">
        <f t="shared" si="86"/>
        <v>0</v>
      </c>
      <c r="M112" s="82" t="b">
        <f t="shared" si="86"/>
        <v>0</v>
      </c>
    </row>
    <row r="113" spans="2:13" x14ac:dyDescent="0.2">
      <c r="B113" s="65" t="s">
        <v>749</v>
      </c>
      <c r="C113" s="74"/>
      <c r="D113" s="75">
        <f>IF(D112=FALSE,$C106*(1-D111)*(1+$C$14),0)</f>
        <v>0</v>
      </c>
      <c r="E113" s="75">
        <f>IF(E112=FALSE,$C106*(1-E111)*(1+$C$14)*(1+$C$14),0)</f>
        <v>0</v>
      </c>
      <c r="F113" s="75">
        <f>IF(F112=FALSE,$C106*(1-F111)*(1+$C$14)*(1+$C$14)*(1+$C$14),0)</f>
        <v>0</v>
      </c>
      <c r="G113" s="75">
        <f>IF(G112=FALSE,$C106*(1-G111)*(1+$C$14)*(1+$C$14)*(1+$C$14)*(1+$C$14),0)</f>
        <v>0</v>
      </c>
      <c r="H113" s="75">
        <f>IF(H112=FALSE,$C106*(1-H111)*(1+$C$14)*(1+$C$14)*(1+$C$14)*(1+$C$14)*(1+$C$14),0)</f>
        <v>0</v>
      </c>
      <c r="I113" s="75">
        <f>IF(I112=FALSE,$C106*(1-I111)*(1+$C$14)*(1+$C$14)*(1+$C$14)*(1+$C$14)*(1+$C$14)*(1+$C$14),0)</f>
        <v>0</v>
      </c>
      <c r="J113" s="75">
        <f>IF(J112=FALSE,$C106*(1-J111)*(1+$C$14)*(1+$C$14)*(1+$C$14)*(1+$C$14)*(1+$C$14)*(1+$C$14)*(1+$C$14),0)</f>
        <v>0</v>
      </c>
      <c r="K113" s="75">
        <f>IF(K112=FALSE,$C106*(1-K111)*(1+$C$14)*(1+$C$14)*(1+$C$14)*(1+$C$14)*(1+$C$14)*(1+$C$14)*(1+$C$14)*(1+$C$14),0)</f>
        <v>0</v>
      </c>
      <c r="L113" s="75">
        <f>IF(L112=FALSE,$C106*(1-L111)*(1+$C$14)*(1+$C$14)*(1+$C$14)*(1+$C$14)*(1+$C$14)*(1+$C$14)*(1+$C$14)*(1+$C$14)*(1+$C$14),0)</f>
        <v>0</v>
      </c>
      <c r="M113" s="75">
        <f>IF(M112=FALSE,$C106*(1-M111)*(1+$C$14)*(1+$C$14)*(1+$C$14)*(1+$C$14)*(1+$C$14)*(1+$C$14)*(1+$C$14)*(1+$C$14)*(1+$C$14)*(1+$C$14),0)</f>
        <v>0</v>
      </c>
    </row>
    <row r="114" spans="2:13" x14ac:dyDescent="0.2">
      <c r="B114" s="65" t="s">
        <v>750</v>
      </c>
      <c r="C114" s="74"/>
      <c r="D114" s="75">
        <f>IF(D112=FALSE,$C106*(1+$C107)*D111*(1+$C$14),$C108*(1+$C$14))</f>
        <v>0</v>
      </c>
      <c r="E114" s="75">
        <f>IF(E112=FALSE,$C106*(1+$C107)*E111*(1+$C$14)*(1+$C$14),$C108*(1+$C$14)*(1+$C$14))</f>
        <v>0</v>
      </c>
      <c r="F114" s="75">
        <f>IF(F112=FALSE,$C106*(1+$C107)*F111*(1+$C$14)*(1+$C$14)*(1+$C$14),$C108*(1+$C$14)*(1+$C$14)*(1+$C$14))</f>
        <v>0</v>
      </c>
      <c r="G114" s="75">
        <f>IF(G112=FALSE,$C106*(1+$C107)*G111*(1+$C$14)*(1+$C$14)*(1+$C$14)*(1+$C$14),$C108*(1+$C$14)*(1+$C$14)*(1+$C$14)*(1+$C$14))</f>
        <v>0</v>
      </c>
      <c r="H114" s="75">
        <f>IF(H112=FALSE,$C106*(1+$C107)*H111*(1+$C$14)*(1+$C$14)*(1+$C$14)*(1+$C$14)*(1+$C$14),$C108*(1+$C$14)*(1+$C$14)*(1+$C$14)*(1+$C$14)*(1+$C$14))</f>
        <v>0</v>
      </c>
      <c r="I114" s="75">
        <f>IF(I112=FALSE,$C106*(1+$C107)*I111*(1+$C$14)*(1+$C$14)*(1+$C$14)*(1+$C$14)*(1+$C$14)*(1+$C$14),$C108*(1+$C$14)*(1+$C$14)*(1+$C$14)*(1+$C$14)*(1+$C$14)*(1+$C$14))</f>
        <v>0</v>
      </c>
      <c r="J114" s="75">
        <f>IF(J112=FALSE,$C106*(1+$C107)*J111*(1+$C$14)*(1+$C$14)*(1+$C$14)*(1+$C$14)*(1+$C$14)*(1+$C$14)*(1+$C$14),$C108*(1+$C$14)*(1+$C$14)*(1+$C$14)*(1+$C$14)*(1+$C$14)*(1+$C$14)*(1+$C$14))</f>
        <v>0</v>
      </c>
      <c r="K114" s="75">
        <f>IF(K112=FALSE,$C106*(1+$C107)*K111*(1+$C$14)*(1+$C$14)*(1+$C$14)*(1+$C$14)*(1+$C$14)*(1+$C$14)*(1+$C$14)*(1+$C$14),$C108*(1+$C$14)*(1+$C$14)*(1+$C$14)*(1+$C$14)*(1+$C$14)*(1+$C$14)*(1+$C$14)*(1+$C$14))</f>
        <v>0</v>
      </c>
      <c r="L114" s="75">
        <f>IF(L112=FALSE,$C106*(1+$C107)*L111*(1+$C$14)*(1+$C$14)*(1+$C$14)*(1+$C$14)*(1+$C$14)*(1+$C$14)*(1+$C$14)*(1+$C$14)*(1+$C$14),$C108*(1+$C$14)*(1+$C$14)*(1+$C$14)*(1+$C$14)*(1+$C$14)*(1+$C$14)*(1+$C$14)*(1+$C$14)*(1+$C$14))</f>
        <v>0</v>
      </c>
      <c r="M114" s="75">
        <f>IF(M112=FALSE,$C106*(1+$C107)*M111*(1+$C$14)*(1+$C$14)*(1+$C$14)*(1+$C$14)*(1+$C$14)*(1+$C$14)*(1+$C$14)*(1+$C$14)*(1+$C$14)*(1+$C$14),$C108*(1+$C$14)*(1+$C$14)*(1+$C$14)*(1+$C$14)*(1+$C$14)*(1+$C$14)*(1+$C$14)*(1+$C$14)*(1+$C$14)*(1+$C$14))</f>
        <v>0</v>
      </c>
    </row>
    <row r="115" spans="2:13" x14ac:dyDescent="0.2">
      <c r="B115" s="65" t="s">
        <v>748</v>
      </c>
      <c r="C115" s="74"/>
      <c r="D115" s="84">
        <f>SUM(D113:D114)</f>
        <v>0</v>
      </c>
      <c r="E115" s="84">
        <f t="shared" ref="E115" si="87">SUM(E113:E114)</f>
        <v>0</v>
      </c>
      <c r="F115" s="84">
        <f t="shared" ref="F115" si="88">SUM(F113:F114)</f>
        <v>0</v>
      </c>
      <c r="G115" s="84">
        <f t="shared" ref="G115" si="89">SUM(G113:G114)</f>
        <v>0</v>
      </c>
      <c r="H115" s="84">
        <f t="shared" ref="H115" si="90">SUM(H113:H114)</f>
        <v>0</v>
      </c>
      <c r="I115" s="84">
        <f t="shared" ref="I115" si="91">SUM(I113:I114)</f>
        <v>0</v>
      </c>
      <c r="J115" s="84">
        <f t="shared" ref="J115" si="92">SUM(J113:J114)</f>
        <v>0</v>
      </c>
      <c r="K115" s="84">
        <f t="shared" ref="K115" si="93">SUM(K113:K114)</f>
        <v>0</v>
      </c>
      <c r="L115" s="84">
        <f t="shared" ref="L115" si="94">SUM(L113:L114)</f>
        <v>0</v>
      </c>
      <c r="M115" s="84">
        <f t="shared" ref="M115" si="95">SUM(M113:M114)</f>
        <v>0</v>
      </c>
    </row>
    <row r="116" spans="2:13" x14ac:dyDescent="0.2">
      <c r="B116" s="65" t="s">
        <v>373</v>
      </c>
      <c r="C116" s="75">
        <f>C106*$C$86</f>
        <v>0</v>
      </c>
      <c r="D116" s="76">
        <f>C116</f>
        <v>0</v>
      </c>
      <c r="E116" s="77">
        <f>D115*$C$86</f>
        <v>0</v>
      </c>
      <c r="F116" s="77">
        <f t="shared" ref="F116:M116" si="96">E115*$C$86</f>
        <v>0</v>
      </c>
      <c r="G116" s="77">
        <f t="shared" si="96"/>
        <v>0</v>
      </c>
      <c r="H116" s="77">
        <f t="shared" si="96"/>
        <v>0</v>
      </c>
      <c r="I116" s="77">
        <f t="shared" si="96"/>
        <v>0</v>
      </c>
      <c r="J116" s="77">
        <f t="shared" si="96"/>
        <v>0</v>
      </c>
      <c r="K116" s="77">
        <f t="shared" si="96"/>
        <v>0</v>
      </c>
      <c r="L116" s="77">
        <f t="shared" si="96"/>
        <v>0</v>
      </c>
      <c r="M116" s="78">
        <f t="shared" si="96"/>
        <v>0</v>
      </c>
    </row>
    <row r="118" spans="2:13" x14ac:dyDescent="0.2">
      <c r="B118" s="61" t="s">
        <v>738</v>
      </c>
    </row>
    <row r="119" spans="2:13" ht="5.25" customHeight="1" x14ac:dyDescent="0.2"/>
    <row r="120" spans="2:13" x14ac:dyDescent="0.2">
      <c r="B120" s="65" t="s">
        <v>752</v>
      </c>
    </row>
    <row r="121" spans="2:13" x14ac:dyDescent="0.2">
      <c r="B121" s="81" t="s">
        <v>741</v>
      </c>
      <c r="C121" s="75">
        <f>'1-Client Variables'!$D$148</f>
        <v>0</v>
      </c>
      <c r="D121" s="60" t="s">
        <v>742</v>
      </c>
    </row>
    <row r="122" spans="2:13" x14ac:dyDescent="0.2">
      <c r="B122" s="81" t="s">
        <v>743</v>
      </c>
      <c r="C122" s="69">
        <f>'2c-Consumption Plan Wk3'!$I$8</f>
        <v>0</v>
      </c>
    </row>
    <row r="123" spans="2:13" x14ac:dyDescent="0.2">
      <c r="B123" s="81" t="s">
        <v>744</v>
      </c>
      <c r="C123" s="75">
        <f>IF(C122&gt;-100%,C121*(1+C122),C121)</f>
        <v>0</v>
      </c>
      <c r="D123" s="60" t="s">
        <v>742</v>
      </c>
    </row>
    <row r="124" spans="2:13" ht="5.25" customHeight="1" x14ac:dyDescent="0.2"/>
    <row r="125" spans="2:13" x14ac:dyDescent="0.2">
      <c r="B125" s="80"/>
      <c r="C125" s="73" t="s">
        <v>332</v>
      </c>
      <c r="D125" s="63">
        <v>1</v>
      </c>
      <c r="E125" s="63">
        <f>D125+1</f>
        <v>2</v>
      </c>
      <c r="F125" s="63">
        <f t="shared" ref="F125" si="97">E125+1</f>
        <v>3</v>
      </c>
      <c r="G125" s="63">
        <f t="shared" ref="G125" si="98">F125+1</f>
        <v>4</v>
      </c>
      <c r="H125" s="63">
        <f>G125+1</f>
        <v>5</v>
      </c>
      <c r="I125" s="63">
        <f>H125+1</f>
        <v>6</v>
      </c>
      <c r="J125" s="63">
        <f>I125+1</f>
        <v>7</v>
      </c>
      <c r="K125" s="63">
        <f t="shared" ref="K125" si="99">J125+1</f>
        <v>8</v>
      </c>
      <c r="L125" s="63">
        <f t="shared" ref="L125" si="100">K125+1</f>
        <v>9</v>
      </c>
      <c r="M125" s="63">
        <f t="shared" ref="M125" si="101">L125+1</f>
        <v>10</v>
      </c>
    </row>
    <row r="126" spans="2:13" x14ac:dyDescent="0.2">
      <c r="B126" s="65" t="s">
        <v>734</v>
      </c>
      <c r="C126" s="74"/>
      <c r="D126" s="69">
        <f>'2c-Consumption Plan Wk3'!E$17</f>
        <v>0</v>
      </c>
      <c r="E126" s="69">
        <f>'2c-Consumption Plan Wk3'!F$17</f>
        <v>0</v>
      </c>
      <c r="F126" s="69">
        <f>'2c-Consumption Plan Wk3'!G$17</f>
        <v>0</v>
      </c>
      <c r="G126" s="69">
        <f>'2c-Consumption Plan Wk3'!H$17</f>
        <v>0</v>
      </c>
      <c r="H126" s="69">
        <f>'2c-Consumption Plan Wk3'!I$17</f>
        <v>0</v>
      </c>
      <c r="I126" s="69">
        <f>'2c-Consumption Plan Wk3'!J$17</f>
        <v>0</v>
      </c>
      <c r="J126" s="69">
        <f>'2c-Consumption Plan Wk3'!K$17</f>
        <v>0</v>
      </c>
      <c r="K126" s="69">
        <f>'2c-Consumption Plan Wk3'!L$17</f>
        <v>0</v>
      </c>
      <c r="L126" s="69">
        <f>'2c-Consumption Plan Wk3'!M$17</f>
        <v>0</v>
      </c>
      <c r="M126" s="69">
        <f>'2c-Consumption Plan Wk3'!N$17</f>
        <v>0</v>
      </c>
    </row>
    <row r="127" spans="2:13" x14ac:dyDescent="0.2">
      <c r="B127" s="65" t="s">
        <v>745</v>
      </c>
      <c r="C127" s="74"/>
      <c r="D127" s="82" t="b">
        <f>IF(D126=1,TRUE,FALSE)</f>
        <v>0</v>
      </c>
      <c r="E127" s="82" t="b">
        <f t="shared" ref="E127:M127" si="102">IF(E126=1,TRUE,FALSE)</f>
        <v>0</v>
      </c>
      <c r="F127" s="82" t="b">
        <f t="shared" si="102"/>
        <v>0</v>
      </c>
      <c r="G127" s="82" t="b">
        <f t="shared" si="102"/>
        <v>0</v>
      </c>
      <c r="H127" s="82" t="b">
        <f t="shared" si="102"/>
        <v>0</v>
      </c>
      <c r="I127" s="82" t="b">
        <f t="shared" si="102"/>
        <v>0</v>
      </c>
      <c r="J127" s="82" t="b">
        <f t="shared" si="102"/>
        <v>0</v>
      </c>
      <c r="K127" s="82" t="b">
        <f t="shared" si="102"/>
        <v>0</v>
      </c>
      <c r="L127" s="82" t="b">
        <f t="shared" si="102"/>
        <v>0</v>
      </c>
      <c r="M127" s="82" t="b">
        <f t="shared" si="102"/>
        <v>0</v>
      </c>
    </row>
    <row r="128" spans="2:13" x14ac:dyDescent="0.2">
      <c r="B128" s="65" t="s">
        <v>749</v>
      </c>
      <c r="C128" s="74"/>
      <c r="D128" s="75">
        <f>IF(D127=FALSE,$C121*(1-D126)*(1+$C$14),0)</f>
        <v>0</v>
      </c>
      <c r="E128" s="75">
        <f>IF(E127=FALSE,$C121*(1-E126)*(1+$C$14)*(1+$C$14),0)</f>
        <v>0</v>
      </c>
      <c r="F128" s="75">
        <f>IF(F127=FALSE,$C121*(1-F126)*(1+$C$14)*(1+$C$14)*(1+$C$14),0)</f>
        <v>0</v>
      </c>
      <c r="G128" s="75">
        <f>IF(G127=FALSE,$C121*(1-G126)*(1+$C$14)*(1+$C$14)*(1+$C$14)*(1+$C$14),0)</f>
        <v>0</v>
      </c>
      <c r="H128" s="75">
        <f>IF(H127=FALSE,$C121*(1-H126)*(1+$C$14)*(1+$C$14)*(1+$C$14)*(1+$C$14)*(1+$C$14),0)</f>
        <v>0</v>
      </c>
      <c r="I128" s="75">
        <f>IF(I127=FALSE,$C121*(1-I126)*(1+$C$14)*(1+$C$14)*(1+$C$14)*(1+$C$14)*(1+$C$14)*(1+$C$14),0)</f>
        <v>0</v>
      </c>
      <c r="J128" s="75">
        <f>IF(J127=FALSE,$C121*(1-J126)*(1+$C$14)*(1+$C$14)*(1+$C$14)*(1+$C$14)*(1+$C$14)*(1+$C$14)*(1+$C$14),0)</f>
        <v>0</v>
      </c>
      <c r="K128" s="75">
        <f>IF(K127=FALSE,$C121*(1-K126)*(1+$C$14)*(1+$C$14)*(1+$C$14)*(1+$C$14)*(1+$C$14)*(1+$C$14)*(1+$C$14)*(1+$C$14),0)</f>
        <v>0</v>
      </c>
      <c r="L128" s="75">
        <f>IF(L127=FALSE,$C121*(1-L126)*(1+$C$14)*(1+$C$14)*(1+$C$14)*(1+$C$14)*(1+$C$14)*(1+$C$14)*(1+$C$14)*(1+$C$14)*(1+$C$14),0)</f>
        <v>0</v>
      </c>
      <c r="M128" s="75">
        <f>IF(M127=FALSE,$C121*(1-M126)*(1+$C$14)*(1+$C$14)*(1+$C$14)*(1+$C$14)*(1+$C$14)*(1+$C$14)*(1+$C$14)*(1+$C$14)*(1+$C$14)*(1+$C$14),0)</f>
        <v>0</v>
      </c>
    </row>
    <row r="129" spans="2:13" x14ac:dyDescent="0.2">
      <c r="B129" s="65" t="s">
        <v>750</v>
      </c>
      <c r="C129" s="74"/>
      <c r="D129" s="75">
        <f>IF(D127=FALSE,$C121*(1+$C122)*D126*(1+$C$14),$C123*(1+$C$14))</f>
        <v>0</v>
      </c>
      <c r="E129" s="75">
        <f>IF(E127=FALSE,$C121*(1+$C122)*E126*(1+$C$14)*(1+$C$14),$C123*(1+$C$14)*(1+$C$14))</f>
        <v>0</v>
      </c>
      <c r="F129" s="75">
        <f>IF(F127=FALSE,$C121*(1+$C122)*F126*(1+$C$14)*(1+$C$14)*(1+$C$14),$C123*(1+$C$14)*(1+$C$14)*(1+$C$14))</f>
        <v>0</v>
      </c>
      <c r="G129" s="75">
        <f>IF(G127=FALSE,$C121*(1+$C122)*G126*(1+$C$14)*(1+$C$14)*(1+$C$14)*(1+$C$14),$C123*(1+$C$14)*(1+$C$14)*(1+$C$14)*(1+$C$14))</f>
        <v>0</v>
      </c>
      <c r="H129" s="75">
        <f>IF(H127=FALSE,$C121*(1+$C122)*H126*(1+$C$14)*(1+$C$14)*(1+$C$14)*(1+$C$14)*(1+$C$14),$C123*(1+$C$14)*(1+$C$14)*(1+$C$14)*(1+$C$14)*(1+$C$14))</f>
        <v>0</v>
      </c>
      <c r="I129" s="75">
        <f>IF(I127=FALSE,$C121*(1+$C122)*I126*(1+$C$14)*(1+$C$14)*(1+$C$14)*(1+$C$14)*(1+$C$14)*(1+$C$14),$C123*(1+$C$14)*(1+$C$14)*(1+$C$14)*(1+$C$14)*(1+$C$14)*(1+$C$14))</f>
        <v>0</v>
      </c>
      <c r="J129" s="75">
        <f>IF(J127=FALSE,$C121*(1+$C122)*J126*(1+$C$14)*(1+$C$14)*(1+$C$14)*(1+$C$14)*(1+$C$14)*(1+$C$14)*(1+$C$14),$C123*(1+$C$14)*(1+$C$14)*(1+$C$14)*(1+$C$14)*(1+$C$14)*(1+$C$14)*(1+$C$14))</f>
        <v>0</v>
      </c>
      <c r="K129" s="75">
        <f>IF(K127=FALSE,$C121*(1+$C122)*K126*(1+$C$14)*(1+$C$14)*(1+$C$14)*(1+$C$14)*(1+$C$14)*(1+$C$14)*(1+$C$14)*(1+$C$14),$C123*(1+$C$14)*(1+$C$14)*(1+$C$14)*(1+$C$14)*(1+$C$14)*(1+$C$14)*(1+$C$14)*(1+$C$14))</f>
        <v>0</v>
      </c>
      <c r="L129" s="75">
        <f>IF(L127=FALSE,$C121*(1+$C122)*L126*(1+$C$14)*(1+$C$14)*(1+$C$14)*(1+$C$14)*(1+$C$14)*(1+$C$14)*(1+$C$14)*(1+$C$14)*(1+$C$14),$C123*(1+$C$14)*(1+$C$14)*(1+$C$14)*(1+$C$14)*(1+$C$14)*(1+$C$14)*(1+$C$14)*(1+$C$14)*(1+$C$14))</f>
        <v>0</v>
      </c>
      <c r="M129" s="75">
        <f>IF(M127=FALSE,$C121*(1+$C122)*M126*(1+$C$14)*(1+$C$14)*(1+$C$14)*(1+$C$14)*(1+$C$14)*(1+$C$14)*(1+$C$14)*(1+$C$14)*(1+$C$14)*(1+$C$14),$C123*(1+$C$14)*(1+$C$14)*(1+$C$14)*(1+$C$14)*(1+$C$14)*(1+$C$14)*(1+$C$14)*(1+$C$14)*(1+$C$14)*(1+$C$14))</f>
        <v>0</v>
      </c>
    </row>
    <row r="130" spans="2:13" x14ac:dyDescent="0.2">
      <c r="B130" s="65" t="s">
        <v>748</v>
      </c>
      <c r="C130" s="74"/>
      <c r="D130" s="84">
        <f>SUM(D128:D129)</f>
        <v>0</v>
      </c>
      <c r="E130" s="84">
        <f t="shared" ref="E130" si="103">SUM(E128:E129)</f>
        <v>0</v>
      </c>
      <c r="F130" s="84">
        <f t="shared" ref="F130" si="104">SUM(F128:F129)</f>
        <v>0</v>
      </c>
      <c r="G130" s="84">
        <f t="shared" ref="G130" si="105">SUM(G128:G129)</f>
        <v>0</v>
      </c>
      <c r="H130" s="84">
        <f t="shared" ref="H130" si="106">SUM(H128:H129)</f>
        <v>0</v>
      </c>
      <c r="I130" s="84">
        <f t="shared" ref="I130" si="107">SUM(I128:I129)</f>
        <v>0</v>
      </c>
      <c r="J130" s="84">
        <f t="shared" ref="J130" si="108">SUM(J128:J129)</f>
        <v>0</v>
      </c>
      <c r="K130" s="84">
        <f t="shared" ref="K130" si="109">SUM(K128:K129)</f>
        <v>0</v>
      </c>
      <c r="L130" s="84">
        <f t="shared" ref="L130" si="110">SUM(L128:L129)</f>
        <v>0</v>
      </c>
      <c r="M130" s="84">
        <f t="shared" ref="M130" si="111">SUM(M128:M129)</f>
        <v>0</v>
      </c>
    </row>
    <row r="131" spans="2:13" x14ac:dyDescent="0.2">
      <c r="B131" s="65" t="s">
        <v>373</v>
      </c>
      <c r="C131" s="75">
        <f>C121*$C$86</f>
        <v>0</v>
      </c>
      <c r="D131" s="76">
        <f>C131</f>
        <v>0</v>
      </c>
      <c r="E131" s="77">
        <f>D130*$C$86</f>
        <v>0</v>
      </c>
      <c r="F131" s="77">
        <f t="shared" ref="F131:M131" si="112">E130*$C$86</f>
        <v>0</v>
      </c>
      <c r="G131" s="77">
        <f t="shared" si="112"/>
        <v>0</v>
      </c>
      <c r="H131" s="77">
        <f t="shared" si="112"/>
        <v>0</v>
      </c>
      <c r="I131" s="77">
        <f t="shared" si="112"/>
        <v>0</v>
      </c>
      <c r="J131" s="77">
        <f t="shared" si="112"/>
        <v>0</v>
      </c>
      <c r="K131" s="77">
        <f t="shared" si="112"/>
        <v>0</v>
      </c>
      <c r="L131" s="77">
        <f t="shared" si="112"/>
        <v>0</v>
      </c>
      <c r="M131" s="78">
        <f t="shared" si="112"/>
        <v>0</v>
      </c>
    </row>
    <row r="132" spans="2:13" x14ac:dyDescent="0.2">
      <c r="C132" s="70"/>
    </row>
    <row r="133" spans="2:13" x14ac:dyDescent="0.2">
      <c r="B133" s="71" t="s">
        <v>753</v>
      </c>
      <c r="C133" s="71"/>
      <c r="D133" s="71"/>
      <c r="E133" s="71"/>
      <c r="F133" s="71"/>
      <c r="G133" s="71"/>
      <c r="H133" s="71"/>
      <c r="I133" s="71"/>
      <c r="J133" s="71"/>
      <c r="K133" s="71"/>
      <c r="L133" s="71"/>
      <c r="M133" s="71"/>
    </row>
    <row r="134" spans="2:13" x14ac:dyDescent="0.2">
      <c r="B134" s="65" t="s">
        <v>676</v>
      </c>
      <c r="C134" s="72">
        <f>IF('1-Client Variables'!D13="B",'Benchmark Assumptions'!K40,IF('1-Client Variables'!D13="D",'Benchmark Assumptions'!K44,"Error price level"))</f>
        <v>291.65000000000003</v>
      </c>
    </row>
    <row r="136" spans="2:13" x14ac:dyDescent="0.2">
      <c r="C136" s="73" t="s">
        <v>332</v>
      </c>
      <c r="D136" s="63">
        <v>1</v>
      </c>
      <c r="E136" s="63">
        <f>D136+1</f>
        <v>2</v>
      </c>
      <c r="F136" s="63">
        <f t="shared" ref="F136" si="113">E136+1</f>
        <v>3</v>
      </c>
      <c r="G136" s="63">
        <f t="shared" ref="G136" si="114">F136+1</f>
        <v>4</v>
      </c>
      <c r="H136" s="63">
        <f>G136+1</f>
        <v>5</v>
      </c>
      <c r="I136" s="63">
        <f>H136+1</f>
        <v>6</v>
      </c>
      <c r="J136" s="63">
        <f>I136+1</f>
        <v>7</v>
      </c>
      <c r="K136" s="63">
        <f t="shared" ref="K136" si="115">J136+1</f>
        <v>8</v>
      </c>
      <c r="L136" s="63">
        <f t="shared" ref="L136" si="116">K136+1</f>
        <v>9</v>
      </c>
      <c r="M136" s="63">
        <f t="shared" ref="M136" si="117">L136+1</f>
        <v>10</v>
      </c>
    </row>
    <row r="137" spans="2:13" x14ac:dyDescent="0.2">
      <c r="B137" s="61" t="s">
        <v>733</v>
      </c>
      <c r="C137" s="70"/>
      <c r="D137" s="70"/>
      <c r="E137" s="70"/>
      <c r="F137" s="70"/>
      <c r="G137" s="70"/>
      <c r="H137" s="70"/>
      <c r="I137" s="70"/>
      <c r="J137" s="70"/>
      <c r="K137" s="70"/>
      <c r="L137" s="70"/>
      <c r="M137" s="70"/>
    </row>
    <row r="138" spans="2:13" x14ac:dyDescent="0.2">
      <c r="B138" s="65" t="s">
        <v>734</v>
      </c>
      <c r="C138" s="74"/>
      <c r="D138" s="69">
        <f>'2a-Consumption Plan Wk1'!E$17</f>
        <v>0.4</v>
      </c>
      <c r="E138" s="69">
        <f>'2a-Consumption Plan Wk1'!F$17</f>
        <v>0.8</v>
      </c>
      <c r="F138" s="69">
        <f>'2a-Consumption Plan Wk1'!G$17</f>
        <v>1</v>
      </c>
      <c r="G138" s="69">
        <f>'2a-Consumption Plan Wk1'!H$17</f>
        <v>1</v>
      </c>
      <c r="H138" s="69">
        <f>'2a-Consumption Plan Wk1'!I$17</f>
        <v>1</v>
      </c>
      <c r="I138" s="69">
        <f>'2a-Consumption Plan Wk1'!J$17</f>
        <v>1</v>
      </c>
      <c r="J138" s="69">
        <f>'2a-Consumption Plan Wk1'!K$17</f>
        <v>1</v>
      </c>
      <c r="K138" s="69">
        <f>'2a-Consumption Plan Wk1'!L$17</f>
        <v>1</v>
      </c>
      <c r="L138" s="69">
        <f>'2a-Consumption Plan Wk1'!M$17</f>
        <v>1</v>
      </c>
      <c r="M138" s="69">
        <f>'2a-Consumption Plan Wk1'!N$17</f>
        <v>1</v>
      </c>
    </row>
    <row r="139" spans="2:13" x14ac:dyDescent="0.2">
      <c r="B139" s="65" t="s">
        <v>735</v>
      </c>
      <c r="C139" s="75">
        <f>'1-Client Variables'!$D$68</f>
        <v>0</v>
      </c>
      <c r="D139" s="75">
        <f>C139*(1+$C$14)</f>
        <v>0</v>
      </c>
      <c r="E139" s="75">
        <f>D139*(1+$C$14)</f>
        <v>0</v>
      </c>
      <c r="F139" s="75">
        <f>E139*(1+$C$14)</f>
        <v>0</v>
      </c>
      <c r="G139" s="75">
        <f t="shared" ref="G139" si="118">F139*(1+$C$14)</f>
        <v>0</v>
      </c>
      <c r="H139" s="75">
        <f>G139*(1+$C$14)</f>
        <v>0</v>
      </c>
      <c r="I139" s="75">
        <f t="shared" ref="I139" si="119">H139*(1+$C$14)</f>
        <v>0</v>
      </c>
      <c r="J139" s="75">
        <f t="shared" ref="J139" si="120">I139*(1+$C$14)</f>
        <v>0</v>
      </c>
      <c r="K139" s="75">
        <f t="shared" ref="K139" si="121">J139*(1+$C$14)</f>
        <v>0</v>
      </c>
      <c r="L139" s="75">
        <f t="shared" ref="L139" si="122">K139*(1+$C$14)</f>
        <v>0</v>
      </c>
      <c r="M139" s="75">
        <f t="shared" ref="M139" si="123">L139*(1+$C$14)</f>
        <v>0</v>
      </c>
    </row>
    <row r="140" spans="2:13" x14ac:dyDescent="0.2">
      <c r="B140" s="65" t="s">
        <v>736</v>
      </c>
      <c r="C140" s="75">
        <f>'1-Client Variables'!$D$68</f>
        <v>0</v>
      </c>
      <c r="D140" s="75">
        <f>D139*(1-D138)</f>
        <v>0</v>
      </c>
      <c r="E140" s="75">
        <f t="shared" ref="E140:M140" si="124">E139*(1-E138)</f>
        <v>0</v>
      </c>
      <c r="F140" s="75">
        <f t="shared" si="124"/>
        <v>0</v>
      </c>
      <c r="G140" s="75">
        <f t="shared" si="124"/>
        <v>0</v>
      </c>
      <c r="H140" s="75">
        <f>H139*(1-H138)</f>
        <v>0</v>
      </c>
      <c r="I140" s="75">
        <f t="shared" si="124"/>
        <v>0</v>
      </c>
      <c r="J140" s="75">
        <f t="shared" si="124"/>
        <v>0</v>
      </c>
      <c r="K140" s="75">
        <f t="shared" si="124"/>
        <v>0</v>
      </c>
      <c r="L140" s="75">
        <f t="shared" si="124"/>
        <v>0</v>
      </c>
      <c r="M140" s="75">
        <f t="shared" si="124"/>
        <v>0</v>
      </c>
    </row>
    <row r="141" spans="2:13" ht="7.5" customHeight="1" x14ac:dyDescent="0.2"/>
    <row r="142" spans="2:13" x14ac:dyDescent="0.2">
      <c r="B142" s="61" t="s">
        <v>737</v>
      </c>
      <c r="C142" s="70"/>
      <c r="D142" s="70"/>
      <c r="E142" s="70"/>
      <c r="F142" s="70"/>
      <c r="G142" s="70"/>
      <c r="H142" s="70"/>
      <c r="I142" s="70"/>
      <c r="J142" s="70"/>
      <c r="K142" s="70"/>
      <c r="L142" s="70"/>
      <c r="M142" s="70"/>
    </row>
    <row r="143" spans="2:13" x14ac:dyDescent="0.2">
      <c r="B143" s="65" t="s">
        <v>734</v>
      </c>
      <c r="C143" s="74"/>
      <c r="D143" s="69">
        <f>'2b-Consumption Plan Wk2'!E$17</f>
        <v>0</v>
      </c>
      <c r="E143" s="69">
        <f>'2b-Consumption Plan Wk2'!F$17</f>
        <v>0</v>
      </c>
      <c r="F143" s="69">
        <f>'2b-Consumption Plan Wk2'!G$17</f>
        <v>0</v>
      </c>
      <c r="G143" s="69">
        <f>'2b-Consumption Plan Wk2'!H$17</f>
        <v>0</v>
      </c>
      <c r="H143" s="69">
        <f>'2b-Consumption Plan Wk2'!I$17</f>
        <v>0</v>
      </c>
      <c r="I143" s="69">
        <f>'2b-Consumption Plan Wk2'!J$17</f>
        <v>0</v>
      </c>
      <c r="J143" s="69">
        <f>'2b-Consumption Plan Wk2'!K$17</f>
        <v>0</v>
      </c>
      <c r="K143" s="69">
        <f>'2b-Consumption Plan Wk2'!L$17</f>
        <v>0</v>
      </c>
      <c r="L143" s="69">
        <f>'2b-Consumption Plan Wk2'!M$17</f>
        <v>0</v>
      </c>
      <c r="M143" s="69">
        <f>'2b-Consumption Plan Wk2'!N$17</f>
        <v>0</v>
      </c>
    </row>
    <row r="144" spans="2:13" x14ac:dyDescent="0.2">
      <c r="B144" s="65" t="s">
        <v>735</v>
      </c>
      <c r="C144" s="75">
        <f>'1-Client Variables'!$D$107</f>
        <v>0</v>
      </c>
      <c r="D144" s="75">
        <f>C144*(1+$C$14)</f>
        <v>0</v>
      </c>
      <c r="E144" s="75">
        <f>D144*(1+$C$14)</f>
        <v>0</v>
      </c>
      <c r="F144" s="75">
        <f t="shared" ref="F144" si="125">E144*(1+$C$14)</f>
        <v>0</v>
      </c>
      <c r="G144" s="75">
        <f t="shared" ref="G144" si="126">F144*(1+$C$14)</f>
        <v>0</v>
      </c>
      <c r="H144" s="75">
        <f>G144*(1+$C$14)</f>
        <v>0</v>
      </c>
      <c r="I144" s="75">
        <f t="shared" ref="I144" si="127">H144*(1+$C$14)</f>
        <v>0</v>
      </c>
      <c r="J144" s="75">
        <f t="shared" ref="J144" si="128">I144*(1+$C$14)</f>
        <v>0</v>
      </c>
      <c r="K144" s="75">
        <f t="shared" ref="K144" si="129">J144*(1+$C$14)</f>
        <v>0</v>
      </c>
      <c r="L144" s="75">
        <f t="shared" ref="L144" si="130">K144*(1+$C$14)</f>
        <v>0</v>
      </c>
      <c r="M144" s="75">
        <f t="shared" ref="M144" si="131">L144*(1+$C$14)</f>
        <v>0</v>
      </c>
    </row>
    <row r="145" spans="2:14" x14ac:dyDescent="0.2">
      <c r="B145" s="65" t="s">
        <v>736</v>
      </c>
      <c r="C145" s="75">
        <f>'1-Client Variables'!$D$107</f>
        <v>0</v>
      </c>
      <c r="D145" s="75">
        <f>D144*(1-D143)</f>
        <v>0</v>
      </c>
      <c r="E145" s="75">
        <f t="shared" ref="E145:M145" si="132">E144*(1-E143)</f>
        <v>0</v>
      </c>
      <c r="F145" s="75">
        <f t="shared" si="132"/>
        <v>0</v>
      </c>
      <c r="G145" s="75">
        <f t="shared" si="132"/>
        <v>0</v>
      </c>
      <c r="H145" s="75">
        <f t="shared" si="132"/>
        <v>0</v>
      </c>
      <c r="I145" s="75">
        <f t="shared" si="132"/>
        <v>0</v>
      </c>
      <c r="J145" s="75">
        <f t="shared" si="132"/>
        <v>0</v>
      </c>
      <c r="K145" s="75">
        <f t="shared" si="132"/>
        <v>0</v>
      </c>
      <c r="L145" s="75">
        <f t="shared" si="132"/>
        <v>0</v>
      </c>
      <c r="M145" s="75">
        <f t="shared" si="132"/>
        <v>0</v>
      </c>
    </row>
    <row r="146" spans="2:14" ht="7.5" customHeight="1" x14ac:dyDescent="0.2"/>
    <row r="147" spans="2:14" x14ac:dyDescent="0.2">
      <c r="B147" s="61" t="s">
        <v>738</v>
      </c>
      <c r="C147" s="70"/>
      <c r="D147" s="70"/>
      <c r="E147" s="70"/>
      <c r="F147" s="70"/>
      <c r="G147" s="70"/>
      <c r="H147" s="70"/>
      <c r="I147" s="70"/>
      <c r="J147" s="70"/>
      <c r="K147" s="70"/>
      <c r="L147" s="70"/>
      <c r="M147" s="70"/>
    </row>
    <row r="148" spans="2:14" x14ac:dyDescent="0.2">
      <c r="B148" s="65" t="s">
        <v>734</v>
      </c>
      <c r="C148" s="74"/>
      <c r="D148" s="69">
        <f>'2c-Consumption Plan Wk3'!E$17</f>
        <v>0</v>
      </c>
      <c r="E148" s="69">
        <f>'2c-Consumption Plan Wk3'!F$17</f>
        <v>0</v>
      </c>
      <c r="F148" s="69">
        <f>'2c-Consumption Plan Wk3'!G$17</f>
        <v>0</v>
      </c>
      <c r="G148" s="69">
        <f>'2c-Consumption Plan Wk3'!H$17</f>
        <v>0</v>
      </c>
      <c r="H148" s="69">
        <f>'2c-Consumption Plan Wk3'!I$17</f>
        <v>0</v>
      </c>
      <c r="I148" s="69">
        <f>'2c-Consumption Plan Wk3'!J$17</f>
        <v>0</v>
      </c>
      <c r="J148" s="69">
        <f>'2c-Consumption Plan Wk3'!K$17</f>
        <v>0</v>
      </c>
      <c r="K148" s="69">
        <f>'2c-Consumption Plan Wk3'!L$17</f>
        <v>0</v>
      </c>
      <c r="L148" s="69">
        <f>'2c-Consumption Plan Wk3'!M$17</f>
        <v>0</v>
      </c>
      <c r="M148" s="69">
        <f>'2c-Consumption Plan Wk3'!N$17</f>
        <v>0</v>
      </c>
    </row>
    <row r="149" spans="2:14" x14ac:dyDescent="0.2">
      <c r="B149" s="65" t="s">
        <v>735</v>
      </c>
      <c r="C149" s="75">
        <f>'1-Client Variables'!$D$146</f>
        <v>0</v>
      </c>
      <c r="D149" s="75">
        <f>C149*(1+$C$14)</f>
        <v>0</v>
      </c>
      <c r="E149" s="75">
        <f>D149*(1+$C$14)</f>
        <v>0</v>
      </c>
      <c r="F149" s="75">
        <f t="shared" ref="F149" si="133">E149*(1+$C$14)</f>
        <v>0</v>
      </c>
      <c r="G149" s="75">
        <f t="shared" ref="G149" si="134">F149*(1+$C$14)</f>
        <v>0</v>
      </c>
      <c r="H149" s="75">
        <f>G149*(1+$C$14)</f>
        <v>0</v>
      </c>
      <c r="I149" s="75">
        <f t="shared" ref="I149" si="135">H149*(1+$C$14)</f>
        <v>0</v>
      </c>
      <c r="J149" s="75">
        <f t="shared" ref="J149" si="136">I149*(1+$C$14)</f>
        <v>0</v>
      </c>
      <c r="K149" s="75">
        <f t="shared" ref="K149" si="137">J149*(1+$C$14)</f>
        <v>0</v>
      </c>
      <c r="L149" s="75">
        <f t="shared" ref="L149" si="138">K149*(1+$C$14)</f>
        <v>0</v>
      </c>
      <c r="M149" s="75">
        <f t="shared" ref="M149" si="139">L149*(1+$C$14)</f>
        <v>0</v>
      </c>
    </row>
    <row r="150" spans="2:14" x14ac:dyDescent="0.2">
      <c r="B150" s="65" t="s">
        <v>736</v>
      </c>
      <c r="C150" s="75">
        <f>'1-Client Variables'!$D$146</f>
        <v>0</v>
      </c>
      <c r="D150" s="75">
        <f>D149*(1-D148)</f>
        <v>0</v>
      </c>
      <c r="E150" s="75">
        <f t="shared" ref="E150:M150" si="140">E149*(1-E148)</f>
        <v>0</v>
      </c>
      <c r="F150" s="75">
        <f t="shared" si="140"/>
        <v>0</v>
      </c>
      <c r="G150" s="75">
        <f t="shared" si="140"/>
        <v>0</v>
      </c>
      <c r="H150" s="75">
        <f t="shared" si="140"/>
        <v>0</v>
      </c>
      <c r="I150" s="75">
        <f t="shared" si="140"/>
        <v>0</v>
      </c>
      <c r="J150" s="75">
        <f t="shared" si="140"/>
        <v>0</v>
      </c>
      <c r="K150" s="75">
        <f t="shared" si="140"/>
        <v>0</v>
      </c>
      <c r="L150" s="75">
        <f t="shared" si="140"/>
        <v>0</v>
      </c>
      <c r="M150" s="75">
        <f t="shared" si="140"/>
        <v>0</v>
      </c>
    </row>
    <row r="151" spans="2:14" ht="7.5" customHeight="1" x14ac:dyDescent="0.2"/>
    <row r="152" spans="2:14" x14ac:dyDescent="0.2">
      <c r="B152" s="65" t="s">
        <v>373</v>
      </c>
      <c r="C152" s="75">
        <f>(C140+C145+C150)*$C134</f>
        <v>0</v>
      </c>
      <c r="D152" s="76">
        <f>C152</f>
        <v>0</v>
      </c>
      <c r="E152" s="77">
        <f>(D140+D145+D150)*$C134</f>
        <v>0</v>
      </c>
      <c r="F152" s="77">
        <f>(E140+E145+E150)*$C134</f>
        <v>0</v>
      </c>
      <c r="G152" s="77">
        <f t="shared" ref="G152" si="141">(F140+F145+F150)*$C134</f>
        <v>0</v>
      </c>
      <c r="H152" s="77">
        <f t="shared" ref="H152" si="142">(G140+G145+G150)*$C134</f>
        <v>0</v>
      </c>
      <c r="I152" s="77">
        <f t="shared" ref="I152" si="143">(H140+H145+H150)*$C134</f>
        <v>0</v>
      </c>
      <c r="J152" s="77">
        <f t="shared" ref="J152" si="144">(I140+I145+I150)*$C134</f>
        <v>0</v>
      </c>
      <c r="K152" s="77">
        <f t="shared" ref="K152" si="145">(J140+J145+J150)*$C134</f>
        <v>0</v>
      </c>
      <c r="L152" s="77">
        <f t="shared" ref="L152" si="146">(K140+K145+K150)*$C134</f>
        <v>0</v>
      </c>
      <c r="M152" s="78">
        <f t="shared" ref="M152" si="147">(L140+L145+L150)*$C134</f>
        <v>0</v>
      </c>
      <c r="N152" s="79"/>
    </row>
    <row r="153" spans="2:14" x14ac:dyDescent="0.2">
      <c r="C153" s="70"/>
    </row>
    <row r="154" spans="2:14" x14ac:dyDescent="0.2">
      <c r="B154" s="71" t="s">
        <v>754</v>
      </c>
      <c r="C154" s="71"/>
      <c r="D154" s="71"/>
      <c r="E154" s="71"/>
      <c r="F154" s="71"/>
      <c r="G154" s="71"/>
      <c r="H154" s="71"/>
      <c r="I154" s="71"/>
      <c r="J154" s="71"/>
      <c r="K154" s="71"/>
      <c r="L154" s="71"/>
      <c r="M154" s="71"/>
    </row>
    <row r="155" spans="2:14" x14ac:dyDescent="0.2">
      <c r="B155" s="65" t="s">
        <v>676</v>
      </c>
      <c r="C155" s="72">
        <f>IF('1-Client Variables'!D14="B",'Benchmark Assumptions'!K41,IF('1-Client Variables'!D14="D",'Benchmark Assumptions'!K45,"Error price level"))</f>
        <v>5598.6750000000002</v>
      </c>
    </row>
    <row r="157" spans="2:14" x14ac:dyDescent="0.2">
      <c r="C157" s="73" t="s">
        <v>332</v>
      </c>
      <c r="D157" s="63">
        <v>1</v>
      </c>
      <c r="E157" s="63">
        <f>D157+1</f>
        <v>2</v>
      </c>
      <c r="F157" s="63">
        <f t="shared" ref="F157" si="148">E157+1</f>
        <v>3</v>
      </c>
      <c r="G157" s="63">
        <f t="shared" ref="G157" si="149">F157+1</f>
        <v>4</v>
      </c>
      <c r="H157" s="63">
        <f>G157+1</f>
        <v>5</v>
      </c>
      <c r="I157" s="63">
        <f>H157+1</f>
        <v>6</v>
      </c>
      <c r="J157" s="63">
        <f>I157+1</f>
        <v>7</v>
      </c>
      <c r="K157" s="63">
        <f t="shared" ref="K157" si="150">J157+1</f>
        <v>8</v>
      </c>
      <c r="L157" s="63">
        <f t="shared" ref="L157" si="151">K157+1</f>
        <v>9</v>
      </c>
      <c r="M157" s="63">
        <f t="shared" ref="M157" si="152">L157+1</f>
        <v>10</v>
      </c>
    </row>
    <row r="158" spans="2:14" x14ac:dyDescent="0.2">
      <c r="B158" s="61" t="s">
        <v>733</v>
      </c>
      <c r="C158" s="70"/>
      <c r="D158" s="70"/>
      <c r="E158" s="70"/>
      <c r="F158" s="70"/>
      <c r="G158" s="70"/>
      <c r="H158" s="70"/>
      <c r="I158" s="70"/>
      <c r="J158" s="70"/>
      <c r="K158" s="70"/>
      <c r="L158" s="70"/>
      <c r="M158" s="70"/>
    </row>
    <row r="159" spans="2:14" x14ac:dyDescent="0.2">
      <c r="B159" s="65" t="s">
        <v>734</v>
      </c>
      <c r="C159" s="74"/>
      <c r="D159" s="69">
        <f>'2a-Consumption Plan Wk1'!E$17</f>
        <v>0.4</v>
      </c>
      <c r="E159" s="69">
        <f>'2a-Consumption Plan Wk1'!F$17</f>
        <v>0.8</v>
      </c>
      <c r="F159" s="69">
        <f>'2a-Consumption Plan Wk1'!G$17</f>
        <v>1</v>
      </c>
      <c r="G159" s="69">
        <f>'2a-Consumption Plan Wk1'!H$17</f>
        <v>1</v>
      </c>
      <c r="H159" s="69">
        <f>'2a-Consumption Plan Wk1'!I$17</f>
        <v>1</v>
      </c>
      <c r="I159" s="69">
        <f>'2a-Consumption Plan Wk1'!J$17</f>
        <v>1</v>
      </c>
      <c r="J159" s="69">
        <f>'2a-Consumption Plan Wk1'!K$17</f>
        <v>1</v>
      </c>
      <c r="K159" s="69">
        <f>'2a-Consumption Plan Wk1'!L$17</f>
        <v>1</v>
      </c>
      <c r="L159" s="69">
        <f>'2a-Consumption Plan Wk1'!M$17</f>
        <v>1</v>
      </c>
      <c r="M159" s="69">
        <f>'2a-Consumption Plan Wk1'!N$17</f>
        <v>1</v>
      </c>
    </row>
    <row r="160" spans="2:14" x14ac:dyDescent="0.2">
      <c r="B160" s="65" t="s">
        <v>735</v>
      </c>
      <c r="C160" s="75">
        <f>'1-Client Variables'!$D$71</f>
        <v>0</v>
      </c>
      <c r="D160" s="75">
        <f>C160*(1+$C$14)</f>
        <v>0</v>
      </c>
      <c r="E160" s="75">
        <f>D160*(1+$C$14)</f>
        <v>0</v>
      </c>
      <c r="F160" s="75">
        <f t="shared" ref="F160" si="153">E160*(1+$C$14)</f>
        <v>0</v>
      </c>
      <c r="G160" s="75">
        <f t="shared" ref="G160" si="154">F160*(1+$C$14)</f>
        <v>0</v>
      </c>
      <c r="H160" s="75">
        <f t="shared" ref="H160" si="155">G160*(1+$C$14)</f>
        <v>0</v>
      </c>
      <c r="I160" s="75">
        <f t="shared" ref="I160" si="156">H160*(1+$C$14)</f>
        <v>0</v>
      </c>
      <c r="J160" s="75">
        <f t="shared" ref="J160" si="157">I160*(1+$C$14)</f>
        <v>0</v>
      </c>
      <c r="K160" s="75">
        <f t="shared" ref="K160" si="158">J160*(1+$C$14)</f>
        <v>0</v>
      </c>
      <c r="L160" s="75">
        <f t="shared" ref="L160" si="159">K160*(1+$C$14)</f>
        <v>0</v>
      </c>
      <c r="M160" s="75">
        <f t="shared" ref="M160" si="160">L160*(1+$C$14)</f>
        <v>0</v>
      </c>
    </row>
    <row r="161" spans="2:14" x14ac:dyDescent="0.2">
      <c r="B161" s="65" t="s">
        <v>736</v>
      </c>
      <c r="C161" s="75">
        <f>'1-Client Variables'!$D$71</f>
        <v>0</v>
      </c>
      <c r="D161" s="75">
        <f>D160*(1-D159)</f>
        <v>0</v>
      </c>
      <c r="E161" s="75">
        <f t="shared" ref="E161:M161" si="161">E160*(1-E159)</f>
        <v>0</v>
      </c>
      <c r="F161" s="75">
        <f t="shared" si="161"/>
        <v>0</v>
      </c>
      <c r="G161" s="75">
        <f t="shared" si="161"/>
        <v>0</v>
      </c>
      <c r="H161" s="75">
        <f t="shared" si="161"/>
        <v>0</v>
      </c>
      <c r="I161" s="75">
        <f t="shared" si="161"/>
        <v>0</v>
      </c>
      <c r="J161" s="75">
        <f t="shared" si="161"/>
        <v>0</v>
      </c>
      <c r="K161" s="75">
        <f t="shared" si="161"/>
        <v>0</v>
      </c>
      <c r="L161" s="75">
        <f t="shared" si="161"/>
        <v>0</v>
      </c>
      <c r="M161" s="75">
        <f t="shared" si="161"/>
        <v>0</v>
      </c>
    </row>
    <row r="162" spans="2:14" ht="7.5" customHeight="1" x14ac:dyDescent="0.2"/>
    <row r="163" spans="2:14" x14ac:dyDescent="0.2">
      <c r="B163" s="61" t="s">
        <v>737</v>
      </c>
      <c r="C163" s="70"/>
      <c r="D163" s="70"/>
      <c r="E163" s="70"/>
      <c r="F163" s="70"/>
      <c r="G163" s="70"/>
      <c r="H163" s="70"/>
      <c r="I163" s="70"/>
      <c r="J163" s="70"/>
      <c r="K163" s="70"/>
      <c r="L163" s="70"/>
      <c r="M163" s="70"/>
    </row>
    <row r="164" spans="2:14" x14ac:dyDescent="0.2">
      <c r="B164" s="65" t="s">
        <v>734</v>
      </c>
      <c r="C164" s="74"/>
      <c r="D164" s="69">
        <f>'2b-Consumption Plan Wk2'!E$17</f>
        <v>0</v>
      </c>
      <c r="E164" s="69">
        <f>'2b-Consumption Plan Wk2'!F$17</f>
        <v>0</v>
      </c>
      <c r="F164" s="69">
        <f>'2b-Consumption Plan Wk2'!G$17</f>
        <v>0</v>
      </c>
      <c r="G164" s="69">
        <f>'2b-Consumption Plan Wk2'!H$17</f>
        <v>0</v>
      </c>
      <c r="H164" s="69">
        <f>'2b-Consumption Plan Wk2'!I$17</f>
        <v>0</v>
      </c>
      <c r="I164" s="69">
        <f>'2b-Consumption Plan Wk2'!J$17</f>
        <v>0</v>
      </c>
      <c r="J164" s="69">
        <f>'2b-Consumption Plan Wk2'!K$17</f>
        <v>0</v>
      </c>
      <c r="K164" s="69">
        <f>'2b-Consumption Plan Wk2'!L$17</f>
        <v>0</v>
      </c>
      <c r="L164" s="69">
        <f>'2b-Consumption Plan Wk2'!M$17</f>
        <v>0</v>
      </c>
      <c r="M164" s="69">
        <f>'2b-Consumption Plan Wk2'!N$17</f>
        <v>0</v>
      </c>
    </row>
    <row r="165" spans="2:14" x14ac:dyDescent="0.2">
      <c r="B165" s="65" t="s">
        <v>735</v>
      </c>
      <c r="C165" s="75">
        <f>'1-Client Variables'!$D$110</f>
        <v>0</v>
      </c>
      <c r="D165" s="75">
        <f>C165*(1+$C$14)</f>
        <v>0</v>
      </c>
      <c r="E165" s="75">
        <f>D165*(1+$C$14)</f>
        <v>0</v>
      </c>
      <c r="F165" s="75">
        <f t="shared" ref="F165" si="162">E165*(1+$C$14)</f>
        <v>0</v>
      </c>
      <c r="G165" s="75">
        <f t="shared" ref="G165" si="163">F165*(1+$C$14)</f>
        <v>0</v>
      </c>
      <c r="H165" s="75">
        <f>G165*(1+$C$14)</f>
        <v>0</v>
      </c>
      <c r="I165" s="75">
        <f t="shared" ref="I165" si="164">H165*(1+$C$14)</f>
        <v>0</v>
      </c>
      <c r="J165" s="75">
        <f t="shared" ref="J165" si="165">I165*(1+$C$14)</f>
        <v>0</v>
      </c>
      <c r="K165" s="75">
        <f t="shared" ref="K165" si="166">J165*(1+$C$14)</f>
        <v>0</v>
      </c>
      <c r="L165" s="75">
        <f t="shared" ref="L165" si="167">K165*(1+$C$14)</f>
        <v>0</v>
      </c>
      <c r="M165" s="75">
        <f t="shared" ref="M165" si="168">L165*(1+$C$14)</f>
        <v>0</v>
      </c>
    </row>
    <row r="166" spans="2:14" x14ac:dyDescent="0.2">
      <c r="B166" s="65" t="s">
        <v>736</v>
      </c>
      <c r="C166" s="75">
        <f>'1-Client Variables'!$D$110</f>
        <v>0</v>
      </c>
      <c r="D166" s="75">
        <f>D165*(1-D164)</f>
        <v>0</v>
      </c>
      <c r="E166" s="75">
        <f t="shared" ref="E166:M166" si="169">E165*(1-E164)</f>
        <v>0</v>
      </c>
      <c r="F166" s="75">
        <f t="shared" si="169"/>
        <v>0</v>
      </c>
      <c r="G166" s="75">
        <f t="shared" si="169"/>
        <v>0</v>
      </c>
      <c r="H166" s="75">
        <f t="shared" si="169"/>
        <v>0</v>
      </c>
      <c r="I166" s="75">
        <f t="shared" si="169"/>
        <v>0</v>
      </c>
      <c r="J166" s="75">
        <f t="shared" si="169"/>
        <v>0</v>
      </c>
      <c r="K166" s="75">
        <f t="shared" si="169"/>
        <v>0</v>
      </c>
      <c r="L166" s="75">
        <f t="shared" si="169"/>
        <v>0</v>
      </c>
      <c r="M166" s="75">
        <f t="shared" si="169"/>
        <v>0</v>
      </c>
    </row>
    <row r="167" spans="2:14" ht="7.5" customHeight="1" x14ac:dyDescent="0.2"/>
    <row r="168" spans="2:14" x14ac:dyDescent="0.2">
      <c r="B168" s="61" t="s">
        <v>738</v>
      </c>
      <c r="C168" s="70"/>
      <c r="D168" s="70"/>
      <c r="E168" s="70"/>
      <c r="F168" s="70"/>
      <c r="G168" s="70"/>
      <c r="H168" s="70"/>
      <c r="I168" s="70"/>
      <c r="J168" s="70"/>
      <c r="K168" s="70"/>
      <c r="L168" s="70"/>
      <c r="M168" s="70"/>
    </row>
    <row r="169" spans="2:14" x14ac:dyDescent="0.2">
      <c r="B169" s="65" t="s">
        <v>734</v>
      </c>
      <c r="C169" s="74"/>
      <c r="D169" s="69">
        <f>'2c-Consumption Plan Wk3'!E$17</f>
        <v>0</v>
      </c>
      <c r="E169" s="69">
        <f>'2c-Consumption Plan Wk3'!F$17</f>
        <v>0</v>
      </c>
      <c r="F169" s="69">
        <f>'2c-Consumption Plan Wk3'!G$17</f>
        <v>0</v>
      </c>
      <c r="G169" s="69">
        <f>'2c-Consumption Plan Wk3'!H$17</f>
        <v>0</v>
      </c>
      <c r="H169" s="69">
        <f>'2c-Consumption Plan Wk3'!I$17</f>
        <v>0</v>
      </c>
      <c r="I169" s="69">
        <f>'2c-Consumption Plan Wk3'!J$17</f>
        <v>0</v>
      </c>
      <c r="J169" s="69">
        <f>'2c-Consumption Plan Wk3'!K$17</f>
        <v>0</v>
      </c>
      <c r="K169" s="69">
        <f>'2c-Consumption Plan Wk3'!L$17</f>
        <v>0</v>
      </c>
      <c r="L169" s="69">
        <f>'2c-Consumption Plan Wk3'!M$17</f>
        <v>0</v>
      </c>
      <c r="M169" s="69">
        <f>'2c-Consumption Plan Wk3'!N$17</f>
        <v>0</v>
      </c>
    </row>
    <row r="170" spans="2:14" x14ac:dyDescent="0.2">
      <c r="B170" s="65" t="s">
        <v>735</v>
      </c>
      <c r="C170" s="75">
        <f>'1-Client Variables'!$D$149</f>
        <v>0</v>
      </c>
      <c r="D170" s="75">
        <f>C170*(1+$C$14)</f>
        <v>0</v>
      </c>
      <c r="E170" s="75">
        <f>D170*(1+$C$14)</f>
        <v>0</v>
      </c>
      <c r="F170" s="75">
        <f t="shared" ref="F170" si="170">E170*(1+$C$14)</f>
        <v>0</v>
      </c>
      <c r="G170" s="75">
        <f t="shared" ref="G170" si="171">F170*(1+$C$14)</f>
        <v>0</v>
      </c>
      <c r="H170" s="75">
        <f t="shared" ref="H170" si="172">G170*(1+$C$14)</f>
        <v>0</v>
      </c>
      <c r="I170" s="75">
        <f t="shared" ref="I170" si="173">H170*(1+$C$14)</f>
        <v>0</v>
      </c>
      <c r="J170" s="75">
        <f t="shared" ref="J170" si="174">I170*(1+$C$14)</f>
        <v>0</v>
      </c>
      <c r="K170" s="75">
        <f t="shared" ref="K170" si="175">J170*(1+$C$14)</f>
        <v>0</v>
      </c>
      <c r="L170" s="75">
        <f t="shared" ref="L170" si="176">K170*(1+$C$14)</f>
        <v>0</v>
      </c>
      <c r="M170" s="75">
        <f t="shared" ref="M170" si="177">L170*(1+$C$14)</f>
        <v>0</v>
      </c>
    </row>
    <row r="171" spans="2:14" x14ac:dyDescent="0.2">
      <c r="B171" s="65" t="s">
        <v>736</v>
      </c>
      <c r="C171" s="75">
        <f>'1-Client Variables'!$D$149</f>
        <v>0</v>
      </c>
      <c r="D171" s="75">
        <f>D170*(1-D169)</f>
        <v>0</v>
      </c>
      <c r="E171" s="75">
        <f t="shared" ref="E171:M171" si="178">E170*(1-E169)</f>
        <v>0</v>
      </c>
      <c r="F171" s="75">
        <f t="shared" si="178"/>
        <v>0</v>
      </c>
      <c r="G171" s="75">
        <f t="shared" si="178"/>
        <v>0</v>
      </c>
      <c r="H171" s="75">
        <f t="shared" si="178"/>
        <v>0</v>
      </c>
      <c r="I171" s="75">
        <f t="shared" si="178"/>
        <v>0</v>
      </c>
      <c r="J171" s="75">
        <f t="shared" si="178"/>
        <v>0</v>
      </c>
      <c r="K171" s="75">
        <f t="shared" si="178"/>
        <v>0</v>
      </c>
      <c r="L171" s="75">
        <f t="shared" si="178"/>
        <v>0</v>
      </c>
      <c r="M171" s="75">
        <f t="shared" si="178"/>
        <v>0</v>
      </c>
    </row>
    <row r="172" spans="2:14" ht="7.5" customHeight="1" x14ac:dyDescent="0.2"/>
    <row r="173" spans="2:14" x14ac:dyDescent="0.2">
      <c r="B173" s="65" t="s">
        <v>373</v>
      </c>
      <c r="C173" s="75">
        <f>(C161+C166+C171)*$C155</f>
        <v>0</v>
      </c>
      <c r="D173" s="76">
        <f>C173</f>
        <v>0</v>
      </c>
      <c r="E173" s="77">
        <f>(D161+D166+D171)*$C155</f>
        <v>0</v>
      </c>
      <c r="F173" s="77">
        <f>(E161+E166+E171)*$C155</f>
        <v>0</v>
      </c>
      <c r="G173" s="77">
        <f t="shared" ref="G173" si="179">(F161+F166+F171)*$C155</f>
        <v>0</v>
      </c>
      <c r="H173" s="77">
        <f t="shared" ref="H173" si="180">(G161+G166+G171)*$C155</f>
        <v>0</v>
      </c>
      <c r="I173" s="77">
        <f t="shared" ref="I173" si="181">(H161+H166+H171)*$C155</f>
        <v>0</v>
      </c>
      <c r="J173" s="77">
        <f t="shared" ref="J173" si="182">(I161+I166+I171)*$C155</f>
        <v>0</v>
      </c>
      <c r="K173" s="77">
        <f t="shared" ref="K173" si="183">(J161+J166+J171)*$C155</f>
        <v>0</v>
      </c>
      <c r="L173" s="77">
        <f t="shared" ref="L173" si="184">(K161+K166+K171)*$C155</f>
        <v>0</v>
      </c>
      <c r="M173" s="78">
        <f t="shared" ref="M173" si="185">(L161+L166+L171)*$C155</f>
        <v>0</v>
      </c>
      <c r="N173" s="79"/>
    </row>
    <row r="175" spans="2:14" x14ac:dyDescent="0.2">
      <c r="B175" s="71" t="s">
        <v>755</v>
      </c>
      <c r="C175" s="71"/>
      <c r="D175" s="71"/>
      <c r="E175" s="71"/>
      <c r="F175" s="71"/>
      <c r="G175" s="71"/>
      <c r="H175" s="71"/>
      <c r="I175" s="71"/>
      <c r="J175" s="71"/>
      <c r="K175" s="71"/>
      <c r="L175" s="71"/>
      <c r="M175" s="71"/>
    </row>
    <row r="176" spans="2:14" x14ac:dyDescent="0.2">
      <c r="B176" s="65" t="s">
        <v>684</v>
      </c>
      <c r="C176" s="72">
        <f>'Benchmark Assumptions'!K47</f>
        <v>239</v>
      </c>
    </row>
    <row r="177" spans="2:14" x14ac:dyDescent="0.2">
      <c r="B177" s="80"/>
    </row>
    <row r="178" spans="2:14" x14ac:dyDescent="0.2">
      <c r="B178" s="61" t="s">
        <v>733</v>
      </c>
    </row>
    <row r="179" spans="2:14" ht="5.25" customHeight="1" x14ac:dyDescent="0.2"/>
    <row r="180" spans="2:14" x14ac:dyDescent="0.2">
      <c r="B180" s="65" t="s">
        <v>715</v>
      </c>
      <c r="C180" s="82" t="str">
        <f>'2a-Consumption Plan Wk1'!E35</f>
        <v>No</v>
      </c>
    </row>
    <row r="181" spans="2:14" x14ac:dyDescent="0.2">
      <c r="B181" s="65" t="s">
        <v>209</v>
      </c>
      <c r="C181" s="82" t="str">
        <f>'2a-Consumption Plan Wk1'!E39</f>
        <v>No</v>
      </c>
    </row>
    <row r="182" spans="2:14" x14ac:dyDescent="0.2">
      <c r="B182" s="65" t="s">
        <v>756</v>
      </c>
      <c r="C182" s="84">
        <f>'1-Client Variables'!D59</f>
        <v>0</v>
      </c>
      <c r="D182" s="60" t="s">
        <v>742</v>
      </c>
    </row>
    <row r="183" spans="2:14" ht="5.25" customHeight="1" x14ac:dyDescent="0.2"/>
    <row r="184" spans="2:14" x14ac:dyDescent="0.2">
      <c r="B184" s="80"/>
      <c r="C184" s="73" t="s">
        <v>332</v>
      </c>
      <c r="D184" s="63">
        <v>1</v>
      </c>
      <c r="E184" s="63">
        <f>D184+1</f>
        <v>2</v>
      </c>
      <c r="F184" s="63">
        <f t="shared" ref="F184" si="186">E184+1</f>
        <v>3</v>
      </c>
      <c r="G184" s="63">
        <f t="shared" ref="G184" si="187">F184+1</f>
        <v>4</v>
      </c>
      <c r="H184" s="63">
        <f>G184+1</f>
        <v>5</v>
      </c>
      <c r="I184" s="63">
        <f>H184+1</f>
        <v>6</v>
      </c>
      <c r="J184" s="63">
        <f>I184+1</f>
        <v>7</v>
      </c>
      <c r="K184" s="63">
        <f t="shared" ref="K184" si="188">J184+1</f>
        <v>8</v>
      </c>
      <c r="L184" s="63">
        <f t="shared" ref="L184" si="189">K184+1</f>
        <v>9</v>
      </c>
      <c r="M184" s="63">
        <f t="shared" ref="M184" si="190">L184+1</f>
        <v>10</v>
      </c>
    </row>
    <row r="185" spans="2:14" x14ac:dyDescent="0.2">
      <c r="B185" s="65" t="s">
        <v>734</v>
      </c>
      <c r="C185" s="74"/>
      <c r="D185" s="69">
        <f>'2a-Consumption Plan Wk1'!E$17</f>
        <v>0.4</v>
      </c>
      <c r="E185" s="69">
        <f>'2a-Consumption Plan Wk1'!F$17</f>
        <v>0.8</v>
      </c>
      <c r="F185" s="69">
        <f>'2a-Consumption Plan Wk1'!G$17</f>
        <v>1</v>
      </c>
      <c r="G185" s="69">
        <f>'2a-Consumption Plan Wk1'!H$17</f>
        <v>1</v>
      </c>
      <c r="H185" s="69">
        <f>'2a-Consumption Plan Wk1'!I$17</f>
        <v>1</v>
      </c>
      <c r="I185" s="69">
        <f>'2a-Consumption Plan Wk1'!J$17</f>
        <v>1</v>
      </c>
      <c r="J185" s="69">
        <f>'2a-Consumption Plan Wk1'!K$17</f>
        <v>1</v>
      </c>
      <c r="K185" s="69">
        <f>'2a-Consumption Plan Wk1'!L$17</f>
        <v>1</v>
      </c>
      <c r="L185" s="69">
        <f>'2a-Consumption Plan Wk1'!M$17</f>
        <v>1</v>
      </c>
      <c r="M185" s="69">
        <f>'2a-Consumption Plan Wk1'!N$17</f>
        <v>1</v>
      </c>
    </row>
    <row r="186" spans="2:14" x14ac:dyDescent="0.2">
      <c r="B186" s="65" t="s">
        <v>745</v>
      </c>
      <c r="C186" s="74"/>
      <c r="D186" s="82" t="b">
        <f>IF(D185=1,TRUE,FALSE)</f>
        <v>0</v>
      </c>
      <c r="E186" s="82" t="b">
        <f t="shared" ref="E186:M186" si="191">IF(E185=1,TRUE,FALSE)</f>
        <v>0</v>
      </c>
      <c r="F186" s="82" t="b">
        <f t="shared" si="191"/>
        <v>1</v>
      </c>
      <c r="G186" s="82" t="b">
        <f t="shared" si="191"/>
        <v>1</v>
      </c>
      <c r="H186" s="82" t="b">
        <f t="shared" si="191"/>
        <v>1</v>
      </c>
      <c r="I186" s="82" t="b">
        <f t="shared" si="191"/>
        <v>1</v>
      </c>
      <c r="J186" s="82" t="b">
        <f t="shared" si="191"/>
        <v>1</v>
      </c>
      <c r="K186" s="82" t="b">
        <f t="shared" si="191"/>
        <v>1</v>
      </c>
      <c r="L186" s="82" t="b">
        <f t="shared" si="191"/>
        <v>1</v>
      </c>
      <c r="M186" s="82" t="b">
        <f t="shared" si="191"/>
        <v>1</v>
      </c>
      <c r="N186" s="83"/>
    </row>
    <row r="187" spans="2:14" x14ac:dyDescent="0.2">
      <c r="B187" s="65" t="s">
        <v>757</v>
      </c>
      <c r="C187" s="74"/>
      <c r="D187" s="75">
        <f>IF(D186=FALSE,$C182*(1-D185)*(1+$C$14),0)</f>
        <v>0</v>
      </c>
      <c r="E187" s="75">
        <f>IF(E186=FALSE,$C182*(1-E185)*(1+$C$14)*(1+$C$14),0)</f>
        <v>0</v>
      </c>
      <c r="F187" s="75">
        <f>IF(F186=FALSE,$C182*(1-F185)*(1+$C$14)*(1+$C$14)*(1+$C$14),0)</f>
        <v>0</v>
      </c>
      <c r="G187" s="75">
        <f>IF(G186=FALSE,$C182*(1-G185)*(1+$C$14)*(1+$C$14)*(1+$C$14)*(1+$C$14),0)</f>
        <v>0</v>
      </c>
      <c r="H187" s="75">
        <f>IF(H186=FALSE,$C182*(1-H185)*(1+$C$14)*(1+$C$14)*(1+$C$14)*(1+$C$14)*(1+$C$14),0)</f>
        <v>0</v>
      </c>
      <c r="I187" s="75">
        <f>IF(I186=FALSE,$C182*(1-I185)*(1+$C$14)*(1+$C$14)*(1+$C$14)*(1+$C$14)*(1+$C$14)*(1+$C$14),0)</f>
        <v>0</v>
      </c>
      <c r="J187" s="75">
        <f>IF(J186=FALSE,$C182*(1-J185)*(1+$C$14)*(1+$C$14)*(1+$C$14)*(1+$C$14)*(1+$C$14)*(1+$C$14)*(1+$C$14),0)</f>
        <v>0</v>
      </c>
      <c r="K187" s="75">
        <f>IF(K186=FALSE,$C182*(1-K185)*(1+$C$14)*(1+$C$14)*(1+$C$14)*(1+$C$14)*(1+$C$14)*(1+$C$14)*(1+$C$14)*(1+$C$14),0)</f>
        <v>0</v>
      </c>
      <c r="L187" s="75">
        <f>IF(L186=FALSE,$C182*(1-L185)*(1+$C$14)*(1+$C$14)*(1+$C$14)*(1+$C$14)*(1+$C$14)*(1+$C$14)*(1+$C$14)*(1+$C$14)*(1+$C$14),0)</f>
        <v>0</v>
      </c>
      <c r="M187" s="75">
        <f>IF(M186=FALSE,$C182*(1-M185)*(1+$C$14)*(1+$C$14)*(1+$C$14)*(1+$C$14)*(1+$C$14)*(1+$C$14)*(1+$C$14)*(1+$C$14)*(1+$C$14)*(1+$C$14),0)</f>
        <v>0</v>
      </c>
      <c r="N187" s="83"/>
    </row>
    <row r="188" spans="2:14" x14ac:dyDescent="0.2">
      <c r="B188" s="65" t="s">
        <v>758</v>
      </c>
      <c r="C188" s="74"/>
      <c r="D188" s="75">
        <f>IF(D186=FALSE,$C182*D185*(1+$C$14),$C182*(1+$C$14))</f>
        <v>0</v>
      </c>
      <c r="E188" s="75">
        <f>IF(E186=FALSE,$C182*E185*(1+$C$14)*(1+$C$14),$C182*(1+$C$14)*(1+$C$14))</f>
        <v>0</v>
      </c>
      <c r="F188" s="75">
        <f>IF(F186=FALSE,$C182*F185*(1+$C$14)*(1+$C$14)*(1+$C$14),$C182*(1+$C$14)*(1+$C$14)*(1+$C$14))</f>
        <v>0</v>
      </c>
      <c r="G188" s="75">
        <f>IF(G186=FALSE,$C182*G185*(1+$C$14)*(1+$C$14)*(1+$C$14)*(1+$C$14),$C182*(1+$C$14)*(1+$C$14)*(1+$C$14)*(1+$C$14))</f>
        <v>0</v>
      </c>
      <c r="H188" s="75">
        <f>IF(H186=FALSE,$C182*H185*(1+$C$14)*(1+$C$14)*(1+$C$14)*(1+$C$14)*(1+$C$14),$C182*(1+$C$14)*(1+$C$14)*(1+$C$14)*(1+$C$14)*(1+$C$14))</f>
        <v>0</v>
      </c>
      <c r="I188" s="75">
        <f>IF(I186=FALSE,$C182*I185*(1+$C$14)*(1+$C$14)*(1+$C$14)*(1+$C$14)*(1+$C$14)*(1+$C$14),$C182*(1+$C$14)*(1+$C$14)*(1+$C$14)*(1+$C$14)*(1+$C$14)*(1+$C$14))</f>
        <v>0</v>
      </c>
      <c r="J188" s="75">
        <f>IF(J186=FALSE,$C182*J185*(1+$C$14)*(1+$C$14)*(1+$C$14)*(1+$C$14)*(1+$C$14)*(1+$C$14)*(1+$C$14),$C182*(1+$C$14)*(1+$C$14)*(1+$C$14)*(1+$C$14)*(1+$C$14)*(1+$C$14)*(1+$C$14))</f>
        <v>0</v>
      </c>
      <c r="K188" s="75">
        <f>IF(K186=FALSE,$C182*K185*(1+$C$14)*(1+$C$14)*(1+$C$14)*(1+$C$14)*(1+$C$14)*(1+$C$14)*(1+$C$14)*(1+$C$14),$C182*(1+$C$14)*(1+$C$14)*(1+$C$14)*(1+$C$14)*(1+$C$14)*(1+$C$14)*(1+$C$14)*(1+$C$14))</f>
        <v>0</v>
      </c>
      <c r="L188" s="75">
        <f>IF(L186=FALSE,$C182*L185*(1+$C$14)*(1+$C$14)*(1+$C$14)*(1+$C$14)*(1+$C$14)*(1+$C$14)*(1+$C$14)*(1+$C$14)*(1+$C$14),$C182*(1+$C$14)*(1+$C$14)*(1+$C$14)*(1+$C$14)*(1+$C$14)*(1+$C$14)*(1+$C$14)*(1+$C$14)*(1+$C$14))</f>
        <v>0</v>
      </c>
      <c r="M188" s="75">
        <f>IF(M186=FALSE,$C182*M185*(1+$C$14)*(1+$C$14)*(1+$C$14)*(1+$C$14)*(1+$C$14)*(1+$C$14)*(1+$C$14)*(1+$C$14)*(1+$C$14)*(1+$C$14),$C182*(1+$C$14)*(1+$C$14)*(1+$C$14)*(1+$C$14)*(1+$C$14)*(1+$C$14)*(1+$C$14)*(1+$C$14)*(1+$C$14)*(1+$C$14))</f>
        <v>0</v>
      </c>
      <c r="N188" s="83"/>
    </row>
    <row r="189" spans="2:14" x14ac:dyDescent="0.2">
      <c r="B189" s="65" t="s">
        <v>759</v>
      </c>
      <c r="C189" s="74"/>
      <c r="D189" s="84">
        <f>SUM(D187:D188)</f>
        <v>0</v>
      </c>
      <c r="E189" s="84">
        <f>SUM(E187:E188)</f>
        <v>0</v>
      </c>
      <c r="F189" s="84">
        <f t="shared" ref="F189:M189" si="192">SUM(F187:F188)</f>
        <v>0</v>
      </c>
      <c r="G189" s="84">
        <f t="shared" si="192"/>
        <v>0</v>
      </c>
      <c r="H189" s="84">
        <f t="shared" si="192"/>
        <v>0</v>
      </c>
      <c r="I189" s="84">
        <f t="shared" si="192"/>
        <v>0</v>
      </c>
      <c r="J189" s="84">
        <f t="shared" si="192"/>
        <v>0</v>
      </c>
      <c r="K189" s="84">
        <f t="shared" si="192"/>
        <v>0</v>
      </c>
      <c r="L189" s="84">
        <f t="shared" si="192"/>
        <v>0</v>
      </c>
      <c r="M189" s="84">
        <f t="shared" si="192"/>
        <v>0</v>
      </c>
    </row>
    <row r="190" spans="2:14" x14ac:dyDescent="0.2">
      <c r="B190" s="65" t="s">
        <v>373</v>
      </c>
      <c r="C190" s="75">
        <f>IF(C180="No",0,C182*$C$176)</f>
        <v>0</v>
      </c>
      <c r="D190" s="76">
        <f>C190</f>
        <v>0</v>
      </c>
      <c r="E190" s="77">
        <f>IF($C180="No",0,IF($C181="No",D189*$C$176,D187*$C$176))</f>
        <v>0</v>
      </c>
      <c r="F190" s="77">
        <f t="shared" ref="F190:M190" si="193">IF($C180="No",0,IF($C181="No",E189*$C$176,E187*$C$176))</f>
        <v>0</v>
      </c>
      <c r="G190" s="77">
        <f t="shared" si="193"/>
        <v>0</v>
      </c>
      <c r="H190" s="77">
        <f t="shared" si="193"/>
        <v>0</v>
      </c>
      <c r="I190" s="77">
        <f t="shared" si="193"/>
        <v>0</v>
      </c>
      <c r="J190" s="77">
        <f t="shared" si="193"/>
        <v>0</v>
      </c>
      <c r="K190" s="77">
        <f t="shared" si="193"/>
        <v>0</v>
      </c>
      <c r="L190" s="77">
        <f t="shared" si="193"/>
        <v>0</v>
      </c>
      <c r="M190" s="78">
        <f t="shared" si="193"/>
        <v>0</v>
      </c>
      <c r="N190" s="79"/>
    </row>
    <row r="192" spans="2:14" x14ac:dyDescent="0.2">
      <c r="B192" s="61" t="s">
        <v>737</v>
      </c>
    </row>
    <row r="193" spans="2:14" ht="5.25" customHeight="1" x14ac:dyDescent="0.2"/>
    <row r="194" spans="2:14" x14ac:dyDescent="0.2">
      <c r="B194" s="65" t="s">
        <v>715</v>
      </c>
      <c r="C194" s="82" t="str">
        <f>'2b-Consumption Plan Wk2'!E35</f>
        <v>No</v>
      </c>
    </row>
    <row r="195" spans="2:14" x14ac:dyDescent="0.2">
      <c r="B195" s="65" t="s">
        <v>209</v>
      </c>
      <c r="C195" s="82" t="str">
        <f>'2b-Consumption Plan Wk2'!E39</f>
        <v>No</v>
      </c>
    </row>
    <row r="196" spans="2:14" x14ac:dyDescent="0.2">
      <c r="B196" s="65" t="s">
        <v>756</v>
      </c>
      <c r="C196" s="84">
        <f>'1-Client Variables'!D99</f>
        <v>0</v>
      </c>
      <c r="D196" s="60" t="s">
        <v>742</v>
      </c>
    </row>
    <row r="197" spans="2:14" ht="5.25" customHeight="1" x14ac:dyDescent="0.2"/>
    <row r="198" spans="2:14" x14ac:dyDescent="0.2">
      <c r="B198" s="80"/>
      <c r="C198" s="73" t="s">
        <v>332</v>
      </c>
      <c r="D198" s="63">
        <v>1</v>
      </c>
      <c r="E198" s="63">
        <f>D198+1</f>
        <v>2</v>
      </c>
      <c r="F198" s="63">
        <f t="shared" ref="F198" si="194">E198+1</f>
        <v>3</v>
      </c>
      <c r="G198" s="63">
        <f t="shared" ref="G198" si="195">F198+1</f>
        <v>4</v>
      </c>
      <c r="H198" s="63">
        <f>G198+1</f>
        <v>5</v>
      </c>
      <c r="I198" s="63">
        <f>H198+1</f>
        <v>6</v>
      </c>
      <c r="J198" s="63">
        <f>I198+1</f>
        <v>7</v>
      </c>
      <c r="K198" s="63">
        <f t="shared" ref="K198" si="196">J198+1</f>
        <v>8</v>
      </c>
      <c r="L198" s="63">
        <f t="shared" ref="L198" si="197">K198+1</f>
        <v>9</v>
      </c>
      <c r="M198" s="63">
        <f t="shared" ref="M198" si="198">L198+1</f>
        <v>10</v>
      </c>
    </row>
    <row r="199" spans="2:14" x14ac:dyDescent="0.2">
      <c r="B199" s="65" t="s">
        <v>734</v>
      </c>
      <c r="C199" s="74"/>
      <c r="D199" s="69">
        <f>'2b-Consumption Plan Wk2'!E$17</f>
        <v>0</v>
      </c>
      <c r="E199" s="69">
        <f>'2b-Consumption Plan Wk2'!F$17</f>
        <v>0</v>
      </c>
      <c r="F199" s="69">
        <f>'2b-Consumption Plan Wk2'!G$17</f>
        <v>0</v>
      </c>
      <c r="G199" s="69">
        <f>'2b-Consumption Plan Wk2'!H$17</f>
        <v>0</v>
      </c>
      <c r="H199" s="69">
        <f>'2b-Consumption Plan Wk2'!I$17</f>
        <v>0</v>
      </c>
      <c r="I199" s="69">
        <f>'2b-Consumption Plan Wk2'!J$17</f>
        <v>0</v>
      </c>
      <c r="J199" s="69">
        <f>'2b-Consumption Plan Wk2'!K$17</f>
        <v>0</v>
      </c>
      <c r="K199" s="69">
        <f>'2b-Consumption Plan Wk2'!L$17</f>
        <v>0</v>
      </c>
      <c r="L199" s="69">
        <f>'2b-Consumption Plan Wk2'!M$17</f>
        <v>0</v>
      </c>
      <c r="M199" s="69">
        <f>'2b-Consumption Plan Wk2'!N$17</f>
        <v>0</v>
      </c>
    </row>
    <row r="200" spans="2:14" x14ac:dyDescent="0.2">
      <c r="B200" s="65" t="s">
        <v>745</v>
      </c>
      <c r="C200" s="74"/>
      <c r="D200" s="82" t="b">
        <f>IF(D199=1,TRUE,FALSE)</f>
        <v>0</v>
      </c>
      <c r="E200" s="82" t="b">
        <f t="shared" ref="E200:M200" si="199">IF(E199=1,TRUE,FALSE)</f>
        <v>0</v>
      </c>
      <c r="F200" s="82" t="b">
        <f t="shared" si="199"/>
        <v>0</v>
      </c>
      <c r="G200" s="82" t="b">
        <f t="shared" si="199"/>
        <v>0</v>
      </c>
      <c r="H200" s="82" t="b">
        <f t="shared" si="199"/>
        <v>0</v>
      </c>
      <c r="I200" s="82" t="b">
        <f t="shared" si="199"/>
        <v>0</v>
      </c>
      <c r="J200" s="82" t="b">
        <f t="shared" si="199"/>
        <v>0</v>
      </c>
      <c r="K200" s="82" t="b">
        <f t="shared" si="199"/>
        <v>0</v>
      </c>
      <c r="L200" s="82" t="b">
        <f t="shared" si="199"/>
        <v>0</v>
      </c>
      <c r="M200" s="82" t="b">
        <f t="shared" si="199"/>
        <v>0</v>
      </c>
      <c r="N200" s="83"/>
    </row>
    <row r="201" spans="2:14" x14ac:dyDescent="0.2">
      <c r="B201" s="65" t="s">
        <v>757</v>
      </c>
      <c r="C201" s="74"/>
      <c r="D201" s="75">
        <f>IF(D200=FALSE,$C196*(1-D199)*(1+$C$14),0)</f>
        <v>0</v>
      </c>
      <c r="E201" s="75">
        <f>IF(E200=FALSE,$C196*(1-E199)*(1+$C$14)*(1+$C$14),0)</f>
        <v>0</v>
      </c>
      <c r="F201" s="75">
        <f>IF(F200=FALSE,$C196*(1-F199)*(1+$C$14)*(1+$C$14)*(1+$C$14),0)</f>
        <v>0</v>
      </c>
      <c r="G201" s="75">
        <f>IF(G200=FALSE,$C196*(1-G199)*(1+$C$14)*(1+$C$14)*(1+$C$14)*(1+$C$14),0)</f>
        <v>0</v>
      </c>
      <c r="H201" s="75">
        <f>IF(H200=FALSE,$C196*(1-H199)*(1+$C$14)*(1+$C$14)*(1+$C$14)*(1+$C$14)*(1+$C$14),0)</f>
        <v>0</v>
      </c>
      <c r="I201" s="75">
        <f>IF(I200=FALSE,$C196*(1-I199)*(1+$C$14)*(1+$C$14)*(1+$C$14)*(1+$C$14)*(1+$C$14)*(1+$C$14),0)</f>
        <v>0</v>
      </c>
      <c r="J201" s="75">
        <f>IF(J200=FALSE,$C196*(1-J199)*(1+$C$14)*(1+$C$14)*(1+$C$14)*(1+$C$14)*(1+$C$14)*(1+$C$14)*(1+$C$14),0)</f>
        <v>0</v>
      </c>
      <c r="K201" s="75">
        <f>IF(K200=FALSE,$C196*(1-K199)*(1+$C$14)*(1+$C$14)*(1+$C$14)*(1+$C$14)*(1+$C$14)*(1+$C$14)*(1+$C$14)*(1+$C$14),0)</f>
        <v>0</v>
      </c>
      <c r="L201" s="75">
        <f>IF(L200=FALSE,$C196*(1-L199)*(1+$C$14)*(1+$C$14)*(1+$C$14)*(1+$C$14)*(1+$C$14)*(1+$C$14)*(1+$C$14)*(1+$C$14)*(1+$C$14),0)</f>
        <v>0</v>
      </c>
      <c r="M201" s="75">
        <f>IF(M200=FALSE,$C196*(1-M199)*(1+$C$14)*(1+$C$14)*(1+$C$14)*(1+$C$14)*(1+$C$14)*(1+$C$14)*(1+$C$14)*(1+$C$14)*(1+$C$14)*(1+$C$14),0)</f>
        <v>0</v>
      </c>
      <c r="N201" s="83"/>
    </row>
    <row r="202" spans="2:14" x14ac:dyDescent="0.2">
      <c r="B202" s="65" t="s">
        <v>758</v>
      </c>
      <c r="C202" s="74"/>
      <c r="D202" s="75">
        <f>IF(D200=FALSE,$C196*D199*(1+$C$14),$C196*(1+$C$14))</f>
        <v>0</v>
      </c>
      <c r="E202" s="75">
        <f>IF(E200=FALSE,$C196*E199*(1+$C$14)*(1+$C$14),$C196*(1+$C$14)*(1+$C$14))</f>
        <v>0</v>
      </c>
      <c r="F202" s="75">
        <f>IF(F200=FALSE,$C196*F199*(1+$C$14)*(1+$C$14)*(1+$C$14),$C196*(1+$C$14)*(1+$C$14)*(1+$C$14))</f>
        <v>0</v>
      </c>
      <c r="G202" s="75">
        <f>IF(G200=FALSE,$C196*G199*(1+$C$14)*(1+$C$14)*(1+$C$14)*(1+$C$14),$C196*(1+$C$14)*(1+$C$14)*(1+$C$14)*(1+$C$14))</f>
        <v>0</v>
      </c>
      <c r="H202" s="75">
        <f>IF(H200=FALSE,$C196*H199*(1+$C$14)*(1+$C$14)*(1+$C$14)*(1+$C$14)*(1+$C$14),$C196*(1+$C$14)*(1+$C$14)*(1+$C$14)*(1+$C$14)*(1+$C$14))</f>
        <v>0</v>
      </c>
      <c r="I202" s="75">
        <f>IF(I200=FALSE,$C196*I199*(1+$C$14)*(1+$C$14)*(1+$C$14)*(1+$C$14)*(1+$C$14)*(1+$C$14),$C196*(1+$C$14)*(1+$C$14)*(1+$C$14)*(1+$C$14)*(1+$C$14)*(1+$C$14))</f>
        <v>0</v>
      </c>
      <c r="J202" s="75">
        <f>IF(J200=FALSE,$C196*J199*(1+$C$14)*(1+$C$14)*(1+$C$14)*(1+$C$14)*(1+$C$14)*(1+$C$14)*(1+$C$14),$C196*(1+$C$14)*(1+$C$14)*(1+$C$14)*(1+$C$14)*(1+$C$14)*(1+$C$14)*(1+$C$14))</f>
        <v>0</v>
      </c>
      <c r="K202" s="75">
        <f>IF(K200=FALSE,$C196*K199*(1+$C$14)*(1+$C$14)*(1+$C$14)*(1+$C$14)*(1+$C$14)*(1+$C$14)*(1+$C$14)*(1+$C$14),$C196*(1+$C$14)*(1+$C$14)*(1+$C$14)*(1+$C$14)*(1+$C$14)*(1+$C$14)*(1+$C$14)*(1+$C$14))</f>
        <v>0</v>
      </c>
      <c r="L202" s="75">
        <f>IF(L200=FALSE,$C196*L199*(1+$C$14)*(1+$C$14)*(1+$C$14)*(1+$C$14)*(1+$C$14)*(1+$C$14)*(1+$C$14)*(1+$C$14)*(1+$C$14),$C196*(1+$C$14)*(1+$C$14)*(1+$C$14)*(1+$C$14)*(1+$C$14)*(1+$C$14)*(1+$C$14)*(1+$C$14)*(1+$C$14))</f>
        <v>0</v>
      </c>
      <c r="M202" s="75">
        <f>IF(M200=FALSE,$C196*M199*(1+$C$14)*(1+$C$14)*(1+$C$14)*(1+$C$14)*(1+$C$14)*(1+$C$14)*(1+$C$14)*(1+$C$14)*(1+$C$14)*(1+$C$14),$C196*(1+$C$14)*(1+$C$14)*(1+$C$14)*(1+$C$14)*(1+$C$14)*(1+$C$14)*(1+$C$14)*(1+$C$14)*(1+$C$14)*(1+$C$14))</f>
        <v>0</v>
      </c>
      <c r="N202" s="83"/>
    </row>
    <row r="203" spans="2:14" x14ac:dyDescent="0.2">
      <c r="B203" s="65" t="s">
        <v>759</v>
      </c>
      <c r="C203" s="74"/>
      <c r="D203" s="84">
        <f>SUM(D201:D202)</f>
        <v>0</v>
      </c>
      <c r="E203" s="84">
        <f t="shared" ref="E203:M203" si="200">SUM(E201:E202)</f>
        <v>0</v>
      </c>
      <c r="F203" s="84">
        <f t="shared" si="200"/>
        <v>0</v>
      </c>
      <c r="G203" s="84">
        <f t="shared" si="200"/>
        <v>0</v>
      </c>
      <c r="H203" s="84">
        <f t="shared" si="200"/>
        <v>0</v>
      </c>
      <c r="I203" s="84">
        <f t="shared" si="200"/>
        <v>0</v>
      </c>
      <c r="J203" s="84">
        <f t="shared" si="200"/>
        <v>0</v>
      </c>
      <c r="K203" s="84">
        <f t="shared" si="200"/>
        <v>0</v>
      </c>
      <c r="L203" s="84">
        <f t="shared" si="200"/>
        <v>0</v>
      </c>
      <c r="M203" s="84">
        <f t="shared" si="200"/>
        <v>0</v>
      </c>
    </row>
    <row r="204" spans="2:14" x14ac:dyDescent="0.2">
      <c r="B204" s="65" t="s">
        <v>373</v>
      </c>
      <c r="C204" s="75">
        <f>IF(C194="No",0,C196*$C$176)</f>
        <v>0</v>
      </c>
      <c r="D204" s="76">
        <f>C204</f>
        <v>0</v>
      </c>
      <c r="E204" s="77">
        <f>IF($C194="No",0,IF($C195="No",D203*$C$176,D201*$C$176))</f>
        <v>0</v>
      </c>
      <c r="F204" s="77">
        <f t="shared" ref="F204:M204" si="201">IF($C194="No",0,IF($C195="No",E203*$C$176,E201*$C$176))</f>
        <v>0</v>
      </c>
      <c r="G204" s="77">
        <f t="shared" si="201"/>
        <v>0</v>
      </c>
      <c r="H204" s="77">
        <f t="shared" si="201"/>
        <v>0</v>
      </c>
      <c r="I204" s="77">
        <f t="shared" si="201"/>
        <v>0</v>
      </c>
      <c r="J204" s="77">
        <f t="shared" si="201"/>
        <v>0</v>
      </c>
      <c r="K204" s="77">
        <f t="shared" si="201"/>
        <v>0</v>
      </c>
      <c r="L204" s="77">
        <f t="shared" si="201"/>
        <v>0</v>
      </c>
      <c r="M204" s="78">
        <f t="shared" si="201"/>
        <v>0</v>
      </c>
    </row>
    <row r="206" spans="2:14" x14ac:dyDescent="0.2">
      <c r="B206" s="61" t="s">
        <v>738</v>
      </c>
    </row>
    <row r="207" spans="2:14" ht="5.25" customHeight="1" x14ac:dyDescent="0.2"/>
    <row r="208" spans="2:14" x14ac:dyDescent="0.2">
      <c r="B208" s="65" t="s">
        <v>715</v>
      </c>
      <c r="C208" s="82" t="str">
        <f>'2c-Consumption Plan Wk3'!E35</f>
        <v>No</v>
      </c>
    </row>
    <row r="209" spans="2:14" x14ac:dyDescent="0.2">
      <c r="B209" s="65" t="s">
        <v>209</v>
      </c>
      <c r="C209" s="82" t="str">
        <f>'2c-Consumption Plan Wk3'!E39</f>
        <v>No</v>
      </c>
    </row>
    <row r="210" spans="2:14" x14ac:dyDescent="0.2">
      <c r="B210" s="65" t="s">
        <v>756</v>
      </c>
      <c r="C210" s="84">
        <f>'1-Client Variables'!D138</f>
        <v>0</v>
      </c>
      <c r="D210" s="60" t="s">
        <v>742</v>
      </c>
    </row>
    <row r="211" spans="2:14" ht="5.25" customHeight="1" x14ac:dyDescent="0.2"/>
    <row r="212" spans="2:14" x14ac:dyDescent="0.2">
      <c r="B212" s="80"/>
      <c r="C212" s="73" t="s">
        <v>332</v>
      </c>
      <c r="D212" s="63">
        <v>1</v>
      </c>
      <c r="E212" s="63">
        <f>D212+1</f>
        <v>2</v>
      </c>
      <c r="F212" s="63">
        <f t="shared" ref="F212" si="202">E212+1</f>
        <v>3</v>
      </c>
      <c r="G212" s="63">
        <f t="shared" ref="G212" si="203">F212+1</f>
        <v>4</v>
      </c>
      <c r="H212" s="63">
        <f>G212+1</f>
        <v>5</v>
      </c>
      <c r="I212" s="63">
        <f>H212+1</f>
        <v>6</v>
      </c>
      <c r="J212" s="63">
        <f>I212+1</f>
        <v>7</v>
      </c>
      <c r="K212" s="63">
        <f t="shared" ref="K212" si="204">J212+1</f>
        <v>8</v>
      </c>
      <c r="L212" s="63">
        <f t="shared" ref="L212" si="205">K212+1</f>
        <v>9</v>
      </c>
      <c r="M212" s="63">
        <f t="shared" ref="M212" si="206">L212+1</f>
        <v>10</v>
      </c>
    </row>
    <row r="213" spans="2:14" x14ac:dyDescent="0.2">
      <c r="B213" s="65" t="s">
        <v>734</v>
      </c>
      <c r="C213" s="74"/>
      <c r="D213" s="69">
        <f>'2c-Consumption Plan Wk3'!E$17</f>
        <v>0</v>
      </c>
      <c r="E213" s="69">
        <f>'2c-Consumption Plan Wk3'!F$17</f>
        <v>0</v>
      </c>
      <c r="F213" s="69">
        <f>'2c-Consumption Plan Wk3'!G$17</f>
        <v>0</v>
      </c>
      <c r="G213" s="69">
        <f>'2c-Consumption Plan Wk3'!H$17</f>
        <v>0</v>
      </c>
      <c r="H213" s="69">
        <f>'2c-Consumption Plan Wk3'!I$17</f>
        <v>0</v>
      </c>
      <c r="I213" s="69">
        <f>'2c-Consumption Plan Wk3'!J$17</f>
        <v>0</v>
      </c>
      <c r="J213" s="69">
        <f>'2c-Consumption Plan Wk3'!K$17</f>
        <v>0</v>
      </c>
      <c r="K213" s="69">
        <f>'2c-Consumption Plan Wk3'!L$17</f>
        <v>0</v>
      </c>
      <c r="L213" s="69">
        <f>'2c-Consumption Plan Wk3'!M$17</f>
        <v>0</v>
      </c>
      <c r="M213" s="69">
        <f>'2c-Consumption Plan Wk3'!N$17</f>
        <v>0</v>
      </c>
    </row>
    <row r="214" spans="2:14" x14ac:dyDescent="0.2">
      <c r="B214" s="65" t="s">
        <v>745</v>
      </c>
      <c r="C214" s="74"/>
      <c r="D214" s="82" t="b">
        <f>IF(D213=1,TRUE,FALSE)</f>
        <v>0</v>
      </c>
      <c r="E214" s="82" t="b">
        <f t="shared" ref="E214:M214" si="207">IF(E213=1,TRUE,FALSE)</f>
        <v>0</v>
      </c>
      <c r="F214" s="82" t="b">
        <f t="shared" si="207"/>
        <v>0</v>
      </c>
      <c r="G214" s="82" t="b">
        <f t="shared" si="207"/>
        <v>0</v>
      </c>
      <c r="H214" s="82" t="b">
        <f t="shared" si="207"/>
        <v>0</v>
      </c>
      <c r="I214" s="82" t="b">
        <f t="shared" si="207"/>
        <v>0</v>
      </c>
      <c r="J214" s="82" t="b">
        <f t="shared" si="207"/>
        <v>0</v>
      </c>
      <c r="K214" s="82" t="b">
        <f t="shared" si="207"/>
        <v>0</v>
      </c>
      <c r="L214" s="82" t="b">
        <f t="shared" si="207"/>
        <v>0</v>
      </c>
      <c r="M214" s="82" t="b">
        <f t="shared" si="207"/>
        <v>0</v>
      </c>
      <c r="N214" s="83"/>
    </row>
    <row r="215" spans="2:14" x14ac:dyDescent="0.2">
      <c r="B215" s="65" t="s">
        <v>757</v>
      </c>
      <c r="C215" s="74"/>
      <c r="D215" s="75">
        <f>IF(D214=FALSE,$C210*(1-D213)*(1+$C$14),0)</f>
        <v>0</v>
      </c>
      <c r="E215" s="75">
        <f>IF(E214=FALSE,$C210*(1-E213)*(1+$C$14)*(1+$C$14),0)</f>
        <v>0</v>
      </c>
      <c r="F215" s="75">
        <f>IF(F214=FALSE,$C210*(1-F213)*(1+$C$14)*(1+$C$14)*(1+$C$14),0)</f>
        <v>0</v>
      </c>
      <c r="G215" s="75">
        <f>IF(G214=FALSE,$C210*(1-G213)*(1+$C$14)*(1+$C$14)*(1+$C$14)*(1+$C$14),0)</f>
        <v>0</v>
      </c>
      <c r="H215" s="75">
        <f>IF(H214=FALSE,$C210*(1-H213)*(1+$C$14)*(1+$C$14)*(1+$C$14)*(1+$C$14)*(1+$C$14),0)</f>
        <v>0</v>
      </c>
      <c r="I215" s="75">
        <f>IF(I214=FALSE,$C210*(1-I213)*(1+$C$14)*(1+$C$14)*(1+$C$14)*(1+$C$14)*(1+$C$14)*(1+$C$14),0)</f>
        <v>0</v>
      </c>
      <c r="J215" s="75">
        <f>IF(J214=FALSE,$C210*(1-J213)*(1+$C$14)*(1+$C$14)*(1+$C$14)*(1+$C$14)*(1+$C$14)*(1+$C$14)*(1+$C$14),0)</f>
        <v>0</v>
      </c>
      <c r="K215" s="75">
        <f>IF(K214=FALSE,$C210*(1-K213)*(1+$C$14)*(1+$C$14)*(1+$C$14)*(1+$C$14)*(1+$C$14)*(1+$C$14)*(1+$C$14)*(1+$C$14),0)</f>
        <v>0</v>
      </c>
      <c r="L215" s="75">
        <f>IF(L214=FALSE,$C210*(1-L213)*(1+$C$14)*(1+$C$14)*(1+$C$14)*(1+$C$14)*(1+$C$14)*(1+$C$14)*(1+$C$14)*(1+$C$14)*(1+$C$14),0)</f>
        <v>0</v>
      </c>
      <c r="M215" s="75">
        <f>IF(M214=FALSE,$C210*(1-M213)*(1+$C$14)*(1+$C$14)*(1+$C$14)*(1+$C$14)*(1+$C$14)*(1+$C$14)*(1+$C$14)*(1+$C$14)*(1+$C$14)*(1+$C$14),0)</f>
        <v>0</v>
      </c>
    </row>
    <row r="216" spans="2:14" x14ac:dyDescent="0.2">
      <c r="B216" s="65" t="s">
        <v>758</v>
      </c>
      <c r="C216" s="74"/>
      <c r="D216" s="75">
        <f>IF(D214=FALSE,$C210*D213*(1+$C$14),$C210*(1+$C$14))</f>
        <v>0</v>
      </c>
      <c r="E216" s="75">
        <f>IF(E214=FALSE,$C210*E213*(1+$C$14)*(1+$C$14),$C210*(1+$C$14)*(1+$C$14))</f>
        <v>0</v>
      </c>
      <c r="F216" s="75">
        <f>IF(F214=FALSE,$C210*F213*(1+$C$14)*(1+$C$14)*(1+$C$14),$C210*(1+$C$14)*(1+$C$14)*(1+$C$14))</f>
        <v>0</v>
      </c>
      <c r="G216" s="75">
        <f>IF(G214=FALSE,$C210*G213*(1+$C$14)*(1+$C$14)*(1+$C$14)*(1+$C$14),$C210*(1+$C$14)*(1+$C$14)*(1+$C$14)*(1+$C$14))</f>
        <v>0</v>
      </c>
      <c r="H216" s="75">
        <f>IF(H214=FALSE,$C210*H213*(1+$C$14)*(1+$C$14)*(1+$C$14)*(1+$C$14)*(1+$C$14),$C210*(1+$C$14)*(1+$C$14)*(1+$C$14)*(1+$C$14)*(1+$C$14))</f>
        <v>0</v>
      </c>
      <c r="I216" s="75">
        <f>IF(I214=FALSE,$C210*I213*(1+$C$14)*(1+$C$14)*(1+$C$14)*(1+$C$14)*(1+$C$14)*(1+$C$14),$C210*(1+$C$14)*(1+$C$14)*(1+$C$14)*(1+$C$14)*(1+$C$14)*(1+$C$14))</f>
        <v>0</v>
      </c>
      <c r="J216" s="75">
        <f>IF(J214=FALSE,$C210*J213*(1+$C$14)*(1+$C$14)*(1+$C$14)*(1+$C$14)*(1+$C$14)*(1+$C$14)*(1+$C$14),$C210*(1+$C$14)*(1+$C$14)*(1+$C$14)*(1+$C$14)*(1+$C$14)*(1+$C$14)*(1+$C$14))</f>
        <v>0</v>
      </c>
      <c r="K216" s="75">
        <f>IF(K214=FALSE,$C210*K213*(1+$C$14)*(1+$C$14)*(1+$C$14)*(1+$C$14)*(1+$C$14)*(1+$C$14)*(1+$C$14)*(1+$C$14),$C210*(1+$C$14)*(1+$C$14)*(1+$C$14)*(1+$C$14)*(1+$C$14)*(1+$C$14)*(1+$C$14)*(1+$C$14))</f>
        <v>0</v>
      </c>
      <c r="L216" s="75">
        <f>IF(L214=FALSE,$C210*L213*(1+$C$14)*(1+$C$14)*(1+$C$14)*(1+$C$14)*(1+$C$14)*(1+$C$14)*(1+$C$14)*(1+$C$14)*(1+$C$14),$C210*(1+$C$14)*(1+$C$14)*(1+$C$14)*(1+$C$14)*(1+$C$14)*(1+$C$14)*(1+$C$14)*(1+$C$14)*(1+$C$14))</f>
        <v>0</v>
      </c>
      <c r="M216" s="75">
        <f>IF(M214=FALSE,$C210*M213*(1+$C$14)*(1+$C$14)*(1+$C$14)*(1+$C$14)*(1+$C$14)*(1+$C$14)*(1+$C$14)*(1+$C$14)*(1+$C$14)*(1+$C$14),$C210*(1+$C$14)*(1+$C$14)*(1+$C$14)*(1+$C$14)*(1+$C$14)*(1+$C$14)*(1+$C$14)*(1+$C$14)*(1+$C$14)*(1+$C$14))</f>
        <v>0</v>
      </c>
    </row>
    <row r="217" spans="2:14" x14ac:dyDescent="0.2">
      <c r="B217" s="65" t="s">
        <v>759</v>
      </c>
      <c r="C217" s="74"/>
      <c r="D217" s="84">
        <f>SUM(D215:D216)</f>
        <v>0</v>
      </c>
      <c r="E217" s="84">
        <f t="shared" ref="E217:M217" si="208">SUM(E215:E216)</f>
        <v>0</v>
      </c>
      <c r="F217" s="84">
        <f t="shared" si="208"/>
        <v>0</v>
      </c>
      <c r="G217" s="84">
        <f t="shared" si="208"/>
        <v>0</v>
      </c>
      <c r="H217" s="84">
        <f t="shared" si="208"/>
        <v>0</v>
      </c>
      <c r="I217" s="84">
        <f t="shared" si="208"/>
        <v>0</v>
      </c>
      <c r="J217" s="84">
        <f t="shared" si="208"/>
        <v>0</v>
      </c>
      <c r="K217" s="84">
        <f t="shared" si="208"/>
        <v>0</v>
      </c>
      <c r="L217" s="84">
        <f t="shared" si="208"/>
        <v>0</v>
      </c>
      <c r="M217" s="84">
        <f t="shared" si="208"/>
        <v>0</v>
      </c>
    </row>
    <row r="218" spans="2:14" x14ac:dyDescent="0.2">
      <c r="B218" s="65" t="s">
        <v>373</v>
      </c>
      <c r="C218" s="75">
        <f>IF(C208="No",0,C210*$C$176)</f>
        <v>0</v>
      </c>
      <c r="D218" s="76">
        <f>C218</f>
        <v>0</v>
      </c>
      <c r="E218" s="77">
        <f>IF($C208="No",0,IF($C209="No",D217*$C$176,D215*$C$176))</f>
        <v>0</v>
      </c>
      <c r="F218" s="77">
        <f t="shared" ref="F218:M218" si="209">IF($C208="No",0,IF($C209="No",E217*$C$176,E215*$C$176))</f>
        <v>0</v>
      </c>
      <c r="G218" s="77">
        <f t="shared" si="209"/>
        <v>0</v>
      </c>
      <c r="H218" s="77">
        <f t="shared" si="209"/>
        <v>0</v>
      </c>
      <c r="I218" s="77">
        <f t="shared" si="209"/>
        <v>0</v>
      </c>
      <c r="J218" s="77">
        <f t="shared" si="209"/>
        <v>0</v>
      </c>
      <c r="K218" s="77">
        <f t="shared" si="209"/>
        <v>0</v>
      </c>
      <c r="L218" s="77">
        <f t="shared" si="209"/>
        <v>0</v>
      </c>
      <c r="M218" s="78">
        <f t="shared" si="209"/>
        <v>0</v>
      </c>
    </row>
    <row r="220" spans="2:14" x14ac:dyDescent="0.2">
      <c r="B220" s="71" t="s">
        <v>760</v>
      </c>
      <c r="C220" s="71"/>
      <c r="D220" s="71"/>
      <c r="E220" s="71"/>
      <c r="F220" s="71"/>
      <c r="G220" s="71"/>
      <c r="H220" s="71"/>
      <c r="I220" s="71"/>
      <c r="J220" s="71"/>
      <c r="K220" s="71"/>
      <c r="L220" s="71"/>
      <c r="M220" s="71"/>
    </row>
    <row r="221" spans="2:14" x14ac:dyDescent="0.2">
      <c r="B221" s="65" t="s">
        <v>684</v>
      </c>
      <c r="C221" s="72">
        <f>'Benchmark Assumptions'!K48</f>
        <v>240</v>
      </c>
    </row>
    <row r="222" spans="2:14" x14ac:dyDescent="0.2">
      <c r="B222" s="80"/>
    </row>
    <row r="223" spans="2:14" x14ac:dyDescent="0.2">
      <c r="B223" s="61" t="s">
        <v>733</v>
      </c>
    </row>
    <row r="224" spans="2:14" ht="5.25" customHeight="1" x14ac:dyDescent="0.2"/>
    <row r="225" spans="2:14" x14ac:dyDescent="0.2">
      <c r="B225" s="65" t="s">
        <v>718</v>
      </c>
      <c r="C225" s="82" t="str">
        <f>'2a-Consumption Plan Wk1'!E42</f>
        <v>No</v>
      </c>
    </row>
    <row r="226" spans="2:14" x14ac:dyDescent="0.2">
      <c r="B226" s="65" t="s">
        <v>761</v>
      </c>
      <c r="C226" s="82" t="str">
        <f>'2a-Consumption Plan Wk1'!E46</f>
        <v>No</v>
      </c>
    </row>
    <row r="227" spans="2:14" x14ac:dyDescent="0.2">
      <c r="B227" s="65" t="s">
        <v>756</v>
      </c>
      <c r="C227" s="84">
        <f>'1-Client Variables'!D61</f>
        <v>0</v>
      </c>
      <c r="D227" s="60" t="s">
        <v>742</v>
      </c>
    </row>
    <row r="228" spans="2:14" ht="5.25" customHeight="1" x14ac:dyDescent="0.2"/>
    <row r="229" spans="2:14" x14ac:dyDescent="0.2">
      <c r="B229" s="80"/>
      <c r="C229" s="73" t="s">
        <v>332</v>
      </c>
      <c r="D229" s="63">
        <v>1</v>
      </c>
      <c r="E229" s="63">
        <f>D229+1</f>
        <v>2</v>
      </c>
      <c r="F229" s="63">
        <f t="shared" ref="F229" si="210">E229+1</f>
        <v>3</v>
      </c>
      <c r="G229" s="63">
        <f t="shared" ref="G229" si="211">F229+1</f>
        <v>4</v>
      </c>
      <c r="H229" s="63">
        <f>G229+1</f>
        <v>5</v>
      </c>
      <c r="I229" s="63">
        <f>H229+1</f>
        <v>6</v>
      </c>
      <c r="J229" s="63">
        <f>I229+1</f>
        <v>7</v>
      </c>
      <c r="K229" s="63">
        <f t="shared" ref="K229" si="212">J229+1</f>
        <v>8</v>
      </c>
      <c r="L229" s="63">
        <f t="shared" ref="L229" si="213">K229+1</f>
        <v>9</v>
      </c>
      <c r="M229" s="63">
        <f t="shared" ref="M229" si="214">L229+1</f>
        <v>10</v>
      </c>
    </row>
    <row r="230" spans="2:14" x14ac:dyDescent="0.2">
      <c r="B230" s="65" t="s">
        <v>734</v>
      </c>
      <c r="C230" s="74"/>
      <c r="D230" s="69">
        <f>'2a-Consumption Plan Wk1'!E$17</f>
        <v>0.4</v>
      </c>
      <c r="E230" s="69">
        <f>'2a-Consumption Plan Wk1'!F$17</f>
        <v>0.8</v>
      </c>
      <c r="F230" s="69">
        <f>'2a-Consumption Plan Wk1'!G$17</f>
        <v>1</v>
      </c>
      <c r="G230" s="69">
        <f>'2a-Consumption Plan Wk1'!H$17</f>
        <v>1</v>
      </c>
      <c r="H230" s="69">
        <f>'2a-Consumption Plan Wk1'!I$17</f>
        <v>1</v>
      </c>
      <c r="I230" s="69">
        <f>'2a-Consumption Plan Wk1'!J$17</f>
        <v>1</v>
      </c>
      <c r="J230" s="69">
        <f>'2a-Consumption Plan Wk1'!K$17</f>
        <v>1</v>
      </c>
      <c r="K230" s="69">
        <f>'2a-Consumption Plan Wk1'!L$17</f>
        <v>1</v>
      </c>
      <c r="L230" s="69">
        <f>'2a-Consumption Plan Wk1'!M$17</f>
        <v>1</v>
      </c>
      <c r="M230" s="69">
        <f>'2a-Consumption Plan Wk1'!N$17</f>
        <v>1</v>
      </c>
    </row>
    <row r="231" spans="2:14" x14ac:dyDescent="0.2">
      <c r="B231" s="65" t="s">
        <v>745</v>
      </c>
      <c r="C231" s="74"/>
      <c r="D231" s="82" t="b">
        <f>IF(D230=1,TRUE,FALSE)</f>
        <v>0</v>
      </c>
      <c r="E231" s="82" t="b">
        <f t="shared" ref="E231:M231" si="215">IF(E230=1,TRUE,FALSE)</f>
        <v>0</v>
      </c>
      <c r="F231" s="82" t="b">
        <f t="shared" si="215"/>
        <v>1</v>
      </c>
      <c r="G231" s="82" t="b">
        <f t="shared" si="215"/>
        <v>1</v>
      </c>
      <c r="H231" s="82" t="b">
        <f t="shared" si="215"/>
        <v>1</v>
      </c>
      <c r="I231" s="82" t="b">
        <f t="shared" si="215"/>
        <v>1</v>
      </c>
      <c r="J231" s="82" t="b">
        <f t="shared" si="215"/>
        <v>1</v>
      </c>
      <c r="K231" s="82" t="b">
        <f t="shared" si="215"/>
        <v>1</v>
      </c>
      <c r="L231" s="82" t="b">
        <f t="shared" si="215"/>
        <v>1</v>
      </c>
      <c r="M231" s="82" t="b">
        <f t="shared" si="215"/>
        <v>1</v>
      </c>
      <c r="N231" s="83"/>
    </row>
    <row r="232" spans="2:14" x14ac:dyDescent="0.2">
      <c r="B232" s="65" t="s">
        <v>757</v>
      </c>
      <c r="C232" s="74"/>
      <c r="D232" s="75">
        <f>IF(D231=FALSE,$C227*(1-D230)*(1+$C$14),0)</f>
        <v>0</v>
      </c>
      <c r="E232" s="75">
        <f>IF(E231=FALSE,$C227*(1-E230)*(1+$C$14)*(1+$C$14),0)</f>
        <v>0</v>
      </c>
      <c r="F232" s="75">
        <f>IF(F231=FALSE,$C227*(1-F230)*(1+$C$14)*(1+$C$14)*(1+$C$14),0)</f>
        <v>0</v>
      </c>
      <c r="G232" s="75">
        <f>IF(G231=FALSE,$C227*(1-G230)*(1+$C$14)*(1+$C$14)*(1+$C$14)*(1+$C$14),0)</f>
        <v>0</v>
      </c>
      <c r="H232" s="75">
        <f>IF(H231=FALSE,$C227*(1-H230)*(1+$C$14)*(1+$C$14)*(1+$C$14)*(1+$C$14)*(1+$C$14),0)</f>
        <v>0</v>
      </c>
      <c r="I232" s="75">
        <f>IF(I231=FALSE,$C227*(1-I230)*(1+$C$14)*(1+$C$14)*(1+$C$14)*(1+$C$14)*(1+$C$14)*(1+$C$14),0)</f>
        <v>0</v>
      </c>
      <c r="J232" s="75">
        <f>IF(J231=FALSE,$C227*(1-J230)*(1+$C$14)*(1+$C$14)*(1+$C$14)*(1+$C$14)*(1+$C$14)*(1+$C$14)*(1+$C$14),0)</f>
        <v>0</v>
      </c>
      <c r="K232" s="75">
        <f>IF(K231=FALSE,$C227*(1-K230)*(1+$C$14)*(1+$C$14)*(1+$C$14)*(1+$C$14)*(1+$C$14)*(1+$C$14)*(1+$C$14)*(1+$C$14),0)</f>
        <v>0</v>
      </c>
      <c r="L232" s="75">
        <f>IF(L231=FALSE,$C227*(1-L230)*(1+$C$14)*(1+$C$14)*(1+$C$14)*(1+$C$14)*(1+$C$14)*(1+$C$14)*(1+$C$14)*(1+$C$14)*(1+$C$14),0)</f>
        <v>0</v>
      </c>
      <c r="M232" s="75">
        <f>IF(M231=FALSE,$C227*(1-M230)*(1+$C$14)*(1+$C$14)*(1+$C$14)*(1+$C$14)*(1+$C$14)*(1+$C$14)*(1+$C$14)*(1+$C$14)*(1+$C$14)*(1+$C$14),0)</f>
        <v>0</v>
      </c>
      <c r="N232" s="83"/>
    </row>
    <row r="233" spans="2:14" x14ac:dyDescent="0.2">
      <c r="B233" s="65" t="s">
        <v>758</v>
      </c>
      <c r="C233" s="74"/>
      <c r="D233" s="75">
        <f>IF(D231=FALSE,$C227*D230*(1+$C$14),$C227*(1+$C$14))</f>
        <v>0</v>
      </c>
      <c r="E233" s="75">
        <f>IF(E231=FALSE,$C227*E230*(1+$C$14)*(1+$C$14),$C227*(1+$C$14)*(1+$C$14))</f>
        <v>0</v>
      </c>
      <c r="F233" s="75">
        <f>IF(F231=FALSE,$C227*F230*(1+$C$14)*(1+$C$14)*(1+$C$14),$C227*(1+$C$14)*(1+$C$14)*(1+$C$14))</f>
        <v>0</v>
      </c>
      <c r="G233" s="75">
        <f>IF(G231=FALSE,$C227*G230*(1+$C$14)*(1+$C$14)*(1+$C$14)*(1+$C$14),$C227*(1+$C$14)*(1+$C$14)*(1+$C$14)*(1+$C$14))</f>
        <v>0</v>
      </c>
      <c r="H233" s="75">
        <f>IF(H231=FALSE,$C227*H230*(1+$C$14)*(1+$C$14)*(1+$C$14)*(1+$C$14)*(1+$C$14),$C227*(1+$C$14)*(1+$C$14)*(1+$C$14)*(1+$C$14)*(1+$C$14))</f>
        <v>0</v>
      </c>
      <c r="I233" s="75">
        <f>IF(I231=FALSE,$C227*I230*(1+$C$14)*(1+$C$14)*(1+$C$14)*(1+$C$14)*(1+$C$14)*(1+$C$14),$C227*(1+$C$14)*(1+$C$14)*(1+$C$14)*(1+$C$14)*(1+$C$14)*(1+$C$14))</f>
        <v>0</v>
      </c>
      <c r="J233" s="75">
        <f>IF(J231=FALSE,$C227*J230*(1+$C$14)*(1+$C$14)*(1+$C$14)*(1+$C$14)*(1+$C$14)*(1+$C$14)*(1+$C$14),$C227*(1+$C$14)*(1+$C$14)*(1+$C$14)*(1+$C$14)*(1+$C$14)*(1+$C$14)*(1+$C$14))</f>
        <v>0</v>
      </c>
      <c r="K233" s="75">
        <f>IF(K231=FALSE,$C227*K230*(1+$C$14)*(1+$C$14)*(1+$C$14)*(1+$C$14)*(1+$C$14)*(1+$C$14)*(1+$C$14)*(1+$C$14),$C227*(1+$C$14)*(1+$C$14)*(1+$C$14)*(1+$C$14)*(1+$C$14)*(1+$C$14)*(1+$C$14)*(1+$C$14))</f>
        <v>0</v>
      </c>
      <c r="L233" s="75">
        <f>IF(L231=FALSE,$C227*L230*(1+$C$14)*(1+$C$14)*(1+$C$14)*(1+$C$14)*(1+$C$14)*(1+$C$14)*(1+$C$14)*(1+$C$14)*(1+$C$14),$C227*(1+$C$14)*(1+$C$14)*(1+$C$14)*(1+$C$14)*(1+$C$14)*(1+$C$14)*(1+$C$14)*(1+$C$14)*(1+$C$14))</f>
        <v>0</v>
      </c>
      <c r="M233" s="75">
        <f>IF(M231=FALSE,$C227*M230*(1+$C$14)*(1+$C$14)*(1+$C$14)*(1+$C$14)*(1+$C$14)*(1+$C$14)*(1+$C$14)*(1+$C$14)*(1+$C$14)*(1+$C$14),$C227*(1+$C$14)*(1+$C$14)*(1+$C$14)*(1+$C$14)*(1+$C$14)*(1+$C$14)*(1+$C$14)*(1+$C$14)*(1+$C$14)*(1+$C$14))</f>
        <v>0</v>
      </c>
      <c r="N233" s="83"/>
    </row>
    <row r="234" spans="2:14" x14ac:dyDescent="0.2">
      <c r="B234" s="65" t="s">
        <v>759</v>
      </c>
      <c r="C234" s="74"/>
      <c r="D234" s="84">
        <f>SUM(D232:D233)</f>
        <v>0</v>
      </c>
      <c r="E234" s="84">
        <f>SUM(E232:E233)</f>
        <v>0</v>
      </c>
      <c r="F234" s="84">
        <f t="shared" ref="F234:M234" si="216">SUM(F232:F233)</f>
        <v>0</v>
      </c>
      <c r="G234" s="84">
        <f t="shared" si="216"/>
        <v>0</v>
      </c>
      <c r="H234" s="84">
        <f t="shared" si="216"/>
        <v>0</v>
      </c>
      <c r="I234" s="84">
        <f t="shared" si="216"/>
        <v>0</v>
      </c>
      <c r="J234" s="84">
        <f t="shared" si="216"/>
        <v>0</v>
      </c>
      <c r="K234" s="84">
        <f t="shared" si="216"/>
        <v>0</v>
      </c>
      <c r="L234" s="84">
        <f t="shared" si="216"/>
        <v>0</v>
      </c>
      <c r="M234" s="84">
        <f t="shared" si="216"/>
        <v>0</v>
      </c>
    </row>
    <row r="235" spans="2:14" x14ac:dyDescent="0.2">
      <c r="B235" s="65" t="s">
        <v>373</v>
      </c>
      <c r="C235" s="75">
        <f>IF(C225="No",0,C227*$C$221)</f>
        <v>0</v>
      </c>
      <c r="D235" s="76">
        <f>C235</f>
        <v>0</v>
      </c>
      <c r="E235" s="77">
        <f>IF($C225="No",0,IF($C226="No",D234*$C$221,D232*$C$221))</f>
        <v>0</v>
      </c>
      <c r="F235" s="77">
        <f t="shared" ref="F235:M235" si="217">IF($C225="No",0,IF($C226="No",E234*$C$221,E232*$C$221))</f>
        <v>0</v>
      </c>
      <c r="G235" s="77">
        <f t="shared" si="217"/>
        <v>0</v>
      </c>
      <c r="H235" s="77">
        <f t="shared" si="217"/>
        <v>0</v>
      </c>
      <c r="I235" s="77">
        <f t="shared" si="217"/>
        <v>0</v>
      </c>
      <c r="J235" s="77">
        <f t="shared" si="217"/>
        <v>0</v>
      </c>
      <c r="K235" s="77">
        <f t="shared" si="217"/>
        <v>0</v>
      </c>
      <c r="L235" s="77">
        <f t="shared" si="217"/>
        <v>0</v>
      </c>
      <c r="M235" s="78">
        <f t="shared" si="217"/>
        <v>0</v>
      </c>
      <c r="N235" s="79"/>
    </row>
    <row r="237" spans="2:14" x14ac:dyDescent="0.2">
      <c r="B237" s="61" t="s">
        <v>737</v>
      </c>
    </row>
    <row r="238" spans="2:14" ht="5.25" customHeight="1" x14ac:dyDescent="0.2"/>
    <row r="239" spans="2:14" x14ac:dyDescent="0.2">
      <c r="B239" s="65" t="s">
        <v>718</v>
      </c>
      <c r="C239" s="82" t="str">
        <f>'2b-Consumption Plan Wk2'!E42</f>
        <v>No</v>
      </c>
    </row>
    <row r="240" spans="2:14" x14ac:dyDescent="0.2">
      <c r="B240" s="65" t="s">
        <v>761</v>
      </c>
      <c r="C240" s="82" t="str">
        <f>'2b-Consumption Plan Wk2'!E46</f>
        <v>No</v>
      </c>
    </row>
    <row r="241" spans="2:14" x14ac:dyDescent="0.2">
      <c r="B241" s="65" t="s">
        <v>756</v>
      </c>
      <c r="C241" s="84">
        <f>'1-Client Variables'!D101</f>
        <v>0</v>
      </c>
      <c r="D241" s="60" t="s">
        <v>742</v>
      </c>
    </row>
    <row r="242" spans="2:14" ht="5.25" customHeight="1" x14ac:dyDescent="0.2"/>
    <row r="243" spans="2:14" x14ac:dyDescent="0.2">
      <c r="B243" s="80"/>
      <c r="C243" s="73" t="s">
        <v>332</v>
      </c>
      <c r="D243" s="63">
        <v>1</v>
      </c>
      <c r="E243" s="63">
        <f>D243+1</f>
        <v>2</v>
      </c>
      <c r="F243" s="63">
        <f t="shared" ref="F243" si="218">E243+1</f>
        <v>3</v>
      </c>
      <c r="G243" s="63">
        <f t="shared" ref="G243" si="219">F243+1</f>
        <v>4</v>
      </c>
      <c r="H243" s="63">
        <f>G243+1</f>
        <v>5</v>
      </c>
      <c r="I243" s="63">
        <f>H243+1</f>
        <v>6</v>
      </c>
      <c r="J243" s="63">
        <f>I243+1</f>
        <v>7</v>
      </c>
      <c r="K243" s="63">
        <f t="shared" ref="K243" si="220">J243+1</f>
        <v>8</v>
      </c>
      <c r="L243" s="63">
        <f t="shared" ref="L243" si="221">K243+1</f>
        <v>9</v>
      </c>
      <c r="M243" s="63">
        <f t="shared" ref="M243" si="222">L243+1</f>
        <v>10</v>
      </c>
    </row>
    <row r="244" spans="2:14" x14ac:dyDescent="0.2">
      <c r="B244" s="65" t="s">
        <v>734</v>
      </c>
      <c r="C244" s="74"/>
      <c r="D244" s="69">
        <f>'2b-Consumption Plan Wk2'!E$17</f>
        <v>0</v>
      </c>
      <c r="E244" s="69">
        <f>'2b-Consumption Plan Wk2'!F$17</f>
        <v>0</v>
      </c>
      <c r="F244" s="69">
        <f>'2b-Consumption Plan Wk2'!G$17</f>
        <v>0</v>
      </c>
      <c r="G244" s="69">
        <f>'2b-Consumption Plan Wk2'!H$17</f>
        <v>0</v>
      </c>
      <c r="H244" s="69">
        <f>'2b-Consumption Plan Wk2'!I$17</f>
        <v>0</v>
      </c>
      <c r="I244" s="69">
        <f>'2b-Consumption Plan Wk2'!J$17</f>
        <v>0</v>
      </c>
      <c r="J244" s="69">
        <f>'2b-Consumption Plan Wk2'!K$17</f>
        <v>0</v>
      </c>
      <c r="K244" s="69">
        <f>'2b-Consumption Plan Wk2'!L$17</f>
        <v>0</v>
      </c>
      <c r="L244" s="69">
        <f>'2b-Consumption Plan Wk2'!M$17</f>
        <v>0</v>
      </c>
      <c r="M244" s="69">
        <f>'2b-Consumption Plan Wk2'!N$17</f>
        <v>0</v>
      </c>
    </row>
    <row r="245" spans="2:14" x14ac:dyDescent="0.2">
      <c r="B245" s="65" t="s">
        <v>745</v>
      </c>
      <c r="C245" s="74"/>
      <c r="D245" s="82" t="b">
        <f>IF(D244=1,TRUE,FALSE)</f>
        <v>0</v>
      </c>
      <c r="E245" s="82" t="b">
        <f t="shared" ref="E245:M245" si="223">IF(E244=1,TRUE,FALSE)</f>
        <v>0</v>
      </c>
      <c r="F245" s="82" t="b">
        <f t="shared" si="223"/>
        <v>0</v>
      </c>
      <c r="G245" s="82" t="b">
        <f t="shared" si="223"/>
        <v>0</v>
      </c>
      <c r="H245" s="82" t="b">
        <f t="shared" si="223"/>
        <v>0</v>
      </c>
      <c r="I245" s="82" t="b">
        <f t="shared" si="223"/>
        <v>0</v>
      </c>
      <c r="J245" s="82" t="b">
        <f t="shared" si="223"/>
        <v>0</v>
      </c>
      <c r="K245" s="82" t="b">
        <f t="shared" si="223"/>
        <v>0</v>
      </c>
      <c r="L245" s="82" t="b">
        <f t="shared" si="223"/>
        <v>0</v>
      </c>
      <c r="M245" s="82" t="b">
        <f t="shared" si="223"/>
        <v>0</v>
      </c>
      <c r="N245" s="83"/>
    </row>
    <row r="246" spans="2:14" x14ac:dyDescent="0.2">
      <c r="B246" s="65" t="s">
        <v>757</v>
      </c>
      <c r="C246" s="74"/>
      <c r="D246" s="75">
        <f>IF(D245=FALSE,$C241*(1-D244)*(1+$C$14),0)</f>
        <v>0</v>
      </c>
      <c r="E246" s="75">
        <f>IF(E245=FALSE,$C241*(1-E244)*(1+$C$14)*(1+$C$14),0)</f>
        <v>0</v>
      </c>
      <c r="F246" s="75">
        <f>IF(F245=FALSE,$C241*(1-F244)*(1+$C$14)*(1+$C$14)*(1+$C$14),0)</f>
        <v>0</v>
      </c>
      <c r="G246" s="75">
        <f>IF(G245=FALSE,$C241*(1-G244)*(1+$C$14)*(1+$C$14)*(1+$C$14)*(1+$C$14),0)</f>
        <v>0</v>
      </c>
      <c r="H246" s="75">
        <f>IF(H245=FALSE,$C241*(1-H244)*(1+$C$14)*(1+$C$14)*(1+$C$14)*(1+$C$14)*(1+$C$14),0)</f>
        <v>0</v>
      </c>
      <c r="I246" s="75">
        <f>IF(I245=FALSE,$C241*(1-I244)*(1+$C$14)*(1+$C$14)*(1+$C$14)*(1+$C$14)*(1+$C$14)*(1+$C$14),0)</f>
        <v>0</v>
      </c>
      <c r="J246" s="75">
        <f>IF(J245=FALSE,$C241*(1-J244)*(1+$C$14)*(1+$C$14)*(1+$C$14)*(1+$C$14)*(1+$C$14)*(1+$C$14)*(1+$C$14),0)</f>
        <v>0</v>
      </c>
      <c r="K246" s="75">
        <f>IF(K245=FALSE,$C241*(1-K244)*(1+$C$14)*(1+$C$14)*(1+$C$14)*(1+$C$14)*(1+$C$14)*(1+$C$14)*(1+$C$14)*(1+$C$14),0)</f>
        <v>0</v>
      </c>
      <c r="L246" s="75">
        <f>IF(L245=FALSE,$C241*(1-L244)*(1+$C$14)*(1+$C$14)*(1+$C$14)*(1+$C$14)*(1+$C$14)*(1+$C$14)*(1+$C$14)*(1+$C$14)*(1+$C$14),0)</f>
        <v>0</v>
      </c>
      <c r="M246" s="75">
        <f>IF(M245=FALSE,$C241*(1-M244)*(1+$C$14)*(1+$C$14)*(1+$C$14)*(1+$C$14)*(1+$C$14)*(1+$C$14)*(1+$C$14)*(1+$C$14)*(1+$C$14)*(1+$C$14),0)</f>
        <v>0</v>
      </c>
      <c r="N246" s="83"/>
    </row>
    <row r="247" spans="2:14" x14ac:dyDescent="0.2">
      <c r="B247" s="65" t="s">
        <v>758</v>
      </c>
      <c r="C247" s="74"/>
      <c r="D247" s="75">
        <f>IF(D245=FALSE,$C241*D244*(1+$C$14),$C241*(1+$C$14))</f>
        <v>0</v>
      </c>
      <c r="E247" s="75">
        <f>IF(E245=FALSE,$C241*E244*(1+$C$14)*(1+$C$14),$C241*(1+$C$14)*(1+$C$14))</f>
        <v>0</v>
      </c>
      <c r="F247" s="75">
        <f>IF(F245=FALSE,$C241*F244*(1+$C$14)*(1+$C$14)*(1+$C$14),$C241*(1+$C$14)*(1+$C$14)*(1+$C$14))</f>
        <v>0</v>
      </c>
      <c r="G247" s="75">
        <f>IF(G245=FALSE,$C241*G244*(1+$C$14)*(1+$C$14)*(1+$C$14)*(1+$C$14),$C241*(1+$C$14)*(1+$C$14)*(1+$C$14)*(1+$C$14))</f>
        <v>0</v>
      </c>
      <c r="H247" s="75">
        <f>IF(H245=FALSE,$C241*H244*(1+$C$14)*(1+$C$14)*(1+$C$14)*(1+$C$14)*(1+$C$14),$C241*(1+$C$14)*(1+$C$14)*(1+$C$14)*(1+$C$14)*(1+$C$14))</f>
        <v>0</v>
      </c>
      <c r="I247" s="75">
        <f>IF(I245=FALSE,$C241*I244*(1+$C$14)*(1+$C$14)*(1+$C$14)*(1+$C$14)*(1+$C$14)*(1+$C$14),$C241*(1+$C$14)*(1+$C$14)*(1+$C$14)*(1+$C$14)*(1+$C$14)*(1+$C$14))</f>
        <v>0</v>
      </c>
      <c r="J247" s="75">
        <f>IF(J245=FALSE,$C241*J244*(1+$C$14)*(1+$C$14)*(1+$C$14)*(1+$C$14)*(1+$C$14)*(1+$C$14)*(1+$C$14),$C241*(1+$C$14)*(1+$C$14)*(1+$C$14)*(1+$C$14)*(1+$C$14)*(1+$C$14)*(1+$C$14))</f>
        <v>0</v>
      </c>
      <c r="K247" s="75">
        <f>IF(K245=FALSE,$C241*K244*(1+$C$14)*(1+$C$14)*(1+$C$14)*(1+$C$14)*(1+$C$14)*(1+$C$14)*(1+$C$14)*(1+$C$14),$C241*(1+$C$14)*(1+$C$14)*(1+$C$14)*(1+$C$14)*(1+$C$14)*(1+$C$14)*(1+$C$14)*(1+$C$14))</f>
        <v>0</v>
      </c>
      <c r="L247" s="75">
        <f>IF(L245=FALSE,$C241*L244*(1+$C$14)*(1+$C$14)*(1+$C$14)*(1+$C$14)*(1+$C$14)*(1+$C$14)*(1+$C$14)*(1+$C$14)*(1+$C$14),$C241*(1+$C$14)*(1+$C$14)*(1+$C$14)*(1+$C$14)*(1+$C$14)*(1+$C$14)*(1+$C$14)*(1+$C$14)*(1+$C$14))</f>
        <v>0</v>
      </c>
      <c r="M247" s="75">
        <f>IF(M245=FALSE,$C241*M244*(1+$C$14)*(1+$C$14)*(1+$C$14)*(1+$C$14)*(1+$C$14)*(1+$C$14)*(1+$C$14)*(1+$C$14)*(1+$C$14)*(1+$C$14),$C241*(1+$C$14)*(1+$C$14)*(1+$C$14)*(1+$C$14)*(1+$C$14)*(1+$C$14)*(1+$C$14)*(1+$C$14)*(1+$C$14)*(1+$C$14))</f>
        <v>0</v>
      </c>
      <c r="N247" s="83"/>
    </row>
    <row r="248" spans="2:14" x14ac:dyDescent="0.2">
      <c r="B248" s="65" t="s">
        <v>759</v>
      </c>
      <c r="C248" s="74"/>
      <c r="D248" s="84">
        <f>SUM(D246:D247)</f>
        <v>0</v>
      </c>
      <c r="E248" s="84">
        <f t="shared" ref="E248:M248" si="224">SUM(E246:E247)</f>
        <v>0</v>
      </c>
      <c r="F248" s="84">
        <f t="shared" si="224"/>
        <v>0</v>
      </c>
      <c r="G248" s="84">
        <f t="shared" si="224"/>
        <v>0</v>
      </c>
      <c r="H248" s="84">
        <f t="shared" si="224"/>
        <v>0</v>
      </c>
      <c r="I248" s="84">
        <f t="shared" si="224"/>
        <v>0</v>
      </c>
      <c r="J248" s="84">
        <f t="shared" si="224"/>
        <v>0</v>
      </c>
      <c r="K248" s="84">
        <f t="shared" si="224"/>
        <v>0</v>
      </c>
      <c r="L248" s="84">
        <f t="shared" si="224"/>
        <v>0</v>
      </c>
      <c r="M248" s="84">
        <f t="shared" si="224"/>
        <v>0</v>
      </c>
    </row>
    <row r="249" spans="2:14" x14ac:dyDescent="0.2">
      <c r="B249" s="65" t="s">
        <v>373</v>
      </c>
      <c r="C249" s="75">
        <f>IF(C239="No",0,C241*$C$221)</f>
        <v>0</v>
      </c>
      <c r="D249" s="76">
        <f>C249</f>
        <v>0</v>
      </c>
      <c r="E249" s="77">
        <f>IF($C239="No",0,IF($C240="No",D248*$C$221,D246*$C$221))</f>
        <v>0</v>
      </c>
      <c r="F249" s="77">
        <f t="shared" ref="F249:M249" si="225">IF($C239="No",0,IF($C240="No",E248*$C$221,E246*$C$221))</f>
        <v>0</v>
      </c>
      <c r="G249" s="77">
        <f t="shared" si="225"/>
        <v>0</v>
      </c>
      <c r="H249" s="77">
        <f t="shared" si="225"/>
        <v>0</v>
      </c>
      <c r="I249" s="77">
        <f t="shared" si="225"/>
        <v>0</v>
      </c>
      <c r="J249" s="77">
        <f t="shared" si="225"/>
        <v>0</v>
      </c>
      <c r="K249" s="77">
        <f t="shared" si="225"/>
        <v>0</v>
      </c>
      <c r="L249" s="77">
        <f t="shared" si="225"/>
        <v>0</v>
      </c>
      <c r="M249" s="78">
        <f t="shared" si="225"/>
        <v>0</v>
      </c>
    </row>
    <row r="251" spans="2:14" x14ac:dyDescent="0.2">
      <c r="B251" s="61" t="s">
        <v>738</v>
      </c>
    </row>
    <row r="252" spans="2:14" ht="5.25" customHeight="1" x14ac:dyDescent="0.2"/>
    <row r="253" spans="2:14" x14ac:dyDescent="0.2">
      <c r="B253" s="65" t="s">
        <v>718</v>
      </c>
      <c r="C253" s="82" t="str">
        <f>'2c-Consumption Plan Wk3'!E42</f>
        <v>No</v>
      </c>
    </row>
    <row r="254" spans="2:14" x14ac:dyDescent="0.2">
      <c r="B254" s="65" t="s">
        <v>761</v>
      </c>
      <c r="C254" s="82" t="str">
        <f>'2c-Consumption Plan Wk3'!E46</f>
        <v>No</v>
      </c>
    </row>
    <row r="255" spans="2:14" x14ac:dyDescent="0.2">
      <c r="B255" s="65" t="s">
        <v>756</v>
      </c>
      <c r="C255" s="84">
        <f>'1-Client Variables'!D140</f>
        <v>0</v>
      </c>
      <c r="D255" s="60" t="s">
        <v>742</v>
      </c>
    </row>
    <row r="256" spans="2:14" ht="5.25" customHeight="1" x14ac:dyDescent="0.2"/>
    <row r="257" spans="2:14" x14ac:dyDescent="0.2">
      <c r="B257" s="80"/>
      <c r="C257" s="73" t="s">
        <v>332</v>
      </c>
      <c r="D257" s="63">
        <v>1</v>
      </c>
      <c r="E257" s="63">
        <f>D257+1</f>
        <v>2</v>
      </c>
      <c r="F257" s="63">
        <f t="shared" ref="F257" si="226">E257+1</f>
        <v>3</v>
      </c>
      <c r="G257" s="63">
        <f t="shared" ref="G257" si="227">F257+1</f>
        <v>4</v>
      </c>
      <c r="H257" s="63">
        <f>G257+1</f>
        <v>5</v>
      </c>
      <c r="I257" s="63">
        <f>H257+1</f>
        <v>6</v>
      </c>
      <c r="J257" s="63">
        <f>I257+1</f>
        <v>7</v>
      </c>
      <c r="K257" s="63">
        <f t="shared" ref="K257" si="228">J257+1</f>
        <v>8</v>
      </c>
      <c r="L257" s="63">
        <f t="shared" ref="L257" si="229">K257+1</f>
        <v>9</v>
      </c>
      <c r="M257" s="63">
        <f t="shared" ref="M257" si="230">L257+1</f>
        <v>10</v>
      </c>
    </row>
    <row r="258" spans="2:14" x14ac:dyDescent="0.2">
      <c r="B258" s="65" t="s">
        <v>734</v>
      </c>
      <c r="C258" s="74"/>
      <c r="D258" s="69">
        <f>'2c-Consumption Plan Wk3'!E$17</f>
        <v>0</v>
      </c>
      <c r="E258" s="69">
        <f>'2c-Consumption Plan Wk3'!F$17</f>
        <v>0</v>
      </c>
      <c r="F258" s="69">
        <f>'2c-Consumption Plan Wk3'!G$17</f>
        <v>0</v>
      </c>
      <c r="G258" s="69">
        <f>'2c-Consumption Plan Wk3'!H$17</f>
        <v>0</v>
      </c>
      <c r="H258" s="69">
        <f>'2c-Consumption Plan Wk3'!I$17</f>
        <v>0</v>
      </c>
      <c r="I258" s="69">
        <f>'2c-Consumption Plan Wk3'!J$17</f>
        <v>0</v>
      </c>
      <c r="J258" s="69">
        <f>'2c-Consumption Plan Wk3'!K$17</f>
        <v>0</v>
      </c>
      <c r="K258" s="69">
        <f>'2c-Consumption Plan Wk3'!L$17</f>
        <v>0</v>
      </c>
      <c r="L258" s="69">
        <f>'2c-Consumption Plan Wk3'!M$17</f>
        <v>0</v>
      </c>
      <c r="M258" s="69">
        <f>'2c-Consumption Plan Wk3'!N$17</f>
        <v>0</v>
      </c>
    </row>
    <row r="259" spans="2:14" x14ac:dyDescent="0.2">
      <c r="B259" s="65" t="s">
        <v>745</v>
      </c>
      <c r="C259" s="74"/>
      <c r="D259" s="82" t="b">
        <f>IF(D258=1,TRUE,FALSE)</f>
        <v>0</v>
      </c>
      <c r="E259" s="82" t="b">
        <f t="shared" ref="E259:M259" si="231">IF(E258=1,TRUE,FALSE)</f>
        <v>0</v>
      </c>
      <c r="F259" s="82" t="b">
        <f t="shared" si="231"/>
        <v>0</v>
      </c>
      <c r="G259" s="82" t="b">
        <f t="shared" si="231"/>
        <v>0</v>
      </c>
      <c r="H259" s="82" t="b">
        <f t="shared" si="231"/>
        <v>0</v>
      </c>
      <c r="I259" s="82" t="b">
        <f t="shared" si="231"/>
        <v>0</v>
      </c>
      <c r="J259" s="82" t="b">
        <f t="shared" si="231"/>
        <v>0</v>
      </c>
      <c r="K259" s="82" t="b">
        <f t="shared" si="231"/>
        <v>0</v>
      </c>
      <c r="L259" s="82" t="b">
        <f t="shared" si="231"/>
        <v>0</v>
      </c>
      <c r="M259" s="82" t="b">
        <f t="shared" si="231"/>
        <v>0</v>
      </c>
      <c r="N259" s="83"/>
    </row>
    <row r="260" spans="2:14" x14ac:dyDescent="0.2">
      <c r="B260" s="65" t="s">
        <v>757</v>
      </c>
      <c r="C260" s="74"/>
      <c r="D260" s="75">
        <f>IF(D259=FALSE,$C255*(1-D258)*(1+$C$14),0)</f>
        <v>0</v>
      </c>
      <c r="E260" s="75">
        <f>IF(E259=FALSE,$C255*(1-E258)*(1+$C$14)*(1+$C$14),0)</f>
        <v>0</v>
      </c>
      <c r="F260" s="75">
        <f>IF(F259=FALSE,$C255*(1-F258)*(1+$C$14)*(1+$C$14)*(1+$C$14),0)</f>
        <v>0</v>
      </c>
      <c r="G260" s="75">
        <f>IF(G259=FALSE,$C255*(1-G258)*(1+$C$14)*(1+$C$14)*(1+$C$14)*(1+$C$14),0)</f>
        <v>0</v>
      </c>
      <c r="H260" s="75">
        <f>IF(H259=FALSE,$C255*(1-H258)*(1+$C$14)*(1+$C$14)*(1+$C$14)*(1+$C$14)*(1+$C$14),0)</f>
        <v>0</v>
      </c>
      <c r="I260" s="75">
        <f>IF(I259=FALSE,$C255*(1-I258)*(1+$C$14)*(1+$C$14)*(1+$C$14)*(1+$C$14)*(1+$C$14)*(1+$C$14),0)</f>
        <v>0</v>
      </c>
      <c r="J260" s="75">
        <f>IF(J259=FALSE,$C255*(1-J258)*(1+$C$14)*(1+$C$14)*(1+$C$14)*(1+$C$14)*(1+$C$14)*(1+$C$14)*(1+$C$14),0)</f>
        <v>0</v>
      </c>
      <c r="K260" s="75">
        <f>IF(K259=FALSE,$C255*(1-K258)*(1+$C$14)*(1+$C$14)*(1+$C$14)*(1+$C$14)*(1+$C$14)*(1+$C$14)*(1+$C$14)*(1+$C$14),0)</f>
        <v>0</v>
      </c>
      <c r="L260" s="75">
        <f>IF(L259=FALSE,$C255*(1-L258)*(1+$C$14)*(1+$C$14)*(1+$C$14)*(1+$C$14)*(1+$C$14)*(1+$C$14)*(1+$C$14)*(1+$C$14)*(1+$C$14),0)</f>
        <v>0</v>
      </c>
      <c r="M260" s="75">
        <f>IF(M259=FALSE,$C255*(1-M258)*(1+$C$14)*(1+$C$14)*(1+$C$14)*(1+$C$14)*(1+$C$14)*(1+$C$14)*(1+$C$14)*(1+$C$14)*(1+$C$14)*(1+$C$14),0)</f>
        <v>0</v>
      </c>
    </row>
    <row r="261" spans="2:14" x14ac:dyDescent="0.2">
      <c r="B261" s="65" t="s">
        <v>758</v>
      </c>
      <c r="C261" s="74"/>
      <c r="D261" s="75">
        <f>IF(D259=FALSE,$C255*D258*(1+$C$14),$C255*(1+$C$14))</f>
        <v>0</v>
      </c>
      <c r="E261" s="75">
        <f>IF(E259=FALSE,$C255*E258*(1+$C$14)*(1+$C$14),$C255*(1+$C$14)*(1+$C$14))</f>
        <v>0</v>
      </c>
      <c r="F261" s="75">
        <f>IF(F259=FALSE,$C255*F258*(1+$C$14)*(1+$C$14)*(1+$C$14),$C255*(1+$C$14)*(1+$C$14)*(1+$C$14))</f>
        <v>0</v>
      </c>
      <c r="G261" s="75">
        <f>IF(G259=FALSE,$C255*G258*(1+$C$14)*(1+$C$14)*(1+$C$14)*(1+$C$14),$C255*(1+$C$14)*(1+$C$14)*(1+$C$14)*(1+$C$14))</f>
        <v>0</v>
      </c>
      <c r="H261" s="75">
        <f>IF(H259=FALSE,$C255*H258*(1+$C$14)*(1+$C$14)*(1+$C$14)*(1+$C$14)*(1+$C$14),$C255*(1+$C$14)*(1+$C$14)*(1+$C$14)*(1+$C$14)*(1+$C$14))</f>
        <v>0</v>
      </c>
      <c r="I261" s="75">
        <f>IF(I259=FALSE,$C255*I258*(1+$C$14)*(1+$C$14)*(1+$C$14)*(1+$C$14)*(1+$C$14)*(1+$C$14),$C255*(1+$C$14)*(1+$C$14)*(1+$C$14)*(1+$C$14)*(1+$C$14)*(1+$C$14))</f>
        <v>0</v>
      </c>
      <c r="J261" s="75">
        <f>IF(J259=FALSE,$C255*J258*(1+$C$14)*(1+$C$14)*(1+$C$14)*(1+$C$14)*(1+$C$14)*(1+$C$14)*(1+$C$14),$C255*(1+$C$14)*(1+$C$14)*(1+$C$14)*(1+$C$14)*(1+$C$14)*(1+$C$14)*(1+$C$14))</f>
        <v>0</v>
      </c>
      <c r="K261" s="75">
        <f>IF(K259=FALSE,$C255*K258*(1+$C$14)*(1+$C$14)*(1+$C$14)*(1+$C$14)*(1+$C$14)*(1+$C$14)*(1+$C$14)*(1+$C$14),$C255*(1+$C$14)*(1+$C$14)*(1+$C$14)*(1+$C$14)*(1+$C$14)*(1+$C$14)*(1+$C$14)*(1+$C$14))</f>
        <v>0</v>
      </c>
      <c r="L261" s="75">
        <f>IF(L259=FALSE,$C255*L258*(1+$C$14)*(1+$C$14)*(1+$C$14)*(1+$C$14)*(1+$C$14)*(1+$C$14)*(1+$C$14)*(1+$C$14)*(1+$C$14),$C255*(1+$C$14)*(1+$C$14)*(1+$C$14)*(1+$C$14)*(1+$C$14)*(1+$C$14)*(1+$C$14)*(1+$C$14)*(1+$C$14))</f>
        <v>0</v>
      </c>
      <c r="M261" s="75">
        <f>IF(M259=FALSE,$C255*M258*(1+$C$14)*(1+$C$14)*(1+$C$14)*(1+$C$14)*(1+$C$14)*(1+$C$14)*(1+$C$14)*(1+$C$14)*(1+$C$14)*(1+$C$14),$C255*(1+$C$14)*(1+$C$14)*(1+$C$14)*(1+$C$14)*(1+$C$14)*(1+$C$14)*(1+$C$14)*(1+$C$14)*(1+$C$14)*(1+$C$14))</f>
        <v>0</v>
      </c>
    </row>
    <row r="262" spans="2:14" x14ac:dyDescent="0.2">
      <c r="B262" s="65" t="s">
        <v>759</v>
      </c>
      <c r="C262" s="74"/>
      <c r="D262" s="84">
        <f>SUM(D260:D261)</f>
        <v>0</v>
      </c>
      <c r="E262" s="84">
        <f t="shared" ref="E262:M262" si="232">SUM(E260:E261)</f>
        <v>0</v>
      </c>
      <c r="F262" s="84">
        <f t="shared" si="232"/>
        <v>0</v>
      </c>
      <c r="G262" s="84">
        <f t="shared" si="232"/>
        <v>0</v>
      </c>
      <c r="H262" s="84">
        <f t="shared" si="232"/>
        <v>0</v>
      </c>
      <c r="I262" s="84">
        <f t="shared" si="232"/>
        <v>0</v>
      </c>
      <c r="J262" s="84">
        <f t="shared" si="232"/>
        <v>0</v>
      </c>
      <c r="K262" s="84">
        <f t="shared" si="232"/>
        <v>0</v>
      </c>
      <c r="L262" s="84">
        <f t="shared" si="232"/>
        <v>0</v>
      </c>
      <c r="M262" s="84">
        <f t="shared" si="232"/>
        <v>0</v>
      </c>
    </row>
    <row r="263" spans="2:14" x14ac:dyDescent="0.2">
      <c r="B263" s="65" t="s">
        <v>373</v>
      </c>
      <c r="C263" s="75">
        <f>IF(C253="No",0,C255*$C$221)</f>
        <v>0</v>
      </c>
      <c r="D263" s="76">
        <f>C263</f>
        <v>0</v>
      </c>
      <c r="E263" s="77">
        <f>IF($C253="No",0,IF($C254="No",D262*$C$221,D260*$C$221))</f>
        <v>0</v>
      </c>
      <c r="F263" s="77">
        <f t="shared" ref="F263:M263" si="233">IF($C253="No",0,IF($C254="No",E262*$C$221,E260*$C$221))</f>
        <v>0</v>
      </c>
      <c r="G263" s="77">
        <f t="shared" si="233"/>
        <v>0</v>
      </c>
      <c r="H263" s="77">
        <f t="shared" si="233"/>
        <v>0</v>
      </c>
      <c r="I263" s="77">
        <f t="shared" si="233"/>
        <v>0</v>
      </c>
      <c r="J263" s="77">
        <f t="shared" si="233"/>
        <v>0</v>
      </c>
      <c r="K263" s="77">
        <f t="shared" si="233"/>
        <v>0</v>
      </c>
      <c r="L263" s="77">
        <f t="shared" si="233"/>
        <v>0</v>
      </c>
      <c r="M263" s="78">
        <f t="shared" si="233"/>
        <v>0</v>
      </c>
    </row>
    <row r="266" spans="2:14" s="66" customFormat="1" x14ac:dyDescent="0.2">
      <c r="B266" s="66" t="s">
        <v>762</v>
      </c>
    </row>
    <row r="267" spans="2:14" ht="7.5" customHeight="1" x14ac:dyDescent="0.2"/>
    <row r="268" spans="2:14" x14ac:dyDescent="0.2">
      <c r="I268" s="85"/>
    </row>
    <row r="269" spans="2:14" x14ac:dyDescent="0.2">
      <c r="B269" s="65" t="s">
        <v>763</v>
      </c>
    </row>
    <row r="270" spans="2:14" x14ac:dyDescent="0.2">
      <c r="B270" s="65" t="s">
        <v>764</v>
      </c>
    </row>
    <row r="271" spans="2:14" x14ac:dyDescent="0.2">
      <c r="B271" s="65" t="s">
        <v>765</v>
      </c>
    </row>
    <row r="273" spans="2:14" ht="7.5" customHeight="1" x14ac:dyDescent="0.2"/>
    <row r="274" spans="2:14" s="68" customFormat="1" x14ac:dyDescent="0.2">
      <c r="B274" s="68" t="s">
        <v>766</v>
      </c>
    </row>
    <row r="275" spans="2:14" ht="7.5" customHeight="1" x14ac:dyDescent="0.2"/>
    <row r="276" spans="2:14" x14ac:dyDescent="0.2">
      <c r="B276" s="65" t="s">
        <v>77</v>
      </c>
      <c r="C276" s="69">
        <f>'1-Client Variables'!$D$26</f>
        <v>0.1</v>
      </c>
    </row>
    <row r="277" spans="2:14" x14ac:dyDescent="0.2">
      <c r="I277" s="85"/>
    </row>
    <row r="278" spans="2:14" x14ac:dyDescent="0.2">
      <c r="C278" s="73" t="s">
        <v>332</v>
      </c>
      <c r="D278" s="63">
        <v>1</v>
      </c>
      <c r="E278" s="63">
        <f>D278+1</f>
        <v>2</v>
      </c>
      <c r="F278" s="63">
        <f t="shared" ref="F278" si="234">E278+1</f>
        <v>3</v>
      </c>
      <c r="G278" s="63">
        <f t="shared" ref="G278" si="235">F278+1</f>
        <v>4</v>
      </c>
      <c r="H278" s="63">
        <f>G278+1</f>
        <v>5</v>
      </c>
      <c r="I278" s="63">
        <f>H278+1</f>
        <v>6</v>
      </c>
      <c r="J278" s="63">
        <f>I278+1</f>
        <v>7</v>
      </c>
      <c r="K278" s="63">
        <f t="shared" ref="K278" si="236">J278+1</f>
        <v>8</v>
      </c>
      <c r="L278" s="63">
        <f t="shared" ref="L278" si="237">K278+1</f>
        <v>9</v>
      </c>
      <c r="M278" s="63">
        <f t="shared" ref="M278" si="238">L278+1</f>
        <v>10</v>
      </c>
    </row>
    <row r="279" spans="2:14" x14ac:dyDescent="0.2">
      <c r="B279" s="65" t="s">
        <v>767</v>
      </c>
      <c r="C279" s="74"/>
      <c r="D279" s="69">
        <f>'2a-Consumption Plan Wk1'!E$17</f>
        <v>0.4</v>
      </c>
      <c r="E279" s="69">
        <f>'2a-Consumption Plan Wk1'!F$17</f>
        <v>0.8</v>
      </c>
      <c r="F279" s="69">
        <f>'2a-Consumption Plan Wk1'!G$17</f>
        <v>1</v>
      </c>
      <c r="G279" s="69">
        <f>'2a-Consumption Plan Wk1'!H$17</f>
        <v>1</v>
      </c>
      <c r="H279" s="69">
        <f>'2a-Consumption Plan Wk1'!I$17</f>
        <v>1</v>
      </c>
      <c r="I279" s="69">
        <f>'2a-Consumption Plan Wk1'!J$17</f>
        <v>1</v>
      </c>
      <c r="J279" s="69">
        <f>'2a-Consumption Plan Wk1'!K$17</f>
        <v>1</v>
      </c>
      <c r="K279" s="69">
        <f>'2a-Consumption Plan Wk1'!L$17</f>
        <v>1</v>
      </c>
      <c r="L279" s="69">
        <f>'2a-Consumption Plan Wk1'!M$17</f>
        <v>1</v>
      </c>
      <c r="M279" s="69">
        <f>'2a-Consumption Plan Wk1'!N$17</f>
        <v>1</v>
      </c>
    </row>
    <row r="280" spans="2:14" x14ac:dyDescent="0.2">
      <c r="B280" s="65" t="s">
        <v>768</v>
      </c>
      <c r="C280" s="74"/>
      <c r="D280" s="69">
        <f>'2b-Consumption Plan Wk2'!E$17</f>
        <v>0</v>
      </c>
      <c r="E280" s="69">
        <f>'2b-Consumption Plan Wk2'!F$17</f>
        <v>0</v>
      </c>
      <c r="F280" s="69">
        <f>'2b-Consumption Plan Wk2'!G$17</f>
        <v>0</v>
      </c>
      <c r="G280" s="69">
        <f>'2b-Consumption Plan Wk2'!H$17</f>
        <v>0</v>
      </c>
      <c r="H280" s="69">
        <f>'2b-Consumption Plan Wk2'!I$17</f>
        <v>0</v>
      </c>
      <c r="I280" s="69">
        <f>'2b-Consumption Plan Wk2'!J$17</f>
        <v>0</v>
      </c>
      <c r="J280" s="69">
        <f>'2b-Consumption Plan Wk2'!K$17</f>
        <v>0</v>
      </c>
      <c r="K280" s="69">
        <f>'2b-Consumption Plan Wk2'!L$17</f>
        <v>0</v>
      </c>
      <c r="L280" s="69">
        <f>'2b-Consumption Plan Wk2'!M$17</f>
        <v>0</v>
      </c>
      <c r="M280" s="69">
        <f>'2b-Consumption Plan Wk2'!N$17</f>
        <v>0</v>
      </c>
    </row>
    <row r="281" spans="2:14" x14ac:dyDescent="0.2">
      <c r="B281" s="65" t="s">
        <v>769</v>
      </c>
      <c r="C281" s="74"/>
      <c r="D281" s="69">
        <f>'2c-Consumption Plan Wk3'!E$17</f>
        <v>0</v>
      </c>
      <c r="E281" s="69">
        <f>'2c-Consumption Plan Wk3'!F$17</f>
        <v>0</v>
      </c>
      <c r="F281" s="69">
        <f>'2c-Consumption Plan Wk3'!G$17</f>
        <v>0</v>
      </c>
      <c r="G281" s="69">
        <f>'2c-Consumption Plan Wk3'!H$17</f>
        <v>0</v>
      </c>
      <c r="H281" s="69">
        <f>'2c-Consumption Plan Wk3'!I$17</f>
        <v>0</v>
      </c>
      <c r="I281" s="69">
        <f>'2c-Consumption Plan Wk3'!J$17</f>
        <v>0</v>
      </c>
      <c r="J281" s="69">
        <f>'2c-Consumption Plan Wk3'!K$17</f>
        <v>0</v>
      </c>
      <c r="K281" s="69">
        <f>'2c-Consumption Plan Wk3'!L$17</f>
        <v>0</v>
      </c>
      <c r="L281" s="69">
        <f>'2c-Consumption Plan Wk3'!M$17</f>
        <v>0</v>
      </c>
      <c r="M281" s="69">
        <f>'2c-Consumption Plan Wk3'!N$17</f>
        <v>0</v>
      </c>
    </row>
    <row r="282" spans="2:14" x14ac:dyDescent="0.2">
      <c r="B282" s="65" t="s">
        <v>770</v>
      </c>
      <c r="C282" s="74"/>
      <c r="D282" s="75">
        <f>IF('1-Client Variables'!$D$41&gt;0,1,0)+IF('1-Client Variables'!$D$81&gt;0,1,0)+IF('1-Client Variables'!$D$120&gt;0,1,0)</f>
        <v>0</v>
      </c>
      <c r="E282" s="75">
        <f>IF('1-Client Variables'!$D$41&gt;0,1,0)+IF('1-Client Variables'!$D$81&gt;0,1,0)+IF('1-Client Variables'!$D$120&gt;0,1,0)</f>
        <v>0</v>
      </c>
      <c r="F282" s="75">
        <f>IF('1-Client Variables'!$D$41&gt;0,1,0)+IF('1-Client Variables'!$D$81&gt;0,1,0)+IF('1-Client Variables'!$D$120&gt;0,1,0)</f>
        <v>0</v>
      </c>
      <c r="G282" s="75">
        <f>IF('1-Client Variables'!$D$41&gt;0,1,0)+IF('1-Client Variables'!$D$81&gt;0,1,0)+IF('1-Client Variables'!$D$120&gt;0,1,0)</f>
        <v>0</v>
      </c>
      <c r="H282" s="75">
        <f>IF('1-Client Variables'!$D$41&gt;0,1,0)+IF('1-Client Variables'!$D$81&gt;0,1,0)+IF('1-Client Variables'!$D$120&gt;0,1,0)</f>
        <v>0</v>
      </c>
      <c r="I282" s="75">
        <f>IF('1-Client Variables'!$D$41&gt;0,1,0)+IF('1-Client Variables'!$D$81&gt;0,1,0)+IF('1-Client Variables'!$D$120&gt;0,1,0)</f>
        <v>0</v>
      </c>
      <c r="J282" s="75">
        <f>IF('1-Client Variables'!$D$41&gt;0,1,0)+IF('1-Client Variables'!$D$81&gt;0,1,0)+IF('1-Client Variables'!$D$120&gt;0,1,0)</f>
        <v>0</v>
      </c>
      <c r="K282" s="75">
        <f>IF('1-Client Variables'!$D$41&gt;0,1,0)+IF('1-Client Variables'!$D$81&gt;0,1,0)+IF('1-Client Variables'!$D$120&gt;0,1,0)</f>
        <v>0</v>
      </c>
      <c r="L282" s="75">
        <f>IF('1-Client Variables'!$D$41&gt;0,1,0)+IF('1-Client Variables'!$D$81&gt;0,1,0)+IF('1-Client Variables'!$D$120&gt;0,1,0)</f>
        <v>0</v>
      </c>
      <c r="M282" s="75">
        <f>IF('1-Client Variables'!$D$41&gt;0,1,0)+IF('1-Client Variables'!$D$81&gt;0,1,0)+IF('1-Client Variables'!$D$120&gt;0,1,0)</f>
        <v>0</v>
      </c>
    </row>
    <row r="283" spans="2:14" x14ac:dyDescent="0.2">
      <c r="B283" s="65" t="s">
        <v>771</v>
      </c>
      <c r="C283" s="74"/>
      <c r="D283" s="75">
        <f>IF(D280=100%,1,0)+IF(D281=100%,1,0)+IF(D279=100%,1,0)</f>
        <v>0</v>
      </c>
      <c r="E283" s="75">
        <f t="shared" ref="E283:M283" si="239">IF(E280=100%,1,0)+IF(E281=100%,1,0)+IF(E279=100%,1,0)</f>
        <v>0</v>
      </c>
      <c r="F283" s="75">
        <f t="shared" si="239"/>
        <v>1</v>
      </c>
      <c r="G283" s="75">
        <f t="shared" si="239"/>
        <v>1</v>
      </c>
      <c r="H283" s="75">
        <f t="shared" si="239"/>
        <v>1</v>
      </c>
      <c r="I283" s="75">
        <f t="shared" si="239"/>
        <v>1</v>
      </c>
      <c r="J283" s="75">
        <f t="shared" si="239"/>
        <v>1</v>
      </c>
      <c r="K283" s="75">
        <f t="shared" si="239"/>
        <v>1</v>
      </c>
      <c r="L283" s="75">
        <f t="shared" si="239"/>
        <v>1</v>
      </c>
      <c r="M283" s="75">
        <f t="shared" si="239"/>
        <v>1</v>
      </c>
    </row>
    <row r="284" spans="2:14" x14ac:dyDescent="0.2">
      <c r="B284" s="65" t="s">
        <v>772</v>
      </c>
      <c r="D284" s="82" t="b">
        <f>IF(AND(D283=D282,D283&gt;0),TRUE,FALSE)</f>
        <v>0</v>
      </c>
      <c r="E284" s="82" t="b">
        <f t="shared" ref="E284:M284" si="240">IF(AND(E283=E282,E283&gt;0),TRUE,FALSE)</f>
        <v>0</v>
      </c>
      <c r="F284" s="82" t="b">
        <f t="shared" si="240"/>
        <v>0</v>
      </c>
      <c r="G284" s="82" t="b">
        <f t="shared" si="240"/>
        <v>0</v>
      </c>
      <c r="H284" s="82" t="b">
        <f t="shared" si="240"/>
        <v>0</v>
      </c>
      <c r="I284" s="82" t="b">
        <f t="shared" si="240"/>
        <v>0</v>
      </c>
      <c r="J284" s="82" t="b">
        <f t="shared" si="240"/>
        <v>0</v>
      </c>
      <c r="K284" s="82" t="b">
        <f t="shared" si="240"/>
        <v>0</v>
      </c>
      <c r="L284" s="82" t="b">
        <f t="shared" si="240"/>
        <v>0</v>
      </c>
      <c r="M284" s="82" t="b">
        <f t="shared" si="240"/>
        <v>0</v>
      </c>
    </row>
    <row r="285" spans="2:14" x14ac:dyDescent="0.2">
      <c r="I285" s="85"/>
    </row>
    <row r="286" spans="2:14" x14ac:dyDescent="0.2">
      <c r="B286" s="80" t="s">
        <v>773</v>
      </c>
      <c r="C286" s="73" t="s">
        <v>332</v>
      </c>
      <c r="D286" s="63"/>
      <c r="E286" s="63"/>
      <c r="F286" s="63"/>
      <c r="G286" s="63"/>
      <c r="H286" s="63"/>
      <c r="I286" s="63"/>
      <c r="J286" s="63"/>
      <c r="K286" s="63"/>
      <c r="L286" s="63"/>
      <c r="M286" s="63"/>
      <c r="N286" s="83"/>
    </row>
    <row r="287" spans="2:14" x14ac:dyDescent="0.2">
      <c r="B287" s="65" t="s">
        <v>349</v>
      </c>
      <c r="C287" s="75" t="e">
        <f>'Status Quo Estimation'!C59</f>
        <v>#DIV/0!</v>
      </c>
      <c r="D287" s="86" t="e">
        <f>C287*(1+$C$276)</f>
        <v>#DIV/0!</v>
      </c>
      <c r="E287" s="75" t="e">
        <f>IF(D$284=TRUE,0,D287*(1+$C$276))</f>
        <v>#DIV/0!</v>
      </c>
      <c r="F287" s="75" t="e">
        <f>IF(E$284=TRUE,0,E287*(1+$C$276))</f>
        <v>#DIV/0!</v>
      </c>
      <c r="G287" s="75" t="e">
        <f t="shared" ref="G287:M287" si="241">IF(F$284=TRUE,0,F287*(1+$C$276))</f>
        <v>#DIV/0!</v>
      </c>
      <c r="H287" s="75" t="e">
        <f t="shared" si="241"/>
        <v>#DIV/0!</v>
      </c>
      <c r="I287" s="75" t="e">
        <f t="shared" si="241"/>
        <v>#DIV/0!</v>
      </c>
      <c r="J287" s="75" t="e">
        <f t="shared" si="241"/>
        <v>#DIV/0!</v>
      </c>
      <c r="K287" s="75" t="e">
        <f t="shared" si="241"/>
        <v>#DIV/0!</v>
      </c>
      <c r="L287" s="75" t="e">
        <f t="shared" si="241"/>
        <v>#DIV/0!</v>
      </c>
      <c r="M287" s="75" t="e">
        <f t="shared" si="241"/>
        <v>#DIV/0!</v>
      </c>
    </row>
    <row r="288" spans="2:14" x14ac:dyDescent="0.2">
      <c r="B288" s="65" t="s">
        <v>774</v>
      </c>
      <c r="C288" s="75">
        <f>'Status Quo Estimation'!C86</f>
        <v>0</v>
      </c>
      <c r="D288" s="86">
        <f>C288*(1+$C$276)</f>
        <v>0</v>
      </c>
      <c r="E288" s="75">
        <f t="shared" ref="E288:M288" si="242">IF(D$284=TRUE,0,D288*(1+$C$276))</f>
        <v>0</v>
      </c>
      <c r="F288" s="75">
        <f>IF(E$284=TRUE,0,E288*(1+$C$276))</f>
        <v>0</v>
      </c>
      <c r="G288" s="75">
        <f t="shared" si="242"/>
        <v>0</v>
      </c>
      <c r="H288" s="75">
        <f t="shared" si="242"/>
        <v>0</v>
      </c>
      <c r="I288" s="75">
        <f t="shared" si="242"/>
        <v>0</v>
      </c>
      <c r="J288" s="75">
        <f t="shared" si="242"/>
        <v>0</v>
      </c>
      <c r="K288" s="75">
        <f t="shared" si="242"/>
        <v>0</v>
      </c>
      <c r="L288" s="75">
        <f t="shared" si="242"/>
        <v>0</v>
      </c>
      <c r="M288" s="75">
        <f t="shared" si="242"/>
        <v>0</v>
      </c>
    </row>
    <row r="289" spans="2:14" x14ac:dyDescent="0.2">
      <c r="I289" s="85"/>
    </row>
    <row r="290" spans="2:14" x14ac:dyDescent="0.2">
      <c r="B290" s="80" t="s">
        <v>775</v>
      </c>
      <c r="C290" s="73" t="s">
        <v>332</v>
      </c>
      <c r="D290" s="63"/>
      <c r="E290" s="63"/>
      <c r="F290" s="63"/>
      <c r="G290" s="63"/>
      <c r="H290" s="63"/>
      <c r="I290" s="63"/>
      <c r="J290" s="63"/>
      <c r="K290" s="63"/>
      <c r="L290" s="63"/>
      <c r="M290" s="63"/>
      <c r="N290" s="83"/>
    </row>
    <row r="291" spans="2:14" x14ac:dyDescent="0.2">
      <c r="B291" s="65" t="s">
        <v>776</v>
      </c>
      <c r="C291" s="69">
        <v>0</v>
      </c>
      <c r="D291" s="69">
        <f>IF(SUM(D279:D281)=0,0,SMALL(D279:D281,COUNTIF(D279:D281,0)+1))</f>
        <v>0.4</v>
      </c>
      <c r="E291" s="69">
        <f t="shared" ref="E291:M291" si="243">IF(SUM(E279:E281)=0,0,SMALL(E279:E281,COUNTIF(E279:E281,0)+1))</f>
        <v>0.8</v>
      </c>
      <c r="F291" s="69">
        <f t="shared" si="243"/>
        <v>1</v>
      </c>
      <c r="G291" s="69">
        <f t="shared" si="243"/>
        <v>1</v>
      </c>
      <c r="H291" s="69">
        <f t="shared" si="243"/>
        <v>1</v>
      </c>
      <c r="I291" s="69">
        <f t="shared" si="243"/>
        <v>1</v>
      </c>
      <c r="J291" s="69">
        <f t="shared" si="243"/>
        <v>1</v>
      </c>
      <c r="K291" s="69">
        <f t="shared" si="243"/>
        <v>1</v>
      </c>
      <c r="L291" s="69">
        <f t="shared" si="243"/>
        <v>1</v>
      </c>
      <c r="M291" s="69">
        <f t="shared" si="243"/>
        <v>1</v>
      </c>
    </row>
    <row r="292" spans="2:14" x14ac:dyDescent="0.2">
      <c r="B292" s="65" t="s">
        <v>777</v>
      </c>
      <c r="C292" s="87"/>
      <c r="D292" s="69">
        <f>-D291</f>
        <v>-0.4</v>
      </c>
      <c r="E292" s="69">
        <f t="shared" ref="E292:M292" si="244">-E291</f>
        <v>-0.8</v>
      </c>
      <c r="F292" s="69">
        <f t="shared" si="244"/>
        <v>-1</v>
      </c>
      <c r="G292" s="69">
        <f t="shared" si="244"/>
        <v>-1</v>
      </c>
      <c r="H292" s="69">
        <f t="shared" si="244"/>
        <v>-1</v>
      </c>
      <c r="I292" s="69">
        <f t="shared" si="244"/>
        <v>-1</v>
      </c>
      <c r="J292" s="69">
        <f t="shared" si="244"/>
        <v>-1</v>
      </c>
      <c r="K292" s="69">
        <f t="shared" si="244"/>
        <v>-1</v>
      </c>
      <c r="L292" s="69">
        <f t="shared" si="244"/>
        <v>-1</v>
      </c>
      <c r="M292" s="69">
        <f t="shared" si="244"/>
        <v>-1</v>
      </c>
    </row>
    <row r="293" spans="2:14" x14ac:dyDescent="0.2">
      <c r="B293" s="65" t="s">
        <v>349</v>
      </c>
      <c r="C293" s="75" t="e">
        <f>'Status Quo Estimation'!C59</f>
        <v>#DIV/0!</v>
      </c>
      <c r="D293" s="86" t="e">
        <f>C293*(1+$C$276)</f>
        <v>#DIV/0!</v>
      </c>
      <c r="E293" s="75" t="e">
        <f>D293*(1+$C$276)*(1+D$292)</f>
        <v>#DIV/0!</v>
      </c>
      <c r="F293" s="75" t="e">
        <f t="shared" ref="F293:M293" si="245">E293*(1+$C$276)*(1+E$292)</f>
        <v>#DIV/0!</v>
      </c>
      <c r="G293" s="75" t="e">
        <f t="shared" si="245"/>
        <v>#DIV/0!</v>
      </c>
      <c r="H293" s="75" t="e">
        <f t="shared" si="245"/>
        <v>#DIV/0!</v>
      </c>
      <c r="I293" s="75" t="e">
        <f t="shared" si="245"/>
        <v>#DIV/0!</v>
      </c>
      <c r="J293" s="75" t="e">
        <f t="shared" si="245"/>
        <v>#DIV/0!</v>
      </c>
      <c r="K293" s="75" t="e">
        <f t="shared" si="245"/>
        <v>#DIV/0!</v>
      </c>
      <c r="L293" s="75" t="e">
        <f t="shared" si="245"/>
        <v>#DIV/0!</v>
      </c>
      <c r="M293" s="75" t="e">
        <f t="shared" si="245"/>
        <v>#DIV/0!</v>
      </c>
    </row>
    <row r="294" spans="2:14" x14ac:dyDescent="0.2">
      <c r="B294" s="65" t="s">
        <v>774</v>
      </c>
      <c r="C294" s="75">
        <f>'Status Quo Estimation'!C86</f>
        <v>0</v>
      </c>
      <c r="D294" s="86">
        <f>C294*(1+$C$276)</f>
        <v>0</v>
      </c>
      <c r="E294" s="75">
        <f t="shared" ref="E294:M295" si="246">D294*(1+$C$276)*(1+D$292)</f>
        <v>0</v>
      </c>
      <c r="F294" s="75">
        <f t="shared" si="246"/>
        <v>0</v>
      </c>
      <c r="G294" s="75">
        <f t="shared" si="246"/>
        <v>0</v>
      </c>
      <c r="H294" s="75">
        <f t="shared" si="246"/>
        <v>0</v>
      </c>
      <c r="I294" s="75">
        <f t="shared" si="246"/>
        <v>0</v>
      </c>
      <c r="J294" s="75">
        <f t="shared" si="246"/>
        <v>0</v>
      </c>
      <c r="K294" s="75">
        <f t="shared" si="246"/>
        <v>0</v>
      </c>
      <c r="L294" s="75">
        <f t="shared" si="246"/>
        <v>0</v>
      </c>
      <c r="M294" s="75">
        <f t="shared" si="246"/>
        <v>0</v>
      </c>
    </row>
    <row r="295" spans="2:14" x14ac:dyDescent="0.2">
      <c r="B295" s="65" t="s">
        <v>350</v>
      </c>
      <c r="C295" s="75" t="e">
        <f>'Status Quo Estimation'!C60</f>
        <v>#DIV/0!</v>
      </c>
      <c r="D295" s="86" t="e">
        <f>C295*(1+$C$276)</f>
        <v>#DIV/0!</v>
      </c>
      <c r="E295" s="75" t="e">
        <f>D295*(1+$C$276)*(1+D$292)</f>
        <v>#DIV/0!</v>
      </c>
      <c r="F295" s="75" t="e">
        <f>E295*(1+$C$276)*(1+E$292)</f>
        <v>#DIV/0!</v>
      </c>
      <c r="G295" s="75" t="e">
        <f t="shared" si="246"/>
        <v>#DIV/0!</v>
      </c>
      <c r="H295" s="75" t="e">
        <f t="shared" si="246"/>
        <v>#DIV/0!</v>
      </c>
      <c r="I295" s="75" t="e">
        <f t="shared" si="246"/>
        <v>#DIV/0!</v>
      </c>
      <c r="J295" s="75" t="e">
        <f t="shared" si="246"/>
        <v>#DIV/0!</v>
      </c>
      <c r="K295" s="75" t="e">
        <f t="shared" si="246"/>
        <v>#DIV/0!</v>
      </c>
      <c r="L295" s="75" t="e">
        <f t="shared" si="246"/>
        <v>#DIV/0!</v>
      </c>
      <c r="M295" s="75" t="e">
        <f t="shared" si="246"/>
        <v>#DIV/0!</v>
      </c>
    </row>
    <row r="296" spans="2:14" x14ac:dyDescent="0.2">
      <c r="I296" s="85"/>
    </row>
    <row r="297" spans="2:14" x14ac:dyDescent="0.2">
      <c r="B297" s="80" t="s">
        <v>778</v>
      </c>
      <c r="C297" s="73" t="s">
        <v>332</v>
      </c>
      <c r="D297" s="63">
        <v>1</v>
      </c>
      <c r="E297" s="63">
        <f>D297+1</f>
        <v>2</v>
      </c>
      <c r="F297" s="63">
        <f t="shared" ref="F297" si="247">E297+1</f>
        <v>3</v>
      </c>
      <c r="G297" s="63">
        <f t="shared" ref="G297" si="248">F297+1</f>
        <v>4</v>
      </c>
      <c r="H297" s="63">
        <f>G297+1</f>
        <v>5</v>
      </c>
      <c r="I297" s="63">
        <f>H297+1</f>
        <v>6</v>
      </c>
      <c r="J297" s="63">
        <f>I297+1</f>
        <v>7</v>
      </c>
      <c r="K297" s="63">
        <f t="shared" ref="K297" si="249">J297+1</f>
        <v>8</v>
      </c>
      <c r="L297" s="63">
        <f t="shared" ref="L297" si="250">K297+1</f>
        <v>9</v>
      </c>
      <c r="M297" s="63">
        <f t="shared" ref="M297" si="251">L297+1</f>
        <v>10</v>
      </c>
      <c r="N297" s="83"/>
    </row>
    <row r="298" spans="2:14" x14ac:dyDescent="0.2">
      <c r="B298" s="65" t="s">
        <v>349</v>
      </c>
      <c r="C298" s="75" t="e">
        <f>'Status Quo Estimation'!C59</f>
        <v>#DIV/0!</v>
      </c>
      <c r="D298" s="75" t="e">
        <f>IF('1-Client Variables'!$D$19="Static",'Retained Costs Estimation'!D287,'Retained Costs Estimation'!D293)</f>
        <v>#DIV/0!</v>
      </c>
      <c r="E298" s="75" t="e">
        <f>IF('1-Client Variables'!$D$19="Static",'Retained Costs Estimation'!E287,'Retained Costs Estimation'!E293)</f>
        <v>#DIV/0!</v>
      </c>
      <c r="F298" s="75" t="e">
        <f>IF('1-Client Variables'!$D$19="Static",'Retained Costs Estimation'!F287,'Retained Costs Estimation'!F293)</f>
        <v>#DIV/0!</v>
      </c>
      <c r="G298" s="75" t="e">
        <f>IF('1-Client Variables'!$D$19="Static",'Retained Costs Estimation'!G287,'Retained Costs Estimation'!G293)</f>
        <v>#DIV/0!</v>
      </c>
      <c r="H298" s="75" t="e">
        <f>IF('1-Client Variables'!$D$19="Static",'Retained Costs Estimation'!H287,'Retained Costs Estimation'!H293)</f>
        <v>#DIV/0!</v>
      </c>
      <c r="I298" s="75" t="e">
        <f>IF('1-Client Variables'!$D$19="Static",'Retained Costs Estimation'!I287,'Retained Costs Estimation'!I293)</f>
        <v>#DIV/0!</v>
      </c>
      <c r="J298" s="75" t="e">
        <f>IF('1-Client Variables'!$D$19="Static",'Retained Costs Estimation'!J287,'Retained Costs Estimation'!J293)</f>
        <v>#DIV/0!</v>
      </c>
      <c r="K298" s="75" t="e">
        <f>IF('1-Client Variables'!$D$19="Static",'Retained Costs Estimation'!K287,'Retained Costs Estimation'!K293)</f>
        <v>#DIV/0!</v>
      </c>
      <c r="L298" s="75" t="e">
        <f>IF('1-Client Variables'!$D$19="Static",'Retained Costs Estimation'!L287,'Retained Costs Estimation'!L293)</f>
        <v>#DIV/0!</v>
      </c>
      <c r="M298" s="75" t="e">
        <f>IF('1-Client Variables'!$D$19="Static",'Retained Costs Estimation'!M287,'Retained Costs Estimation'!M293)</f>
        <v>#DIV/0!</v>
      </c>
    </row>
    <row r="299" spans="2:14" x14ac:dyDescent="0.2">
      <c r="B299" s="65" t="s">
        <v>774</v>
      </c>
      <c r="C299" s="75">
        <f>'Status Quo Estimation'!C86</f>
        <v>0</v>
      </c>
      <c r="D299" s="75">
        <f>IF('1-Client Variables'!$D$19="Static",'Retained Costs Estimation'!D288,'Retained Costs Estimation'!D294)</f>
        <v>0</v>
      </c>
      <c r="E299" s="75">
        <f>IF('1-Client Variables'!$D$19="Static",'Retained Costs Estimation'!E288,'Retained Costs Estimation'!E294)</f>
        <v>0</v>
      </c>
      <c r="F299" s="75">
        <f>IF('1-Client Variables'!$D$19="Static",'Retained Costs Estimation'!F288,'Retained Costs Estimation'!F294)</f>
        <v>0</v>
      </c>
      <c r="G299" s="75">
        <f>IF('1-Client Variables'!$D$19="Static",'Retained Costs Estimation'!G288,'Retained Costs Estimation'!G294)</f>
        <v>0</v>
      </c>
      <c r="H299" s="75">
        <f>IF('1-Client Variables'!$D$19="Static",'Retained Costs Estimation'!H288,'Retained Costs Estimation'!H294)</f>
        <v>0</v>
      </c>
      <c r="I299" s="75">
        <f>IF('1-Client Variables'!$D$19="Static",'Retained Costs Estimation'!I288,'Retained Costs Estimation'!I294)</f>
        <v>0</v>
      </c>
      <c r="J299" s="75">
        <f>IF('1-Client Variables'!$D$19="Static",'Retained Costs Estimation'!J288,'Retained Costs Estimation'!J294)</f>
        <v>0</v>
      </c>
      <c r="K299" s="75">
        <f>IF('1-Client Variables'!$D$19="Static",'Retained Costs Estimation'!K288,'Retained Costs Estimation'!K294)</f>
        <v>0</v>
      </c>
      <c r="L299" s="75">
        <f>IF('1-Client Variables'!$D$19="Static",'Retained Costs Estimation'!L288,'Retained Costs Estimation'!L294)</f>
        <v>0</v>
      </c>
      <c r="M299" s="75">
        <f>IF('1-Client Variables'!$D$19="Static",'Retained Costs Estimation'!M288,'Retained Costs Estimation'!M294)</f>
        <v>0</v>
      </c>
    </row>
    <row r="300" spans="2:14" x14ac:dyDescent="0.2">
      <c r="B300" s="65" t="s">
        <v>350</v>
      </c>
      <c r="C300" s="75" t="e">
        <f>'Status Quo Estimation'!C60</f>
        <v>#DIV/0!</v>
      </c>
      <c r="D300" s="75" t="e">
        <f>D295</f>
        <v>#DIV/0!</v>
      </c>
      <c r="E300" s="75" t="e">
        <f t="shared" ref="E300:M300" si="252">E295</f>
        <v>#DIV/0!</v>
      </c>
      <c r="F300" s="75" t="e">
        <f t="shared" si="252"/>
        <v>#DIV/0!</v>
      </c>
      <c r="G300" s="75" t="e">
        <f t="shared" si="252"/>
        <v>#DIV/0!</v>
      </c>
      <c r="H300" s="75" t="e">
        <f t="shared" si="252"/>
        <v>#DIV/0!</v>
      </c>
      <c r="I300" s="75" t="e">
        <f t="shared" si="252"/>
        <v>#DIV/0!</v>
      </c>
      <c r="J300" s="75" t="e">
        <f t="shared" si="252"/>
        <v>#DIV/0!</v>
      </c>
      <c r="K300" s="75" t="e">
        <f t="shared" si="252"/>
        <v>#DIV/0!</v>
      </c>
      <c r="L300" s="75" t="e">
        <f t="shared" si="252"/>
        <v>#DIV/0!</v>
      </c>
      <c r="M300" s="75" t="e">
        <f t="shared" si="252"/>
        <v>#DIV/0!</v>
      </c>
    </row>
    <row r="301" spans="2:14" x14ac:dyDescent="0.2">
      <c r="I301" s="85"/>
    </row>
    <row r="302" spans="2:14" ht="7.5" customHeight="1" x14ac:dyDescent="0.2"/>
    <row r="303" spans="2:14" s="68" customFormat="1" x14ac:dyDescent="0.2">
      <c r="B303" s="68" t="s">
        <v>779</v>
      </c>
    </row>
    <row r="304" spans="2:14" ht="7.5" customHeight="1" x14ac:dyDescent="0.2"/>
    <row r="305" spans="2:13" x14ac:dyDescent="0.2">
      <c r="B305" s="65" t="s">
        <v>77</v>
      </c>
      <c r="C305" s="69">
        <f>'1-Client Variables'!$D$26</f>
        <v>0.1</v>
      </c>
    </row>
    <row r="306" spans="2:13" x14ac:dyDescent="0.2">
      <c r="I306" s="85"/>
    </row>
    <row r="307" spans="2:13" x14ac:dyDescent="0.2">
      <c r="B307" s="80" t="s">
        <v>411</v>
      </c>
      <c r="C307" s="73" t="s">
        <v>332</v>
      </c>
      <c r="D307" s="63">
        <v>1</v>
      </c>
      <c r="E307" s="63">
        <f>D307+1</f>
        <v>2</v>
      </c>
      <c r="F307" s="63">
        <f t="shared" ref="F307" si="253">E307+1</f>
        <v>3</v>
      </c>
      <c r="G307" s="63">
        <f t="shared" ref="G307" si="254">F307+1</f>
        <v>4</v>
      </c>
      <c r="H307" s="63">
        <f>G307+1</f>
        <v>5</v>
      </c>
      <c r="I307" s="63">
        <f>H307+1</f>
        <v>6</v>
      </c>
      <c r="J307" s="63">
        <f>I307+1</f>
        <v>7</v>
      </c>
      <c r="K307" s="63">
        <f t="shared" ref="K307" si="255">J307+1</f>
        <v>8</v>
      </c>
      <c r="L307" s="63">
        <f t="shared" ref="L307" si="256">K307+1</f>
        <v>9</v>
      </c>
      <c r="M307" s="63">
        <f t="shared" ref="M307" si="257">L307+1</f>
        <v>10</v>
      </c>
    </row>
    <row r="308" spans="2:13" x14ac:dyDescent="0.2">
      <c r="B308" s="65" t="s">
        <v>734</v>
      </c>
      <c r="C308" s="74"/>
      <c r="D308" s="69">
        <f>'2a-Consumption Plan Wk1'!E$17</f>
        <v>0.4</v>
      </c>
      <c r="E308" s="69">
        <f>'2a-Consumption Plan Wk1'!F$17</f>
        <v>0.8</v>
      </c>
      <c r="F308" s="69">
        <f>'2a-Consumption Plan Wk1'!G$17</f>
        <v>1</v>
      </c>
      <c r="G308" s="69">
        <f>'2a-Consumption Plan Wk1'!H$17</f>
        <v>1</v>
      </c>
      <c r="H308" s="69">
        <f>'2a-Consumption Plan Wk1'!I$17</f>
        <v>1</v>
      </c>
      <c r="I308" s="69">
        <f>'2a-Consumption Plan Wk1'!J$17</f>
        <v>1</v>
      </c>
      <c r="J308" s="69">
        <f>'2a-Consumption Plan Wk1'!K$17</f>
        <v>1</v>
      </c>
      <c r="K308" s="69">
        <f>'2a-Consumption Plan Wk1'!L$17</f>
        <v>1</v>
      </c>
      <c r="L308" s="69">
        <f>'2a-Consumption Plan Wk1'!M$17</f>
        <v>1</v>
      </c>
      <c r="M308" s="69">
        <f>'2a-Consumption Plan Wk1'!N$17</f>
        <v>1</v>
      </c>
    </row>
    <row r="309" spans="2:13" x14ac:dyDescent="0.2">
      <c r="B309" s="65" t="s">
        <v>745</v>
      </c>
      <c r="C309" s="74"/>
      <c r="D309" s="82" t="b">
        <f>IF(D308=1,TRUE,FALSE)</f>
        <v>0</v>
      </c>
      <c r="E309" s="82" t="b">
        <f t="shared" ref="E309:M309" si="258">IF(E308=1,TRUE,FALSE)</f>
        <v>0</v>
      </c>
      <c r="F309" s="82" t="b">
        <f t="shared" si="258"/>
        <v>1</v>
      </c>
      <c r="G309" s="82" t="b">
        <f t="shared" si="258"/>
        <v>1</v>
      </c>
      <c r="H309" s="82" t="b">
        <f t="shared" si="258"/>
        <v>1</v>
      </c>
      <c r="I309" s="82" t="b">
        <f t="shared" si="258"/>
        <v>1</v>
      </c>
      <c r="J309" s="82" t="b">
        <f t="shared" si="258"/>
        <v>1</v>
      </c>
      <c r="K309" s="82" t="b">
        <f t="shared" si="258"/>
        <v>1</v>
      </c>
      <c r="L309" s="82" t="b">
        <f t="shared" si="258"/>
        <v>1</v>
      </c>
      <c r="M309" s="82" t="b">
        <f t="shared" si="258"/>
        <v>1</v>
      </c>
    </row>
    <row r="310" spans="2:13" x14ac:dyDescent="0.2">
      <c r="B310" s="65" t="s">
        <v>714</v>
      </c>
      <c r="C310" s="75">
        <f>'Status Quo Estimation'!K125</f>
        <v>0</v>
      </c>
      <c r="D310" s="86">
        <f>C310</f>
        <v>0</v>
      </c>
      <c r="E310" s="75">
        <f>IF(D309=FALSE,D310*(1+$C$305),0)</f>
        <v>0</v>
      </c>
      <c r="F310" s="75">
        <f t="shared" ref="F310:M310" si="259">IF(E309=FALSE,E310*(1+$C$305),0)</f>
        <v>0</v>
      </c>
      <c r="G310" s="75">
        <f t="shared" si="259"/>
        <v>0</v>
      </c>
      <c r="H310" s="75">
        <f t="shared" si="259"/>
        <v>0</v>
      </c>
      <c r="I310" s="75">
        <f t="shared" si="259"/>
        <v>0</v>
      </c>
      <c r="J310" s="75">
        <f t="shared" si="259"/>
        <v>0</v>
      </c>
      <c r="K310" s="75">
        <f t="shared" si="259"/>
        <v>0</v>
      </c>
      <c r="L310" s="75">
        <f t="shared" si="259"/>
        <v>0</v>
      </c>
      <c r="M310" s="75">
        <f t="shared" si="259"/>
        <v>0</v>
      </c>
    </row>
    <row r="311" spans="2:13" x14ac:dyDescent="0.2">
      <c r="B311" s="65" t="s">
        <v>717</v>
      </c>
      <c r="C311" s="75">
        <f>'Status Quo Estimation'!K135</f>
        <v>0</v>
      </c>
      <c r="D311" s="86">
        <f>C311</f>
        <v>0</v>
      </c>
      <c r="E311" s="75">
        <f>IF(D309=FALSE,D311*(1+$C$305),0)</f>
        <v>0</v>
      </c>
      <c r="F311" s="75">
        <f t="shared" ref="F311:L311" si="260">IF(E309=FALSE,E311*(1+$C$305),0)</f>
        <v>0</v>
      </c>
      <c r="G311" s="75">
        <f t="shared" si="260"/>
        <v>0</v>
      </c>
      <c r="H311" s="75">
        <f t="shared" si="260"/>
        <v>0</v>
      </c>
      <c r="I311" s="75">
        <f t="shared" si="260"/>
        <v>0</v>
      </c>
      <c r="J311" s="75">
        <f t="shared" si="260"/>
        <v>0</v>
      </c>
      <c r="K311" s="75">
        <f t="shared" si="260"/>
        <v>0</v>
      </c>
      <c r="L311" s="75">
        <f t="shared" si="260"/>
        <v>0</v>
      </c>
      <c r="M311" s="75">
        <f>IF(L309=FALSE,L311*(1+$C$305),0)</f>
        <v>0</v>
      </c>
    </row>
    <row r="312" spans="2:13" x14ac:dyDescent="0.2">
      <c r="I312" s="85"/>
    </row>
    <row r="313" spans="2:13" x14ac:dyDescent="0.2">
      <c r="B313" s="80" t="s">
        <v>412</v>
      </c>
      <c r="C313" s="73" t="s">
        <v>332</v>
      </c>
      <c r="D313" s="63">
        <v>1</v>
      </c>
      <c r="E313" s="63">
        <f>D313+1</f>
        <v>2</v>
      </c>
      <c r="F313" s="63">
        <f t="shared" ref="F313" si="261">E313+1</f>
        <v>3</v>
      </c>
      <c r="G313" s="63">
        <f t="shared" ref="G313" si="262">F313+1</f>
        <v>4</v>
      </c>
      <c r="H313" s="63">
        <f>G313+1</f>
        <v>5</v>
      </c>
      <c r="I313" s="63">
        <f>H313+1</f>
        <v>6</v>
      </c>
      <c r="J313" s="63">
        <f>I313+1</f>
        <v>7</v>
      </c>
      <c r="K313" s="63">
        <f t="shared" ref="K313" si="263">J313+1</f>
        <v>8</v>
      </c>
      <c r="L313" s="63">
        <f t="shared" ref="L313" si="264">K313+1</f>
        <v>9</v>
      </c>
      <c r="M313" s="63">
        <f t="shared" ref="M313" si="265">L313+1</f>
        <v>10</v>
      </c>
    </row>
    <row r="314" spans="2:13" x14ac:dyDescent="0.2">
      <c r="B314" s="65" t="s">
        <v>734</v>
      </c>
      <c r="C314" s="74"/>
      <c r="D314" s="69">
        <f>'2b-Consumption Plan Wk2'!E$17</f>
        <v>0</v>
      </c>
      <c r="E314" s="69">
        <f>'2b-Consumption Plan Wk2'!F$17</f>
        <v>0</v>
      </c>
      <c r="F314" s="69">
        <f>'2b-Consumption Plan Wk2'!G$17</f>
        <v>0</v>
      </c>
      <c r="G314" s="69">
        <f>'2b-Consumption Plan Wk2'!H$17</f>
        <v>0</v>
      </c>
      <c r="H314" s="69">
        <f>'2b-Consumption Plan Wk2'!I$17</f>
        <v>0</v>
      </c>
      <c r="I314" s="69">
        <f>'2b-Consumption Plan Wk2'!J$17</f>
        <v>0</v>
      </c>
      <c r="J314" s="69">
        <f>'2b-Consumption Plan Wk2'!K$17</f>
        <v>0</v>
      </c>
      <c r="K314" s="69">
        <f>'2b-Consumption Plan Wk2'!L$17</f>
        <v>0</v>
      </c>
      <c r="L314" s="69">
        <f>'2b-Consumption Plan Wk2'!M$17</f>
        <v>0</v>
      </c>
      <c r="M314" s="69">
        <f>'2b-Consumption Plan Wk2'!N$17</f>
        <v>0</v>
      </c>
    </row>
    <row r="315" spans="2:13" x14ac:dyDescent="0.2">
      <c r="B315" s="65" t="s">
        <v>745</v>
      </c>
      <c r="C315" s="74"/>
      <c r="D315" s="82" t="b">
        <f>IF(D314=1,TRUE,FALSE)</f>
        <v>0</v>
      </c>
      <c r="E315" s="82" t="b">
        <f t="shared" ref="E315" si="266">IF(E314=1,TRUE,FALSE)</f>
        <v>0</v>
      </c>
      <c r="F315" s="82" t="b">
        <f t="shared" ref="F315" si="267">IF(F314=1,TRUE,FALSE)</f>
        <v>0</v>
      </c>
      <c r="G315" s="82" t="b">
        <f t="shared" ref="G315" si="268">IF(G314=1,TRUE,FALSE)</f>
        <v>0</v>
      </c>
      <c r="H315" s="82" t="b">
        <f t="shared" ref="H315" si="269">IF(H314=1,TRUE,FALSE)</f>
        <v>0</v>
      </c>
      <c r="I315" s="82" t="b">
        <f t="shared" ref="I315" si="270">IF(I314=1,TRUE,FALSE)</f>
        <v>0</v>
      </c>
      <c r="J315" s="82" t="b">
        <f t="shared" ref="J315" si="271">IF(J314=1,TRUE,FALSE)</f>
        <v>0</v>
      </c>
      <c r="K315" s="82" t="b">
        <f t="shared" ref="K315" si="272">IF(K314=1,TRUE,FALSE)</f>
        <v>0</v>
      </c>
      <c r="L315" s="82" t="b">
        <f t="shared" ref="L315" si="273">IF(L314=1,TRUE,FALSE)</f>
        <v>0</v>
      </c>
      <c r="M315" s="82" t="b">
        <f t="shared" ref="M315" si="274">IF(M314=1,TRUE,FALSE)</f>
        <v>0</v>
      </c>
    </row>
    <row r="316" spans="2:13" x14ac:dyDescent="0.2">
      <c r="B316" s="65" t="s">
        <v>714</v>
      </c>
      <c r="C316" s="75">
        <f>'Status Quo Estimation'!L125</f>
        <v>0</v>
      </c>
      <c r="D316" s="86">
        <f>C316</f>
        <v>0</v>
      </c>
      <c r="E316" s="75">
        <f>IF(D315=FALSE,D316*(1+$C$305),0)</f>
        <v>0</v>
      </c>
      <c r="F316" s="75">
        <f t="shared" ref="F316:M316" si="275">IF(E315=FALSE,E316*(1+$C$305),0)</f>
        <v>0</v>
      </c>
      <c r="G316" s="75">
        <f t="shared" si="275"/>
        <v>0</v>
      </c>
      <c r="H316" s="75">
        <f t="shared" si="275"/>
        <v>0</v>
      </c>
      <c r="I316" s="75">
        <f t="shared" si="275"/>
        <v>0</v>
      </c>
      <c r="J316" s="75">
        <f t="shared" si="275"/>
        <v>0</v>
      </c>
      <c r="K316" s="75">
        <f t="shared" si="275"/>
        <v>0</v>
      </c>
      <c r="L316" s="75">
        <f t="shared" si="275"/>
        <v>0</v>
      </c>
      <c r="M316" s="75">
        <f t="shared" si="275"/>
        <v>0</v>
      </c>
    </row>
    <row r="317" spans="2:13" x14ac:dyDescent="0.2">
      <c r="B317" s="65" t="s">
        <v>717</v>
      </c>
      <c r="C317" s="75">
        <f>'Status Quo Estimation'!L135</f>
        <v>0</v>
      </c>
      <c r="D317" s="86">
        <f t="shared" ref="D317" si="276">C317</f>
        <v>0</v>
      </c>
      <c r="E317" s="75">
        <f>IF(D315=FALSE,D317*(1+$C$305),0)</f>
        <v>0</v>
      </c>
      <c r="F317" s="75">
        <f t="shared" ref="F317:M317" si="277">IF(E315=FALSE,E317*(1+$C$305),0)</f>
        <v>0</v>
      </c>
      <c r="G317" s="75">
        <f t="shared" si="277"/>
        <v>0</v>
      </c>
      <c r="H317" s="75">
        <f t="shared" si="277"/>
        <v>0</v>
      </c>
      <c r="I317" s="75">
        <f t="shared" si="277"/>
        <v>0</v>
      </c>
      <c r="J317" s="75">
        <f t="shared" si="277"/>
        <v>0</v>
      </c>
      <c r="K317" s="75">
        <f t="shared" si="277"/>
        <v>0</v>
      </c>
      <c r="L317" s="75">
        <f t="shared" si="277"/>
        <v>0</v>
      </c>
      <c r="M317" s="75">
        <f t="shared" si="277"/>
        <v>0</v>
      </c>
    </row>
    <row r="318" spans="2:13" x14ac:dyDescent="0.2">
      <c r="I318" s="85"/>
    </row>
    <row r="319" spans="2:13" x14ac:dyDescent="0.2">
      <c r="B319" s="80" t="s">
        <v>413</v>
      </c>
      <c r="C319" s="73" t="s">
        <v>332</v>
      </c>
      <c r="D319" s="63">
        <v>1</v>
      </c>
      <c r="E319" s="63">
        <f>D319+1</f>
        <v>2</v>
      </c>
      <c r="F319" s="63">
        <f t="shared" ref="F319" si="278">E319+1</f>
        <v>3</v>
      </c>
      <c r="G319" s="63">
        <f t="shared" ref="G319" si="279">F319+1</f>
        <v>4</v>
      </c>
      <c r="H319" s="63">
        <f>G319+1</f>
        <v>5</v>
      </c>
      <c r="I319" s="63">
        <f>H319+1</f>
        <v>6</v>
      </c>
      <c r="J319" s="63">
        <f>I319+1</f>
        <v>7</v>
      </c>
      <c r="K319" s="63">
        <f t="shared" ref="K319" si="280">J319+1</f>
        <v>8</v>
      </c>
      <c r="L319" s="63">
        <f t="shared" ref="L319" si="281">K319+1</f>
        <v>9</v>
      </c>
      <c r="M319" s="63">
        <f t="shared" ref="M319" si="282">L319+1</f>
        <v>10</v>
      </c>
    </row>
    <row r="320" spans="2:13" x14ac:dyDescent="0.2">
      <c r="B320" s="65" t="s">
        <v>734</v>
      </c>
      <c r="C320" s="74"/>
      <c r="D320" s="69">
        <f>'2c-Consumption Plan Wk3'!E$17</f>
        <v>0</v>
      </c>
      <c r="E320" s="69">
        <f>'2c-Consumption Plan Wk3'!F$17</f>
        <v>0</v>
      </c>
      <c r="F320" s="69">
        <f>'2c-Consumption Plan Wk3'!G$17</f>
        <v>0</v>
      </c>
      <c r="G320" s="69">
        <f>'2c-Consumption Plan Wk3'!H$17</f>
        <v>0</v>
      </c>
      <c r="H320" s="69">
        <f>'2c-Consumption Plan Wk3'!I$17</f>
        <v>0</v>
      </c>
      <c r="I320" s="69">
        <f>'2c-Consumption Plan Wk3'!J$17</f>
        <v>0</v>
      </c>
      <c r="J320" s="69">
        <f>'2c-Consumption Plan Wk3'!K$17</f>
        <v>0</v>
      </c>
      <c r="K320" s="69">
        <f>'2c-Consumption Plan Wk3'!L$17</f>
        <v>0</v>
      </c>
      <c r="L320" s="69">
        <f>'2c-Consumption Plan Wk3'!M$17</f>
        <v>0</v>
      </c>
      <c r="M320" s="69">
        <f>'2c-Consumption Plan Wk3'!N$17</f>
        <v>0</v>
      </c>
    </row>
    <row r="321" spans="2:13" x14ac:dyDescent="0.2">
      <c r="B321" s="65" t="s">
        <v>745</v>
      </c>
      <c r="C321" s="74"/>
      <c r="D321" s="82" t="b">
        <f>IF(D320=1,TRUE,FALSE)</f>
        <v>0</v>
      </c>
      <c r="E321" s="82" t="b">
        <f t="shared" ref="E321" si="283">IF(E320=1,TRUE,FALSE)</f>
        <v>0</v>
      </c>
      <c r="F321" s="82" t="b">
        <f>IF(F320=1,TRUE,FALSE)</f>
        <v>0</v>
      </c>
      <c r="G321" s="82" t="b">
        <f t="shared" ref="G321" si="284">IF(G320=1,TRUE,FALSE)</f>
        <v>0</v>
      </c>
      <c r="H321" s="82" t="b">
        <f t="shared" ref="H321" si="285">IF(H320=1,TRUE,FALSE)</f>
        <v>0</v>
      </c>
      <c r="I321" s="82" t="b">
        <f t="shared" ref="I321" si="286">IF(I320=1,TRUE,FALSE)</f>
        <v>0</v>
      </c>
      <c r="J321" s="82" t="b">
        <f t="shared" ref="J321" si="287">IF(J320=1,TRUE,FALSE)</f>
        <v>0</v>
      </c>
      <c r="K321" s="82" t="b">
        <f t="shared" ref="K321" si="288">IF(K320=1,TRUE,FALSE)</f>
        <v>0</v>
      </c>
      <c r="L321" s="82" t="b">
        <f t="shared" ref="L321" si="289">IF(L320=1,TRUE,FALSE)</f>
        <v>0</v>
      </c>
      <c r="M321" s="82" t="b">
        <f t="shared" ref="M321" si="290">IF(M320=1,TRUE,FALSE)</f>
        <v>0</v>
      </c>
    </row>
    <row r="322" spans="2:13" x14ac:dyDescent="0.2">
      <c r="B322" s="65" t="s">
        <v>714</v>
      </c>
      <c r="C322" s="75">
        <f>'Status Quo Estimation'!M125</f>
        <v>0</v>
      </c>
      <c r="D322" s="86">
        <f>C322</f>
        <v>0</v>
      </c>
      <c r="E322" s="75">
        <f t="shared" ref="E322:M322" si="291">IF(D321=FALSE,D322*(1+$C$305),0)</f>
        <v>0</v>
      </c>
      <c r="F322" s="75">
        <f t="shared" si="291"/>
        <v>0</v>
      </c>
      <c r="G322" s="75">
        <f>IF(F321=FALSE,F322*(1+$C$305),0)</f>
        <v>0</v>
      </c>
      <c r="H322" s="75">
        <f t="shared" si="291"/>
        <v>0</v>
      </c>
      <c r="I322" s="75">
        <f t="shared" si="291"/>
        <v>0</v>
      </c>
      <c r="J322" s="75">
        <f t="shared" si="291"/>
        <v>0</v>
      </c>
      <c r="K322" s="75">
        <f t="shared" si="291"/>
        <v>0</v>
      </c>
      <c r="L322" s="75">
        <f t="shared" si="291"/>
        <v>0</v>
      </c>
      <c r="M322" s="75">
        <f t="shared" si="291"/>
        <v>0</v>
      </c>
    </row>
    <row r="323" spans="2:13" x14ac:dyDescent="0.2">
      <c r="B323" s="65" t="s">
        <v>717</v>
      </c>
      <c r="C323" s="75">
        <f>'Status Quo Estimation'!M135</f>
        <v>0</v>
      </c>
      <c r="D323" s="86">
        <f t="shared" ref="D323" si="292">C323</f>
        <v>0</v>
      </c>
      <c r="E323" s="75">
        <f>IF(D321=FALSE,D323*(1+$C$305),0)</f>
        <v>0</v>
      </c>
      <c r="F323" s="75">
        <f t="shared" ref="F323:M323" si="293">IF(E321=FALSE,E323*(1+$C$305),0)</f>
        <v>0</v>
      </c>
      <c r="G323" s="75">
        <f t="shared" si="293"/>
        <v>0</v>
      </c>
      <c r="H323" s="75">
        <f t="shared" si="293"/>
        <v>0</v>
      </c>
      <c r="I323" s="75">
        <f t="shared" si="293"/>
        <v>0</v>
      </c>
      <c r="J323" s="75">
        <f t="shared" si="293"/>
        <v>0</v>
      </c>
      <c r="K323" s="75">
        <f t="shared" si="293"/>
        <v>0</v>
      </c>
      <c r="L323" s="75">
        <f t="shared" si="293"/>
        <v>0</v>
      </c>
      <c r="M323" s="75">
        <f t="shared" si="293"/>
        <v>0</v>
      </c>
    </row>
    <row r="324" spans="2:13" x14ac:dyDescent="0.2">
      <c r="J324" s="88"/>
      <c r="K324" s="89"/>
    </row>
    <row r="325" spans="2:13" ht="7.5" customHeight="1" x14ac:dyDescent="0.2"/>
    <row r="326" spans="2:13" s="68" customFormat="1" x14ac:dyDescent="0.2">
      <c r="B326" s="68" t="s">
        <v>780</v>
      </c>
    </row>
    <row r="327" spans="2:13" ht="7.5" customHeight="1" x14ac:dyDescent="0.2"/>
    <row r="328" spans="2:13" x14ac:dyDescent="0.2">
      <c r="B328" s="65" t="s">
        <v>77</v>
      </c>
      <c r="C328" s="69">
        <f>'1-Client Variables'!$D$26</f>
        <v>0.1</v>
      </c>
    </row>
    <row r="330" spans="2:13" x14ac:dyDescent="0.2">
      <c r="B330" s="80" t="s">
        <v>411</v>
      </c>
      <c r="C330" s="73" t="s">
        <v>332</v>
      </c>
      <c r="D330" s="63">
        <v>1</v>
      </c>
      <c r="E330" s="63">
        <f>D330+1</f>
        <v>2</v>
      </c>
      <c r="F330" s="63">
        <f t="shared" ref="F330" si="294">E330+1</f>
        <v>3</v>
      </c>
      <c r="G330" s="63">
        <f t="shared" ref="G330" si="295">F330+1</f>
        <v>4</v>
      </c>
      <c r="H330" s="63">
        <f>G330+1</f>
        <v>5</v>
      </c>
      <c r="I330" s="63">
        <f>H330+1</f>
        <v>6</v>
      </c>
      <c r="J330" s="63">
        <f>I330+1</f>
        <v>7</v>
      </c>
      <c r="K330" s="63">
        <f t="shared" ref="K330" si="296">J330+1</f>
        <v>8</v>
      </c>
      <c r="L330" s="63">
        <f t="shared" ref="L330" si="297">K330+1</f>
        <v>9</v>
      </c>
      <c r="M330" s="63">
        <f t="shared" ref="M330" si="298">L330+1</f>
        <v>10</v>
      </c>
    </row>
    <row r="331" spans="2:13" x14ac:dyDescent="0.2">
      <c r="B331" s="239" t="s">
        <v>722</v>
      </c>
      <c r="C331" s="86">
        <f>'1-Client Variables'!D41</f>
        <v>0</v>
      </c>
      <c r="D331" s="86">
        <f>C331*(1+$C$328)</f>
        <v>0</v>
      </c>
      <c r="E331" s="86">
        <f t="shared" ref="E331:M331" si="299">D331*(1+$C$328)</f>
        <v>0</v>
      </c>
      <c r="F331" s="86">
        <f t="shared" si="299"/>
        <v>0</v>
      </c>
      <c r="G331" s="86">
        <f t="shared" si="299"/>
        <v>0</v>
      </c>
      <c r="H331" s="86">
        <f t="shared" si="299"/>
        <v>0</v>
      </c>
      <c r="I331" s="86">
        <f t="shared" si="299"/>
        <v>0</v>
      </c>
      <c r="J331" s="86">
        <f t="shared" si="299"/>
        <v>0</v>
      </c>
      <c r="K331" s="86">
        <f t="shared" si="299"/>
        <v>0</v>
      </c>
      <c r="L331" s="86">
        <f t="shared" si="299"/>
        <v>0</v>
      </c>
      <c r="M331" s="86">
        <f t="shared" si="299"/>
        <v>0</v>
      </c>
    </row>
    <row r="332" spans="2:13" x14ac:dyDescent="0.2">
      <c r="B332" s="65" t="s">
        <v>723</v>
      </c>
      <c r="C332" s="86">
        <f>'Benchmark Assumptions'!$K$63</f>
        <v>1200</v>
      </c>
      <c r="D332" s="86">
        <f>'Benchmark Assumptions'!$K$63</f>
        <v>1200</v>
      </c>
      <c r="E332" s="86">
        <f>'Benchmark Assumptions'!$K$63</f>
        <v>1200</v>
      </c>
      <c r="F332" s="86">
        <f>'Benchmark Assumptions'!$K$63</f>
        <v>1200</v>
      </c>
      <c r="G332" s="86">
        <f>'Benchmark Assumptions'!$K$63</f>
        <v>1200</v>
      </c>
      <c r="H332" s="86">
        <f>'Benchmark Assumptions'!$K$63</f>
        <v>1200</v>
      </c>
      <c r="I332" s="86">
        <f>'Benchmark Assumptions'!$K$63</f>
        <v>1200</v>
      </c>
      <c r="J332" s="86">
        <f>'Benchmark Assumptions'!$K$63</f>
        <v>1200</v>
      </c>
      <c r="K332" s="86">
        <f>'Benchmark Assumptions'!$K$63</f>
        <v>1200</v>
      </c>
      <c r="L332" s="86">
        <f>'Benchmark Assumptions'!$K$63</f>
        <v>1200</v>
      </c>
      <c r="M332" s="86">
        <f>'Benchmark Assumptions'!$K$63</f>
        <v>1200</v>
      </c>
    </row>
    <row r="333" spans="2:13" x14ac:dyDescent="0.2">
      <c r="B333" s="239" t="s">
        <v>724</v>
      </c>
      <c r="C333" s="86">
        <f>ROUND(C331/C332,0)</f>
        <v>0</v>
      </c>
      <c r="D333" s="86">
        <f t="shared" ref="D333:M333" si="300">ROUND(D331/D332,0)</f>
        <v>0</v>
      </c>
      <c r="E333" s="86">
        <f t="shared" si="300"/>
        <v>0</v>
      </c>
      <c r="F333" s="86">
        <f t="shared" si="300"/>
        <v>0</v>
      </c>
      <c r="G333" s="86">
        <f t="shared" si="300"/>
        <v>0</v>
      </c>
      <c r="H333" s="86">
        <f t="shared" si="300"/>
        <v>0</v>
      </c>
      <c r="I333" s="86">
        <f t="shared" si="300"/>
        <v>0</v>
      </c>
      <c r="J333" s="86">
        <f t="shared" si="300"/>
        <v>0</v>
      </c>
      <c r="K333" s="86">
        <f t="shared" si="300"/>
        <v>0</v>
      </c>
      <c r="L333" s="86">
        <f t="shared" si="300"/>
        <v>0</v>
      </c>
      <c r="M333" s="86">
        <f t="shared" si="300"/>
        <v>0</v>
      </c>
    </row>
    <row r="334" spans="2:13" x14ac:dyDescent="0.2">
      <c r="B334" s="65" t="s">
        <v>734</v>
      </c>
      <c r="D334" s="69">
        <f>'2a-Consumption Plan Wk1'!E17</f>
        <v>0.4</v>
      </c>
      <c r="E334" s="69">
        <f>'2a-Consumption Plan Wk1'!F17</f>
        <v>0.8</v>
      </c>
      <c r="F334" s="69">
        <f>'2a-Consumption Plan Wk1'!G17</f>
        <v>1</v>
      </c>
      <c r="G334" s="69">
        <f>'2a-Consumption Plan Wk1'!H17</f>
        <v>1</v>
      </c>
      <c r="H334" s="69">
        <f>'2a-Consumption Plan Wk1'!I17</f>
        <v>1</v>
      </c>
      <c r="I334" s="69">
        <f>'2a-Consumption Plan Wk1'!J17</f>
        <v>1</v>
      </c>
      <c r="J334" s="69">
        <f>'2a-Consumption Plan Wk1'!K17</f>
        <v>1</v>
      </c>
      <c r="K334" s="69">
        <f>'2a-Consumption Plan Wk1'!L17</f>
        <v>1</v>
      </c>
      <c r="L334" s="69">
        <f>'2a-Consumption Plan Wk1'!M17</f>
        <v>1</v>
      </c>
      <c r="M334" s="69">
        <f>'2a-Consumption Plan Wk1'!N17</f>
        <v>1</v>
      </c>
    </row>
    <row r="335" spans="2:13" x14ac:dyDescent="0.2">
      <c r="B335" s="239" t="s">
        <v>781</v>
      </c>
      <c r="D335" s="240"/>
      <c r="E335" s="241">
        <f>D334</f>
        <v>0.4</v>
      </c>
      <c r="F335" s="241">
        <f t="shared" ref="F335:M335" si="301">E334</f>
        <v>0.8</v>
      </c>
      <c r="G335" s="241">
        <f t="shared" si="301"/>
        <v>1</v>
      </c>
      <c r="H335" s="241">
        <f t="shared" si="301"/>
        <v>1</v>
      </c>
      <c r="I335" s="241">
        <f t="shared" si="301"/>
        <v>1</v>
      </c>
      <c r="J335" s="241">
        <f t="shared" si="301"/>
        <v>1</v>
      </c>
      <c r="K335" s="241">
        <f t="shared" si="301"/>
        <v>1</v>
      </c>
      <c r="L335" s="241">
        <f t="shared" si="301"/>
        <v>1</v>
      </c>
      <c r="M335" s="241">
        <f t="shared" si="301"/>
        <v>1</v>
      </c>
    </row>
    <row r="336" spans="2:13" x14ac:dyDescent="0.2">
      <c r="B336" s="239" t="s">
        <v>631</v>
      </c>
      <c r="D336" s="242">
        <f>'Benchmark Assumptions'!$K$67</f>
        <v>0.42</v>
      </c>
      <c r="E336" s="242">
        <f>'Benchmark Assumptions'!$K$67</f>
        <v>0.42</v>
      </c>
      <c r="F336" s="242">
        <f>'Benchmark Assumptions'!$K$67</f>
        <v>0.42</v>
      </c>
      <c r="G336" s="242">
        <f>'Benchmark Assumptions'!$K$67</f>
        <v>0.42</v>
      </c>
      <c r="H336" s="242">
        <f>'Benchmark Assumptions'!$K$67</f>
        <v>0.42</v>
      </c>
      <c r="I336" s="242">
        <f>'Benchmark Assumptions'!$K$67</f>
        <v>0.42</v>
      </c>
      <c r="J336" s="242">
        <f>'Benchmark Assumptions'!$K$67</f>
        <v>0.42</v>
      </c>
      <c r="K336" s="242">
        <f>'Benchmark Assumptions'!$K$67</f>
        <v>0.42</v>
      </c>
      <c r="L336" s="242">
        <f>'Benchmark Assumptions'!$K$67</f>
        <v>0.42</v>
      </c>
      <c r="M336" s="242">
        <f>'Benchmark Assumptions'!$K$67</f>
        <v>0.42</v>
      </c>
    </row>
    <row r="337" spans="2:14" x14ac:dyDescent="0.2">
      <c r="B337" s="239" t="s">
        <v>633</v>
      </c>
      <c r="D337" s="242">
        <f>'Benchmark Assumptions'!$K$68</f>
        <v>0.95</v>
      </c>
      <c r="E337" s="242">
        <f>'Benchmark Assumptions'!$K$68</f>
        <v>0.95</v>
      </c>
      <c r="F337" s="242">
        <f>'Benchmark Assumptions'!$K$68</f>
        <v>0.95</v>
      </c>
      <c r="G337" s="242">
        <f>'Benchmark Assumptions'!$K$68</f>
        <v>0.95</v>
      </c>
      <c r="H337" s="242">
        <f>'Benchmark Assumptions'!$K$68</f>
        <v>0.95</v>
      </c>
      <c r="I337" s="242">
        <f>'Benchmark Assumptions'!$K$68</f>
        <v>0.95</v>
      </c>
      <c r="J337" s="242">
        <f>'Benchmark Assumptions'!$K$68</f>
        <v>0.95</v>
      </c>
      <c r="K337" s="242">
        <f>'Benchmark Assumptions'!$K$68</f>
        <v>0.95</v>
      </c>
      <c r="L337" s="242">
        <f>'Benchmark Assumptions'!$K$68</f>
        <v>0.95</v>
      </c>
      <c r="M337" s="242">
        <f>'Benchmark Assumptions'!$K$68</f>
        <v>0.95</v>
      </c>
    </row>
    <row r="338" spans="2:14" x14ac:dyDescent="0.2">
      <c r="B338" s="239" t="s">
        <v>782</v>
      </c>
      <c r="C338" s="249">
        <f>ROUND(C333-C333*C335*C336*C337,0)</f>
        <v>0</v>
      </c>
      <c r="D338" s="246">
        <f>ROUND(D333-D333*D335*D336*D337,0)</f>
        <v>0</v>
      </c>
      <c r="E338" s="247">
        <f t="shared" ref="E338:M338" si="302">ROUND(E333-E333*E335*E336*E337,0)</f>
        <v>0</v>
      </c>
      <c r="F338" s="247">
        <f t="shared" si="302"/>
        <v>0</v>
      </c>
      <c r="G338" s="247">
        <f t="shared" si="302"/>
        <v>0</v>
      </c>
      <c r="H338" s="247">
        <f t="shared" si="302"/>
        <v>0</v>
      </c>
      <c r="I338" s="247">
        <f t="shared" si="302"/>
        <v>0</v>
      </c>
      <c r="J338" s="247">
        <f t="shared" si="302"/>
        <v>0</v>
      </c>
      <c r="K338" s="247">
        <f t="shared" si="302"/>
        <v>0</v>
      </c>
      <c r="L338" s="247">
        <f t="shared" si="302"/>
        <v>0</v>
      </c>
      <c r="M338" s="248">
        <f t="shared" si="302"/>
        <v>0</v>
      </c>
    </row>
    <row r="339" spans="2:14" x14ac:dyDescent="0.2">
      <c r="B339" s="239" t="s">
        <v>725</v>
      </c>
      <c r="C339" s="243">
        <f>'Benchmark Assumptions'!$K$64</f>
        <v>196587.20930232559</v>
      </c>
      <c r="D339" s="243">
        <f>'Benchmark Assumptions'!$K$64</f>
        <v>196587.20930232559</v>
      </c>
      <c r="E339" s="243">
        <f>'Benchmark Assumptions'!$K$64</f>
        <v>196587.20930232559</v>
      </c>
      <c r="F339" s="243">
        <f>'Benchmark Assumptions'!$K$64</f>
        <v>196587.20930232559</v>
      </c>
      <c r="G339" s="243">
        <f>'Benchmark Assumptions'!$K$64</f>
        <v>196587.20930232559</v>
      </c>
      <c r="H339" s="243">
        <f>'Benchmark Assumptions'!$K$64</f>
        <v>196587.20930232559</v>
      </c>
      <c r="I339" s="243">
        <f>'Benchmark Assumptions'!$K$64</f>
        <v>196587.20930232559</v>
      </c>
      <c r="J339" s="243">
        <f>'Benchmark Assumptions'!$K$64</f>
        <v>196587.20930232559</v>
      </c>
      <c r="K339" s="243">
        <f>'Benchmark Assumptions'!$K$64</f>
        <v>196587.20930232559</v>
      </c>
      <c r="L339" s="243">
        <f>'Benchmark Assumptions'!$K$64</f>
        <v>196587.20930232559</v>
      </c>
      <c r="M339" s="243">
        <f>'Benchmark Assumptions'!$K$64</f>
        <v>196587.20930232559</v>
      </c>
    </row>
    <row r="340" spans="2:14" x14ac:dyDescent="0.2">
      <c r="B340" s="239" t="s">
        <v>726</v>
      </c>
      <c r="C340" s="245">
        <f>C339*C338</f>
        <v>0</v>
      </c>
      <c r="D340" s="245">
        <f>D339*D338</f>
        <v>0</v>
      </c>
      <c r="E340" s="245">
        <f t="shared" ref="E340:M340" si="303">E339*E338</f>
        <v>0</v>
      </c>
      <c r="F340" s="245">
        <f t="shared" si="303"/>
        <v>0</v>
      </c>
      <c r="G340" s="245">
        <f t="shared" si="303"/>
        <v>0</v>
      </c>
      <c r="H340" s="245">
        <f t="shared" si="303"/>
        <v>0</v>
      </c>
      <c r="I340" s="245">
        <f t="shared" si="303"/>
        <v>0</v>
      </c>
      <c r="J340" s="245">
        <f t="shared" si="303"/>
        <v>0</v>
      </c>
      <c r="K340" s="245">
        <f t="shared" si="303"/>
        <v>0</v>
      </c>
      <c r="L340" s="245">
        <f t="shared" si="303"/>
        <v>0</v>
      </c>
      <c r="M340" s="245">
        <f t="shared" si="303"/>
        <v>0</v>
      </c>
      <c r="N340" s="74" t="e">
        <f>(M340-C340)/C340</f>
        <v>#DIV/0!</v>
      </c>
    </row>
    <row r="341" spans="2:14" x14ac:dyDescent="0.2">
      <c r="B341" s="252" t="s">
        <v>783</v>
      </c>
      <c r="C341" s="250"/>
      <c r="D341" s="251">
        <f>D338-'Status Quo Estimation'!J147</f>
        <v>0</v>
      </c>
      <c r="E341" s="251">
        <f>E338-'Status Quo Estimation'!K147</f>
        <v>0</v>
      </c>
      <c r="F341" s="251">
        <f>F338-'Status Quo Estimation'!L147</f>
        <v>0</v>
      </c>
      <c r="G341" s="251">
        <f>G338-'Status Quo Estimation'!M147</f>
        <v>0</v>
      </c>
      <c r="H341" s="251">
        <f>H338-'Status Quo Estimation'!N147</f>
        <v>0</v>
      </c>
      <c r="I341" s="251">
        <f>I338-'Status Quo Estimation'!O147</f>
        <v>0</v>
      </c>
      <c r="J341" s="251">
        <f>J338-'Status Quo Estimation'!P147</f>
        <v>0</v>
      </c>
      <c r="K341" s="251">
        <f>K338-'Status Quo Estimation'!Q147</f>
        <v>0</v>
      </c>
      <c r="L341" s="251">
        <f>L338-'Status Quo Estimation'!R147</f>
        <v>0</v>
      </c>
      <c r="M341" s="251">
        <f>M338-'Status Quo Estimation'!S147</f>
        <v>0</v>
      </c>
      <c r="N341" s="70"/>
    </row>
    <row r="343" spans="2:14" x14ac:dyDescent="0.2">
      <c r="B343" s="80" t="s">
        <v>412</v>
      </c>
      <c r="C343" s="73" t="s">
        <v>332</v>
      </c>
      <c r="D343" s="63">
        <v>1</v>
      </c>
      <c r="E343" s="63">
        <f>D343+1</f>
        <v>2</v>
      </c>
      <c r="F343" s="63">
        <f t="shared" ref="F343" si="304">E343+1</f>
        <v>3</v>
      </c>
      <c r="G343" s="63">
        <f t="shared" ref="G343" si="305">F343+1</f>
        <v>4</v>
      </c>
      <c r="H343" s="63">
        <f>G343+1</f>
        <v>5</v>
      </c>
      <c r="I343" s="63">
        <f>H343+1</f>
        <v>6</v>
      </c>
      <c r="J343" s="63">
        <f>I343+1</f>
        <v>7</v>
      </c>
      <c r="K343" s="63">
        <f t="shared" ref="K343" si="306">J343+1</f>
        <v>8</v>
      </c>
      <c r="L343" s="63">
        <f t="shared" ref="L343" si="307">K343+1</f>
        <v>9</v>
      </c>
      <c r="M343" s="63">
        <f t="shared" ref="M343" si="308">L343+1</f>
        <v>10</v>
      </c>
    </row>
    <row r="344" spans="2:14" x14ac:dyDescent="0.2">
      <c r="B344" s="239" t="s">
        <v>722</v>
      </c>
      <c r="C344" s="86">
        <f>'1-Client Variables'!D81</f>
        <v>0</v>
      </c>
      <c r="D344" s="86">
        <f>C344*(1+$C$328)</f>
        <v>0</v>
      </c>
      <c r="E344" s="86">
        <f t="shared" ref="E344:M344" si="309">D344*(1+$C$328)</f>
        <v>0</v>
      </c>
      <c r="F344" s="86">
        <f t="shared" si="309"/>
        <v>0</v>
      </c>
      <c r="G344" s="86">
        <f t="shared" si="309"/>
        <v>0</v>
      </c>
      <c r="H344" s="86">
        <f t="shared" si="309"/>
        <v>0</v>
      </c>
      <c r="I344" s="86">
        <f t="shared" si="309"/>
        <v>0</v>
      </c>
      <c r="J344" s="86">
        <f t="shared" si="309"/>
        <v>0</v>
      </c>
      <c r="K344" s="86">
        <f t="shared" si="309"/>
        <v>0</v>
      </c>
      <c r="L344" s="86">
        <f t="shared" si="309"/>
        <v>0</v>
      </c>
      <c r="M344" s="86">
        <f t="shared" si="309"/>
        <v>0</v>
      </c>
    </row>
    <row r="345" spans="2:14" x14ac:dyDescent="0.2">
      <c r="B345" s="65" t="s">
        <v>723</v>
      </c>
      <c r="C345" s="86">
        <f>'Benchmark Assumptions'!$K$63</f>
        <v>1200</v>
      </c>
      <c r="D345" s="86">
        <f>'Benchmark Assumptions'!$K$63</f>
        <v>1200</v>
      </c>
      <c r="E345" s="86">
        <f>'Benchmark Assumptions'!$K$63</f>
        <v>1200</v>
      </c>
      <c r="F345" s="86">
        <f>'Benchmark Assumptions'!$K$63</f>
        <v>1200</v>
      </c>
      <c r="G345" s="86">
        <f>'Benchmark Assumptions'!$K$63</f>
        <v>1200</v>
      </c>
      <c r="H345" s="86">
        <f>'Benchmark Assumptions'!$K$63</f>
        <v>1200</v>
      </c>
      <c r="I345" s="86">
        <f>'Benchmark Assumptions'!$K$63</f>
        <v>1200</v>
      </c>
      <c r="J345" s="86">
        <f>'Benchmark Assumptions'!$K$63</f>
        <v>1200</v>
      </c>
      <c r="K345" s="86">
        <f>'Benchmark Assumptions'!$K$63</f>
        <v>1200</v>
      </c>
      <c r="L345" s="86">
        <f>'Benchmark Assumptions'!$K$63</f>
        <v>1200</v>
      </c>
      <c r="M345" s="86">
        <f>'Benchmark Assumptions'!$K$63</f>
        <v>1200</v>
      </c>
    </row>
    <row r="346" spans="2:14" x14ac:dyDescent="0.2">
      <c r="B346" s="239" t="s">
        <v>724</v>
      </c>
      <c r="C346" s="86">
        <f>ROUND(C344/C345,0)</f>
        <v>0</v>
      </c>
      <c r="D346" s="86">
        <f t="shared" ref="D346:M346" si="310">ROUND(D344/D345,0)</f>
        <v>0</v>
      </c>
      <c r="E346" s="86">
        <f t="shared" si="310"/>
        <v>0</v>
      </c>
      <c r="F346" s="86">
        <f t="shared" si="310"/>
        <v>0</v>
      </c>
      <c r="G346" s="86">
        <f t="shared" si="310"/>
        <v>0</v>
      </c>
      <c r="H346" s="86">
        <f t="shared" si="310"/>
        <v>0</v>
      </c>
      <c r="I346" s="86">
        <f t="shared" si="310"/>
        <v>0</v>
      </c>
      <c r="J346" s="86">
        <f t="shared" si="310"/>
        <v>0</v>
      </c>
      <c r="K346" s="86">
        <f t="shared" si="310"/>
        <v>0</v>
      </c>
      <c r="L346" s="86">
        <f t="shared" si="310"/>
        <v>0</v>
      </c>
      <c r="M346" s="86">
        <f t="shared" si="310"/>
        <v>0</v>
      </c>
    </row>
    <row r="347" spans="2:14" x14ac:dyDescent="0.2">
      <c r="B347" s="65" t="s">
        <v>734</v>
      </c>
      <c r="D347" s="69">
        <f>'2b-Consumption Plan Wk2'!E17</f>
        <v>0</v>
      </c>
      <c r="E347" s="69">
        <f>'2b-Consumption Plan Wk2'!F17</f>
        <v>0</v>
      </c>
      <c r="F347" s="69">
        <f>'2b-Consumption Plan Wk2'!G17</f>
        <v>0</v>
      </c>
      <c r="G347" s="69">
        <f>'2b-Consumption Plan Wk2'!H17</f>
        <v>0</v>
      </c>
      <c r="H347" s="69">
        <f>'2b-Consumption Plan Wk2'!I17</f>
        <v>0</v>
      </c>
      <c r="I347" s="69">
        <f>'2b-Consumption Plan Wk2'!J17</f>
        <v>0</v>
      </c>
      <c r="J347" s="69">
        <f>'2b-Consumption Plan Wk2'!K17</f>
        <v>0</v>
      </c>
      <c r="K347" s="69">
        <f>'2b-Consumption Plan Wk2'!L17</f>
        <v>0</v>
      </c>
      <c r="L347" s="69">
        <f>'2b-Consumption Plan Wk2'!M17</f>
        <v>0</v>
      </c>
      <c r="M347" s="69">
        <f>'2b-Consumption Plan Wk2'!N17</f>
        <v>0</v>
      </c>
    </row>
    <row r="348" spans="2:14" x14ac:dyDescent="0.2">
      <c r="B348" s="239" t="s">
        <v>781</v>
      </c>
      <c r="D348" s="240"/>
      <c r="E348" s="241">
        <f>D347</f>
        <v>0</v>
      </c>
      <c r="F348" s="241">
        <f t="shared" ref="F348:M348" si="311">E347</f>
        <v>0</v>
      </c>
      <c r="G348" s="241">
        <f t="shared" si="311"/>
        <v>0</v>
      </c>
      <c r="H348" s="241">
        <f t="shared" si="311"/>
        <v>0</v>
      </c>
      <c r="I348" s="241">
        <f t="shared" si="311"/>
        <v>0</v>
      </c>
      <c r="J348" s="241">
        <f t="shared" si="311"/>
        <v>0</v>
      </c>
      <c r="K348" s="241">
        <f t="shared" si="311"/>
        <v>0</v>
      </c>
      <c r="L348" s="241">
        <f t="shared" si="311"/>
        <v>0</v>
      </c>
      <c r="M348" s="241">
        <f t="shared" si="311"/>
        <v>0</v>
      </c>
    </row>
    <row r="349" spans="2:14" x14ac:dyDescent="0.2">
      <c r="B349" s="239" t="s">
        <v>631</v>
      </c>
      <c r="D349" s="242">
        <f>'Benchmark Assumptions'!$K$67</f>
        <v>0.42</v>
      </c>
      <c r="E349" s="242">
        <f>'Benchmark Assumptions'!$K$67</f>
        <v>0.42</v>
      </c>
      <c r="F349" s="242">
        <f>'Benchmark Assumptions'!$K$67</f>
        <v>0.42</v>
      </c>
      <c r="G349" s="242">
        <f>'Benchmark Assumptions'!$K$67</f>
        <v>0.42</v>
      </c>
      <c r="H349" s="242">
        <f>'Benchmark Assumptions'!$K$67</f>
        <v>0.42</v>
      </c>
      <c r="I349" s="242">
        <f>'Benchmark Assumptions'!$K$67</f>
        <v>0.42</v>
      </c>
      <c r="J349" s="242">
        <f>'Benchmark Assumptions'!$K$67</f>
        <v>0.42</v>
      </c>
      <c r="K349" s="242">
        <f>'Benchmark Assumptions'!$K$67</f>
        <v>0.42</v>
      </c>
      <c r="L349" s="242">
        <f>'Benchmark Assumptions'!$K$67</f>
        <v>0.42</v>
      </c>
      <c r="M349" s="242">
        <f>'Benchmark Assumptions'!$K$67</f>
        <v>0.42</v>
      </c>
    </row>
    <row r="350" spans="2:14" x14ac:dyDescent="0.2">
      <c r="B350" s="239" t="s">
        <v>633</v>
      </c>
      <c r="D350" s="242">
        <f>'Benchmark Assumptions'!$K$68</f>
        <v>0.95</v>
      </c>
      <c r="E350" s="242">
        <f>'Benchmark Assumptions'!$K$68</f>
        <v>0.95</v>
      </c>
      <c r="F350" s="242">
        <f>'Benchmark Assumptions'!$K$68</f>
        <v>0.95</v>
      </c>
      <c r="G350" s="242">
        <f>'Benchmark Assumptions'!$K$68</f>
        <v>0.95</v>
      </c>
      <c r="H350" s="242">
        <f>'Benchmark Assumptions'!$K$68</f>
        <v>0.95</v>
      </c>
      <c r="I350" s="242">
        <f>'Benchmark Assumptions'!$K$68</f>
        <v>0.95</v>
      </c>
      <c r="J350" s="242">
        <f>'Benchmark Assumptions'!$K$68</f>
        <v>0.95</v>
      </c>
      <c r="K350" s="242">
        <f>'Benchmark Assumptions'!$K$68</f>
        <v>0.95</v>
      </c>
      <c r="L350" s="242">
        <f>'Benchmark Assumptions'!$K$68</f>
        <v>0.95</v>
      </c>
      <c r="M350" s="242">
        <f>'Benchmark Assumptions'!$K$68</f>
        <v>0.95</v>
      </c>
    </row>
    <row r="351" spans="2:14" x14ac:dyDescent="0.2">
      <c r="B351" s="239" t="s">
        <v>782</v>
      </c>
      <c r="C351" s="249">
        <f>ROUND(C346-C346*C348*C349*C350,0)</f>
        <v>0</v>
      </c>
      <c r="D351" s="246">
        <f>ROUND(D346-D346*D348*D349*D350,0)</f>
        <v>0</v>
      </c>
      <c r="E351" s="247">
        <f t="shared" ref="E351" si="312">ROUND(E346-E346*E348*E349*E350,0)</f>
        <v>0</v>
      </c>
      <c r="F351" s="247">
        <f t="shared" ref="F351" si="313">ROUND(F346-F346*F348*F349*F350,0)</f>
        <v>0</v>
      </c>
      <c r="G351" s="247">
        <f t="shared" ref="G351" si="314">ROUND(G346-G346*G348*G349*G350,0)</f>
        <v>0</v>
      </c>
      <c r="H351" s="247">
        <f>ROUND(H346-H346*H348*H349*H350,0)</f>
        <v>0</v>
      </c>
      <c r="I351" s="247">
        <f t="shared" ref="I351" si="315">ROUND(I346-I346*I348*I349*I350,0)</f>
        <v>0</v>
      </c>
      <c r="J351" s="247">
        <f t="shared" ref="J351" si="316">ROUND(J346-J346*J348*J349*J350,0)</f>
        <v>0</v>
      </c>
      <c r="K351" s="247">
        <f t="shared" ref="K351" si="317">ROUND(K346-K346*K348*K349*K350,0)</f>
        <v>0</v>
      </c>
      <c r="L351" s="247">
        <f t="shared" ref="L351" si="318">ROUND(L346-L346*L348*L349*L350,0)</f>
        <v>0</v>
      </c>
      <c r="M351" s="248">
        <f t="shared" ref="M351" si="319">ROUND(M346-M346*M348*M349*M350,0)</f>
        <v>0</v>
      </c>
    </row>
    <row r="352" spans="2:14" x14ac:dyDescent="0.2">
      <c r="B352" s="239" t="s">
        <v>725</v>
      </c>
      <c r="C352" s="243">
        <f>'Benchmark Assumptions'!$K$64</f>
        <v>196587.20930232559</v>
      </c>
      <c r="D352" s="243">
        <f>'Benchmark Assumptions'!$K$64</f>
        <v>196587.20930232559</v>
      </c>
      <c r="E352" s="243">
        <f>'Benchmark Assumptions'!$K$64</f>
        <v>196587.20930232559</v>
      </c>
      <c r="F352" s="243">
        <f>'Benchmark Assumptions'!$K$64</f>
        <v>196587.20930232559</v>
      </c>
      <c r="G352" s="243">
        <f>'Benchmark Assumptions'!$K$64</f>
        <v>196587.20930232559</v>
      </c>
      <c r="H352" s="243">
        <f>'Benchmark Assumptions'!$K$64</f>
        <v>196587.20930232559</v>
      </c>
      <c r="I352" s="243">
        <f>'Benchmark Assumptions'!$K$64</f>
        <v>196587.20930232559</v>
      </c>
      <c r="J352" s="243">
        <f>'Benchmark Assumptions'!$K$64</f>
        <v>196587.20930232559</v>
      </c>
      <c r="K352" s="243">
        <f>'Benchmark Assumptions'!$K$64</f>
        <v>196587.20930232559</v>
      </c>
      <c r="L352" s="243">
        <f>'Benchmark Assumptions'!$K$64</f>
        <v>196587.20930232559</v>
      </c>
      <c r="M352" s="243">
        <f>'Benchmark Assumptions'!$K$64</f>
        <v>196587.20930232559</v>
      </c>
    </row>
    <row r="353" spans="2:14" x14ac:dyDescent="0.2">
      <c r="B353" s="239" t="s">
        <v>726</v>
      </c>
      <c r="C353" s="245">
        <f>C352*C351</f>
        <v>0</v>
      </c>
      <c r="D353" s="245">
        <f>D352*D351</f>
        <v>0</v>
      </c>
      <c r="E353" s="245">
        <f t="shared" ref="E353" si="320">E352*E351</f>
        <v>0</v>
      </c>
      <c r="F353" s="245">
        <f t="shared" ref="F353" si="321">F352*F351</f>
        <v>0</v>
      </c>
      <c r="G353" s="245">
        <f t="shared" ref="G353" si="322">G352*G351</f>
        <v>0</v>
      </c>
      <c r="H353" s="245">
        <f t="shared" ref="H353" si="323">H352*H351</f>
        <v>0</v>
      </c>
      <c r="I353" s="245">
        <f t="shared" ref="I353" si="324">I352*I351</f>
        <v>0</v>
      </c>
      <c r="J353" s="245">
        <f t="shared" ref="J353" si="325">J352*J351</f>
        <v>0</v>
      </c>
      <c r="K353" s="245">
        <f t="shared" ref="K353" si="326">K352*K351</f>
        <v>0</v>
      </c>
      <c r="L353" s="245">
        <f t="shared" ref="L353" si="327">L352*L351</f>
        <v>0</v>
      </c>
      <c r="M353" s="245">
        <f t="shared" ref="M353" si="328">M352*M351</f>
        <v>0</v>
      </c>
      <c r="N353" s="74" t="e">
        <f>(M353-C353)/C353</f>
        <v>#DIV/0!</v>
      </c>
    </row>
    <row r="354" spans="2:14" x14ac:dyDescent="0.2">
      <c r="B354" s="252" t="s">
        <v>783</v>
      </c>
      <c r="C354" s="250"/>
      <c r="D354" s="251">
        <f>D351-'Status Quo Estimation'!J154</f>
        <v>0</v>
      </c>
      <c r="E354" s="251">
        <f>E351-'Status Quo Estimation'!K154</f>
        <v>0</v>
      </c>
      <c r="F354" s="251">
        <f>F351-'Status Quo Estimation'!L154</f>
        <v>0</v>
      </c>
      <c r="G354" s="251">
        <f>G351-'Status Quo Estimation'!M154</f>
        <v>0</v>
      </c>
      <c r="H354" s="251">
        <f>H351-'Status Quo Estimation'!N154</f>
        <v>0</v>
      </c>
      <c r="I354" s="251">
        <f>I351-'Status Quo Estimation'!O154</f>
        <v>0</v>
      </c>
      <c r="J354" s="251">
        <f>J351-'Status Quo Estimation'!P154</f>
        <v>0</v>
      </c>
      <c r="K354" s="251">
        <f>K351-'Status Quo Estimation'!Q154</f>
        <v>0</v>
      </c>
      <c r="L354" s="251">
        <f>L351-'Status Quo Estimation'!R154</f>
        <v>0</v>
      </c>
      <c r="M354" s="251">
        <f>M351-'Status Quo Estimation'!S154</f>
        <v>0</v>
      </c>
      <c r="N354" s="70"/>
    </row>
    <row r="356" spans="2:14" x14ac:dyDescent="0.2">
      <c r="B356" s="80" t="s">
        <v>413</v>
      </c>
      <c r="C356" s="73" t="s">
        <v>332</v>
      </c>
      <c r="D356" s="63">
        <v>1</v>
      </c>
      <c r="E356" s="63">
        <f>D356+1</f>
        <v>2</v>
      </c>
      <c r="F356" s="63">
        <f t="shared" ref="F356" si="329">E356+1</f>
        <v>3</v>
      </c>
      <c r="G356" s="63">
        <f t="shared" ref="G356" si="330">F356+1</f>
        <v>4</v>
      </c>
      <c r="H356" s="63">
        <f>G356+1</f>
        <v>5</v>
      </c>
      <c r="I356" s="63">
        <f>H356+1</f>
        <v>6</v>
      </c>
      <c r="J356" s="63">
        <f>I356+1</f>
        <v>7</v>
      </c>
      <c r="K356" s="63">
        <f t="shared" ref="K356" si="331">J356+1</f>
        <v>8</v>
      </c>
      <c r="L356" s="63">
        <f t="shared" ref="L356" si="332">K356+1</f>
        <v>9</v>
      </c>
      <c r="M356" s="63">
        <f t="shared" ref="M356" si="333">L356+1</f>
        <v>10</v>
      </c>
    </row>
    <row r="357" spans="2:14" x14ac:dyDescent="0.2">
      <c r="B357" s="239" t="s">
        <v>722</v>
      </c>
      <c r="C357" s="86">
        <f>'1-Client Variables'!D120</f>
        <v>0</v>
      </c>
      <c r="D357" s="86">
        <f>C357*(1+$C$328)</f>
        <v>0</v>
      </c>
      <c r="E357" s="86">
        <f t="shared" ref="E357:M357" si="334">D357*(1+$C$328)</f>
        <v>0</v>
      </c>
      <c r="F357" s="86">
        <f t="shared" si="334"/>
        <v>0</v>
      </c>
      <c r="G357" s="86">
        <f t="shared" si="334"/>
        <v>0</v>
      </c>
      <c r="H357" s="86">
        <f t="shared" si="334"/>
        <v>0</v>
      </c>
      <c r="I357" s="86">
        <f t="shared" si="334"/>
        <v>0</v>
      </c>
      <c r="J357" s="86">
        <f t="shared" si="334"/>
        <v>0</v>
      </c>
      <c r="K357" s="86">
        <f t="shared" si="334"/>
        <v>0</v>
      </c>
      <c r="L357" s="86">
        <f t="shared" si="334"/>
        <v>0</v>
      </c>
      <c r="M357" s="86">
        <f t="shared" si="334"/>
        <v>0</v>
      </c>
    </row>
    <row r="358" spans="2:14" x14ac:dyDescent="0.2">
      <c r="B358" s="65" t="s">
        <v>723</v>
      </c>
      <c r="C358" s="86">
        <f>'Benchmark Assumptions'!$K$63</f>
        <v>1200</v>
      </c>
      <c r="D358" s="86">
        <f>'Benchmark Assumptions'!$K$63</f>
        <v>1200</v>
      </c>
      <c r="E358" s="86">
        <f>'Benchmark Assumptions'!$K$63</f>
        <v>1200</v>
      </c>
      <c r="F358" s="86">
        <f>'Benchmark Assumptions'!$K$63</f>
        <v>1200</v>
      </c>
      <c r="G358" s="86">
        <f>'Benchmark Assumptions'!$K$63</f>
        <v>1200</v>
      </c>
      <c r="H358" s="86">
        <f>'Benchmark Assumptions'!$K$63</f>
        <v>1200</v>
      </c>
      <c r="I358" s="86">
        <f>'Benchmark Assumptions'!$K$63</f>
        <v>1200</v>
      </c>
      <c r="J358" s="86">
        <f>'Benchmark Assumptions'!$K$63</f>
        <v>1200</v>
      </c>
      <c r="K358" s="86">
        <f>'Benchmark Assumptions'!$K$63</f>
        <v>1200</v>
      </c>
      <c r="L358" s="86">
        <f>'Benchmark Assumptions'!$K$63</f>
        <v>1200</v>
      </c>
      <c r="M358" s="86">
        <f>'Benchmark Assumptions'!$K$63</f>
        <v>1200</v>
      </c>
    </row>
    <row r="359" spans="2:14" x14ac:dyDescent="0.2">
      <c r="B359" s="239" t="s">
        <v>724</v>
      </c>
      <c r="C359" s="86">
        <f t="shared" ref="C359:M359" si="335">ROUND(C357/C358,0)</f>
        <v>0</v>
      </c>
      <c r="D359" s="86">
        <f t="shared" si="335"/>
        <v>0</v>
      </c>
      <c r="E359" s="86">
        <f t="shared" si="335"/>
        <v>0</v>
      </c>
      <c r="F359" s="86">
        <f t="shared" si="335"/>
        <v>0</v>
      </c>
      <c r="G359" s="86">
        <f t="shared" si="335"/>
        <v>0</v>
      </c>
      <c r="H359" s="86">
        <f t="shared" si="335"/>
        <v>0</v>
      </c>
      <c r="I359" s="86">
        <f t="shared" si="335"/>
        <v>0</v>
      </c>
      <c r="J359" s="86">
        <f t="shared" si="335"/>
        <v>0</v>
      </c>
      <c r="K359" s="86">
        <f t="shared" si="335"/>
        <v>0</v>
      </c>
      <c r="L359" s="86">
        <f t="shared" si="335"/>
        <v>0</v>
      </c>
      <c r="M359" s="86">
        <f t="shared" si="335"/>
        <v>0</v>
      </c>
    </row>
    <row r="360" spans="2:14" x14ac:dyDescent="0.2">
      <c r="B360" s="65" t="s">
        <v>734</v>
      </c>
      <c r="D360" s="69">
        <f>'2c-Consumption Plan Wk3'!E17</f>
        <v>0</v>
      </c>
      <c r="E360" s="69">
        <f>'2c-Consumption Plan Wk3'!F17</f>
        <v>0</v>
      </c>
      <c r="F360" s="69">
        <f>'2c-Consumption Plan Wk3'!G17</f>
        <v>0</v>
      </c>
      <c r="G360" s="69">
        <f>'2c-Consumption Plan Wk3'!H17</f>
        <v>0</v>
      </c>
      <c r="H360" s="69">
        <f>'2c-Consumption Plan Wk3'!I17</f>
        <v>0</v>
      </c>
      <c r="I360" s="69">
        <f>'2c-Consumption Plan Wk3'!J17</f>
        <v>0</v>
      </c>
      <c r="J360" s="69">
        <f>'2c-Consumption Plan Wk3'!K17</f>
        <v>0</v>
      </c>
      <c r="K360" s="69">
        <f>'2c-Consumption Plan Wk3'!L17</f>
        <v>0</v>
      </c>
      <c r="L360" s="69">
        <f>'2c-Consumption Plan Wk3'!M17</f>
        <v>0</v>
      </c>
      <c r="M360" s="69">
        <f>'2c-Consumption Plan Wk3'!N17</f>
        <v>0</v>
      </c>
    </row>
    <row r="361" spans="2:14" x14ac:dyDescent="0.2">
      <c r="B361" s="239" t="s">
        <v>781</v>
      </c>
      <c r="D361" s="240"/>
      <c r="E361" s="241">
        <f>D360</f>
        <v>0</v>
      </c>
      <c r="F361" s="241">
        <f t="shared" ref="F361:M361" si="336">E360</f>
        <v>0</v>
      </c>
      <c r="G361" s="241">
        <f t="shared" si="336"/>
        <v>0</v>
      </c>
      <c r="H361" s="241">
        <f t="shared" si="336"/>
        <v>0</v>
      </c>
      <c r="I361" s="241">
        <f t="shared" si="336"/>
        <v>0</v>
      </c>
      <c r="J361" s="241">
        <f t="shared" si="336"/>
        <v>0</v>
      </c>
      <c r="K361" s="241">
        <f t="shared" si="336"/>
        <v>0</v>
      </c>
      <c r="L361" s="241">
        <f t="shared" si="336"/>
        <v>0</v>
      </c>
      <c r="M361" s="241">
        <f t="shared" si="336"/>
        <v>0</v>
      </c>
    </row>
    <row r="362" spans="2:14" x14ac:dyDescent="0.2">
      <c r="B362" s="239" t="s">
        <v>631</v>
      </c>
      <c r="D362" s="242">
        <f>'Benchmark Assumptions'!$K$67</f>
        <v>0.42</v>
      </c>
      <c r="E362" s="242">
        <f>'Benchmark Assumptions'!$K$67</f>
        <v>0.42</v>
      </c>
      <c r="F362" s="242">
        <f>'Benchmark Assumptions'!$K$67</f>
        <v>0.42</v>
      </c>
      <c r="G362" s="242">
        <f>'Benchmark Assumptions'!$K$67</f>
        <v>0.42</v>
      </c>
      <c r="H362" s="242">
        <f>'Benchmark Assumptions'!$K$67</f>
        <v>0.42</v>
      </c>
      <c r="I362" s="242">
        <f>'Benchmark Assumptions'!$K$67</f>
        <v>0.42</v>
      </c>
      <c r="J362" s="242">
        <f>'Benchmark Assumptions'!$K$67</f>
        <v>0.42</v>
      </c>
      <c r="K362" s="242">
        <f>'Benchmark Assumptions'!$K$67</f>
        <v>0.42</v>
      </c>
      <c r="L362" s="242">
        <f>'Benchmark Assumptions'!$K$67</f>
        <v>0.42</v>
      </c>
      <c r="M362" s="242">
        <f>'Benchmark Assumptions'!$K$67</f>
        <v>0.42</v>
      </c>
    </row>
    <row r="363" spans="2:14" x14ac:dyDescent="0.2">
      <c r="B363" s="239" t="s">
        <v>633</v>
      </c>
      <c r="D363" s="242">
        <f>'Benchmark Assumptions'!$K$68</f>
        <v>0.95</v>
      </c>
      <c r="E363" s="242">
        <f>'Benchmark Assumptions'!$K$68</f>
        <v>0.95</v>
      </c>
      <c r="F363" s="242">
        <f>'Benchmark Assumptions'!$K$68</f>
        <v>0.95</v>
      </c>
      <c r="G363" s="242">
        <f>'Benchmark Assumptions'!$K$68</f>
        <v>0.95</v>
      </c>
      <c r="H363" s="242">
        <f>'Benchmark Assumptions'!$K$68</f>
        <v>0.95</v>
      </c>
      <c r="I363" s="242">
        <f>'Benchmark Assumptions'!$K$68</f>
        <v>0.95</v>
      </c>
      <c r="J363" s="242">
        <f>'Benchmark Assumptions'!$K$68</f>
        <v>0.95</v>
      </c>
      <c r="K363" s="242">
        <f>'Benchmark Assumptions'!$K$68</f>
        <v>0.95</v>
      </c>
      <c r="L363" s="242">
        <f>'Benchmark Assumptions'!$K$68</f>
        <v>0.95</v>
      </c>
      <c r="M363" s="242">
        <f>'Benchmark Assumptions'!$K$68</f>
        <v>0.95</v>
      </c>
    </row>
    <row r="364" spans="2:14" x14ac:dyDescent="0.2">
      <c r="B364" s="239" t="s">
        <v>782</v>
      </c>
      <c r="C364" s="249">
        <f>ROUND(C359-C359*C361*C362*C363,0)</f>
        <v>0</v>
      </c>
      <c r="D364" s="246">
        <f>ROUND(D359-D359*D361*D362*D363,0)</f>
        <v>0</v>
      </c>
      <c r="E364" s="247">
        <f t="shared" ref="E364" si="337">ROUND(E359-E359*E361*E362*E363,0)</f>
        <v>0</v>
      </c>
      <c r="F364" s="247">
        <f t="shared" ref="F364" si="338">ROUND(F359-F359*F361*F362*F363,0)</f>
        <v>0</v>
      </c>
      <c r="G364" s="247">
        <f t="shared" ref="G364" si="339">ROUND(G359-G359*G361*G362*G363,0)</f>
        <v>0</v>
      </c>
      <c r="H364" s="247">
        <f t="shared" ref="H364" si="340">ROUND(H359-H359*H361*H362*H363,0)</f>
        <v>0</v>
      </c>
      <c r="I364" s="247">
        <f t="shared" ref="I364" si="341">ROUND(I359-I359*I361*I362*I363,0)</f>
        <v>0</v>
      </c>
      <c r="J364" s="247">
        <f t="shared" ref="J364" si="342">ROUND(J359-J359*J361*J362*J363,0)</f>
        <v>0</v>
      </c>
      <c r="K364" s="247">
        <f t="shared" ref="K364" si="343">ROUND(K359-K359*K361*K362*K363,0)</f>
        <v>0</v>
      </c>
      <c r="L364" s="247">
        <f t="shared" ref="L364" si="344">ROUND(L359-L359*L361*L362*L363,0)</f>
        <v>0</v>
      </c>
      <c r="M364" s="248">
        <f t="shared" ref="M364" si="345">ROUND(M359-M359*M361*M362*M363,0)</f>
        <v>0</v>
      </c>
    </row>
    <row r="365" spans="2:14" x14ac:dyDescent="0.2">
      <c r="B365" s="239" t="s">
        <v>725</v>
      </c>
      <c r="C365" s="243">
        <f>'Benchmark Assumptions'!$K$64</f>
        <v>196587.20930232559</v>
      </c>
      <c r="D365" s="243">
        <f>'Benchmark Assumptions'!$K$64</f>
        <v>196587.20930232559</v>
      </c>
      <c r="E365" s="243">
        <f>'Benchmark Assumptions'!$K$64</f>
        <v>196587.20930232559</v>
      </c>
      <c r="F365" s="243">
        <f>'Benchmark Assumptions'!$K$64</f>
        <v>196587.20930232559</v>
      </c>
      <c r="G365" s="243">
        <f>'Benchmark Assumptions'!$K$64</f>
        <v>196587.20930232559</v>
      </c>
      <c r="H365" s="243">
        <f>'Benchmark Assumptions'!$K$64</f>
        <v>196587.20930232559</v>
      </c>
      <c r="I365" s="243">
        <f>'Benchmark Assumptions'!$K$64</f>
        <v>196587.20930232559</v>
      </c>
      <c r="J365" s="243">
        <f>'Benchmark Assumptions'!$K$64</f>
        <v>196587.20930232559</v>
      </c>
      <c r="K365" s="243">
        <f>'Benchmark Assumptions'!$K$64</f>
        <v>196587.20930232559</v>
      </c>
      <c r="L365" s="243">
        <f>'Benchmark Assumptions'!$K$64</f>
        <v>196587.20930232559</v>
      </c>
      <c r="M365" s="243">
        <f>'Benchmark Assumptions'!$K$64</f>
        <v>196587.20930232559</v>
      </c>
    </row>
    <row r="366" spans="2:14" x14ac:dyDescent="0.2">
      <c r="B366" s="239" t="s">
        <v>726</v>
      </c>
      <c r="C366" s="245">
        <f>C365*C364</f>
        <v>0</v>
      </c>
      <c r="D366" s="245">
        <f>D365*D364</f>
        <v>0</v>
      </c>
      <c r="E366" s="245">
        <f t="shared" ref="E366" si="346">E365*E364</f>
        <v>0</v>
      </c>
      <c r="F366" s="245">
        <f t="shared" ref="F366" si="347">F365*F364</f>
        <v>0</v>
      </c>
      <c r="G366" s="245">
        <f t="shared" ref="G366" si="348">G365*G364</f>
        <v>0</v>
      </c>
      <c r="H366" s="245">
        <f t="shared" ref="H366" si="349">H365*H364</f>
        <v>0</v>
      </c>
      <c r="I366" s="245">
        <f t="shared" ref="I366" si="350">I365*I364</f>
        <v>0</v>
      </c>
      <c r="J366" s="245">
        <f t="shared" ref="J366" si="351">J365*J364</f>
        <v>0</v>
      </c>
      <c r="K366" s="245">
        <f t="shared" ref="K366" si="352">K365*K364</f>
        <v>0</v>
      </c>
      <c r="L366" s="245">
        <f t="shared" ref="L366" si="353">L365*L364</f>
        <v>0</v>
      </c>
      <c r="M366" s="245">
        <f t="shared" ref="M366" si="354">M365*M364</f>
        <v>0</v>
      </c>
      <c r="N366" s="74" t="e">
        <f>(M366-C366)/C366</f>
        <v>#DIV/0!</v>
      </c>
    </row>
    <row r="367" spans="2:14" x14ac:dyDescent="0.2">
      <c r="B367" s="252" t="s">
        <v>783</v>
      </c>
      <c r="C367" s="250"/>
      <c r="D367" s="251">
        <f>D364-'Status Quo Estimation'!J161</f>
        <v>0</v>
      </c>
      <c r="E367" s="251">
        <f>E364-'Status Quo Estimation'!K161</f>
        <v>0</v>
      </c>
      <c r="F367" s="251">
        <f>F364-'Status Quo Estimation'!L161</f>
        <v>0</v>
      </c>
      <c r="G367" s="251">
        <f>G364-'Status Quo Estimation'!M161</f>
        <v>0</v>
      </c>
      <c r="H367" s="251">
        <f>H364-'Status Quo Estimation'!N161</f>
        <v>0</v>
      </c>
      <c r="I367" s="251">
        <f>I364-'Status Quo Estimation'!O161</f>
        <v>0</v>
      </c>
      <c r="J367" s="251">
        <f>J364-'Status Quo Estimation'!P161</f>
        <v>0</v>
      </c>
      <c r="K367" s="251">
        <f>K364-'Status Quo Estimation'!Q161</f>
        <v>0</v>
      </c>
      <c r="L367" s="251">
        <f>L364-'Status Quo Estimation'!R161</f>
        <v>0</v>
      </c>
      <c r="M367" s="251">
        <f>M364-'Status Quo Estimation'!S161</f>
        <v>0</v>
      </c>
      <c r="N367" s="70"/>
    </row>
    <row r="369" spans="2:13" x14ac:dyDescent="0.2">
      <c r="B369" s="65" t="s">
        <v>727</v>
      </c>
      <c r="C369" s="85" t="str">
        <f>'1-Client Variables'!$D$31</f>
        <v>Yes</v>
      </c>
    </row>
    <row r="370" spans="2:13" x14ac:dyDescent="0.2">
      <c r="B370" s="65" t="s">
        <v>710</v>
      </c>
      <c r="C370" s="75">
        <f>IF($C$369="Yes",C340+C353+C366,0)</f>
        <v>0</v>
      </c>
      <c r="D370" s="75">
        <f t="shared" ref="D370:M370" si="355">IF($C$369="Yes",D340+D353+D366,0)</f>
        <v>0</v>
      </c>
      <c r="E370" s="75">
        <f t="shared" si="355"/>
        <v>0</v>
      </c>
      <c r="F370" s="75">
        <f t="shared" si="355"/>
        <v>0</v>
      </c>
      <c r="G370" s="75">
        <f t="shared" si="355"/>
        <v>0</v>
      </c>
      <c r="H370" s="75">
        <f t="shared" si="355"/>
        <v>0</v>
      </c>
      <c r="I370" s="75">
        <f t="shared" si="355"/>
        <v>0</v>
      </c>
      <c r="J370" s="75">
        <f t="shared" si="355"/>
        <v>0</v>
      </c>
      <c r="K370" s="75">
        <f t="shared" si="355"/>
        <v>0</v>
      </c>
      <c r="L370" s="75">
        <f t="shared" si="355"/>
        <v>0</v>
      </c>
      <c r="M370" s="75">
        <f t="shared" si="355"/>
        <v>0</v>
      </c>
    </row>
  </sheetData>
  <phoneticPr fontId="21" type="noConversion"/>
  <conditionalFormatting sqref="D49:M49">
    <cfRule type="containsText" dxfId="57" priority="45" operator="containsText" text="TRUE">
      <formula>NOT(ISERROR(SEARCH("TRUE",D49)))</formula>
    </cfRule>
    <cfRule type="containsText" dxfId="56" priority="46" operator="containsText" text="FALSE">
      <formula>NOT(ISERROR(SEARCH("FALSE",D49)))</formula>
    </cfRule>
  </conditionalFormatting>
  <conditionalFormatting sqref="D52:M52">
    <cfRule type="containsText" dxfId="55" priority="33" operator="containsText" text="TRUE">
      <formula>NOT(ISERROR(SEARCH("TRUE",D52)))</formula>
    </cfRule>
    <cfRule type="containsText" dxfId="54" priority="34" operator="containsText" text="FALSE">
      <formula>NOT(ISERROR(SEARCH("FALSE",D52)))</formula>
    </cfRule>
  </conditionalFormatting>
  <conditionalFormatting sqref="D64:M64">
    <cfRule type="containsText" dxfId="53" priority="55" operator="containsText" text="TRUE">
      <formula>NOT(ISERROR(SEARCH("TRUE",D64)))</formula>
    </cfRule>
    <cfRule type="containsText" dxfId="52" priority="56" operator="containsText" text="FALSE">
      <formula>NOT(ISERROR(SEARCH("FALSE",D64)))</formula>
    </cfRule>
  </conditionalFormatting>
  <conditionalFormatting sqref="D67:M67">
    <cfRule type="containsText" dxfId="51" priority="43" operator="containsText" text="TRUE">
      <formula>NOT(ISERROR(SEARCH("TRUE",D67)))</formula>
    </cfRule>
    <cfRule type="containsText" dxfId="50" priority="44" operator="containsText" text="FALSE">
      <formula>NOT(ISERROR(SEARCH("FALSE",D67)))</formula>
    </cfRule>
  </conditionalFormatting>
  <conditionalFormatting sqref="D79:M79">
    <cfRule type="containsText" dxfId="49" priority="53" operator="containsText" text="TRUE">
      <formula>NOT(ISERROR(SEARCH("TRUE",D79)))</formula>
    </cfRule>
    <cfRule type="containsText" dxfId="48" priority="54" operator="containsText" text="FALSE">
      <formula>NOT(ISERROR(SEARCH("FALSE",D79)))</formula>
    </cfRule>
  </conditionalFormatting>
  <conditionalFormatting sqref="D82:M82">
    <cfRule type="containsText" dxfId="47" priority="31" operator="containsText" text="TRUE">
      <formula>NOT(ISERROR(SEARCH("TRUE",D82)))</formula>
    </cfRule>
    <cfRule type="containsText" dxfId="46" priority="32" operator="containsText" text="FALSE">
      <formula>NOT(ISERROR(SEARCH("FALSE",D82)))</formula>
    </cfRule>
  </conditionalFormatting>
  <conditionalFormatting sqref="D97:M97">
    <cfRule type="containsText" dxfId="45" priority="51" operator="containsText" text="TRUE">
      <formula>NOT(ISERROR(SEARCH("TRUE",D97)))</formula>
    </cfRule>
    <cfRule type="containsText" dxfId="44" priority="52" operator="containsText" text="FALSE">
      <formula>NOT(ISERROR(SEARCH("FALSE",D97)))</formula>
    </cfRule>
  </conditionalFormatting>
  <conditionalFormatting sqref="D100:M100">
    <cfRule type="containsText" dxfId="43" priority="29" operator="containsText" text="TRUE">
      <formula>NOT(ISERROR(SEARCH("TRUE",D100)))</formula>
    </cfRule>
    <cfRule type="containsText" dxfId="42" priority="30" operator="containsText" text="FALSE">
      <formula>NOT(ISERROR(SEARCH("FALSE",D100)))</formula>
    </cfRule>
  </conditionalFormatting>
  <conditionalFormatting sqref="D112:M112">
    <cfRule type="containsText" dxfId="41" priority="49" operator="containsText" text="TRUE">
      <formula>NOT(ISERROR(SEARCH("TRUE",D112)))</formula>
    </cfRule>
    <cfRule type="containsText" dxfId="40" priority="50" operator="containsText" text="FALSE">
      <formula>NOT(ISERROR(SEARCH("FALSE",D112)))</formula>
    </cfRule>
  </conditionalFormatting>
  <conditionalFormatting sqref="D115:M115">
    <cfRule type="containsText" dxfId="39" priority="27" operator="containsText" text="TRUE">
      <formula>NOT(ISERROR(SEARCH("TRUE",D115)))</formula>
    </cfRule>
    <cfRule type="containsText" dxfId="38" priority="28" operator="containsText" text="FALSE">
      <formula>NOT(ISERROR(SEARCH("FALSE",D115)))</formula>
    </cfRule>
  </conditionalFormatting>
  <conditionalFormatting sqref="D127:M127">
    <cfRule type="containsText" dxfId="37" priority="47" operator="containsText" text="TRUE">
      <formula>NOT(ISERROR(SEARCH("TRUE",D127)))</formula>
    </cfRule>
    <cfRule type="containsText" dxfId="36" priority="48" operator="containsText" text="FALSE">
      <formula>NOT(ISERROR(SEARCH("FALSE",D127)))</formula>
    </cfRule>
  </conditionalFormatting>
  <conditionalFormatting sqref="D130:M130">
    <cfRule type="containsText" dxfId="35" priority="25" operator="containsText" text="TRUE">
      <formula>NOT(ISERROR(SEARCH("TRUE",D130)))</formula>
    </cfRule>
    <cfRule type="containsText" dxfId="34" priority="26" operator="containsText" text="FALSE">
      <formula>NOT(ISERROR(SEARCH("FALSE",D130)))</formula>
    </cfRule>
  </conditionalFormatting>
  <conditionalFormatting sqref="D186:M186">
    <cfRule type="containsText" dxfId="33" priority="19" operator="containsText" text="TRUE">
      <formula>NOT(ISERROR(SEARCH("TRUE",D186)))</formula>
    </cfRule>
    <cfRule type="containsText" dxfId="32" priority="20" operator="containsText" text="FALSE">
      <formula>NOT(ISERROR(SEARCH("FALSE",D186)))</formula>
    </cfRule>
  </conditionalFormatting>
  <conditionalFormatting sqref="D189:M189">
    <cfRule type="containsText" dxfId="31" priority="15" operator="containsText" text="TRUE">
      <formula>NOT(ISERROR(SEARCH("TRUE",D189)))</formula>
    </cfRule>
    <cfRule type="containsText" dxfId="30" priority="16" operator="containsText" text="FALSE">
      <formula>NOT(ISERROR(SEARCH("FALSE",D189)))</formula>
    </cfRule>
  </conditionalFormatting>
  <conditionalFormatting sqref="D200:M200">
    <cfRule type="containsText" dxfId="29" priority="23" operator="containsText" text="TRUE">
      <formula>NOT(ISERROR(SEARCH("TRUE",D200)))</formula>
    </cfRule>
    <cfRule type="containsText" dxfId="28" priority="24" operator="containsText" text="FALSE">
      <formula>NOT(ISERROR(SEARCH("FALSE",D200)))</formula>
    </cfRule>
  </conditionalFormatting>
  <conditionalFormatting sqref="D203:M203">
    <cfRule type="containsText" dxfId="27" priority="17" operator="containsText" text="TRUE">
      <formula>NOT(ISERROR(SEARCH("TRUE",D203)))</formula>
    </cfRule>
    <cfRule type="containsText" dxfId="26" priority="18" operator="containsText" text="FALSE">
      <formula>NOT(ISERROR(SEARCH("FALSE",D203)))</formula>
    </cfRule>
  </conditionalFormatting>
  <conditionalFormatting sqref="D214:M214">
    <cfRule type="containsText" dxfId="25" priority="21" operator="containsText" text="TRUE">
      <formula>NOT(ISERROR(SEARCH("TRUE",D214)))</formula>
    </cfRule>
    <cfRule type="containsText" dxfId="24" priority="22" operator="containsText" text="FALSE">
      <formula>NOT(ISERROR(SEARCH("FALSE",D214)))</formula>
    </cfRule>
  </conditionalFormatting>
  <conditionalFormatting sqref="D217:M217">
    <cfRule type="containsText" dxfId="23" priority="13" operator="containsText" text="TRUE">
      <formula>NOT(ISERROR(SEARCH("TRUE",D217)))</formula>
    </cfRule>
    <cfRule type="containsText" dxfId="22" priority="14" operator="containsText" text="FALSE">
      <formula>NOT(ISERROR(SEARCH("FALSE",D217)))</formula>
    </cfRule>
  </conditionalFormatting>
  <conditionalFormatting sqref="D231:M231">
    <cfRule type="containsText" dxfId="21" priority="7" operator="containsText" text="TRUE">
      <formula>NOT(ISERROR(SEARCH("TRUE",D231)))</formula>
    </cfRule>
    <cfRule type="containsText" dxfId="20" priority="8" operator="containsText" text="FALSE">
      <formula>NOT(ISERROR(SEARCH("FALSE",D231)))</formula>
    </cfRule>
  </conditionalFormatting>
  <conditionalFormatting sqref="D234:M234">
    <cfRule type="containsText" dxfId="19" priority="3" operator="containsText" text="TRUE">
      <formula>NOT(ISERROR(SEARCH("TRUE",D234)))</formula>
    </cfRule>
    <cfRule type="containsText" dxfId="18" priority="4" operator="containsText" text="FALSE">
      <formula>NOT(ISERROR(SEARCH("FALSE",D234)))</formula>
    </cfRule>
  </conditionalFormatting>
  <conditionalFormatting sqref="D245:M245">
    <cfRule type="containsText" dxfId="17" priority="11" operator="containsText" text="TRUE">
      <formula>NOT(ISERROR(SEARCH("TRUE",D245)))</formula>
    </cfRule>
    <cfRule type="containsText" dxfId="16" priority="12" operator="containsText" text="FALSE">
      <formula>NOT(ISERROR(SEARCH("FALSE",D245)))</formula>
    </cfRule>
  </conditionalFormatting>
  <conditionalFormatting sqref="D248:M248">
    <cfRule type="containsText" dxfId="15" priority="5" operator="containsText" text="TRUE">
      <formula>NOT(ISERROR(SEARCH("TRUE",D248)))</formula>
    </cfRule>
    <cfRule type="containsText" dxfId="14" priority="6" operator="containsText" text="FALSE">
      <formula>NOT(ISERROR(SEARCH("FALSE",D248)))</formula>
    </cfRule>
  </conditionalFormatting>
  <conditionalFormatting sqref="D259:M259">
    <cfRule type="containsText" dxfId="13" priority="9" operator="containsText" text="TRUE">
      <formula>NOT(ISERROR(SEARCH("TRUE",D259)))</formula>
    </cfRule>
    <cfRule type="containsText" dxfId="12" priority="10" operator="containsText" text="FALSE">
      <formula>NOT(ISERROR(SEARCH("FALSE",D259)))</formula>
    </cfRule>
  </conditionalFormatting>
  <conditionalFormatting sqref="D262:M262">
    <cfRule type="containsText" dxfId="11" priority="1" operator="containsText" text="TRUE">
      <formula>NOT(ISERROR(SEARCH("TRUE",D262)))</formula>
    </cfRule>
    <cfRule type="containsText" dxfId="10" priority="2" operator="containsText" text="FALSE">
      <formula>NOT(ISERROR(SEARCH("FALSE",D262)))</formula>
    </cfRule>
  </conditionalFormatting>
  <conditionalFormatting sqref="D284:M284">
    <cfRule type="containsText" dxfId="9" priority="65" operator="containsText" text="TRUE">
      <formula>NOT(ISERROR(SEARCH("TRUE",D284)))</formula>
    </cfRule>
    <cfRule type="containsText" dxfId="8" priority="66" operator="containsText" text="FALSE">
      <formula>NOT(ISERROR(SEARCH("FALSE",D284)))</formula>
    </cfRule>
  </conditionalFormatting>
  <conditionalFormatting sqref="D309:M309">
    <cfRule type="containsText" dxfId="7" priority="63" operator="containsText" text="TRUE">
      <formula>NOT(ISERROR(SEARCH("TRUE",D309)))</formula>
    </cfRule>
    <cfRule type="containsText" dxfId="6" priority="64" operator="containsText" text="FALSE">
      <formula>NOT(ISERROR(SEARCH("FALSE",D309)))</formula>
    </cfRule>
  </conditionalFormatting>
  <conditionalFormatting sqref="D315:M315">
    <cfRule type="containsText" dxfId="5" priority="61" operator="containsText" text="TRUE">
      <formula>NOT(ISERROR(SEARCH("TRUE",D315)))</formula>
    </cfRule>
    <cfRule type="containsText" dxfId="4" priority="62" operator="containsText" text="FALSE">
      <formula>NOT(ISERROR(SEARCH("FALSE",D315)))</formula>
    </cfRule>
  </conditionalFormatting>
  <conditionalFormatting sqref="D321:M321">
    <cfRule type="containsText" dxfId="3" priority="59" operator="containsText" text="TRUE">
      <formula>NOT(ISERROR(SEARCH("TRUE",D321)))</formula>
    </cfRule>
    <cfRule type="containsText" dxfId="2" priority="60" operator="containsText" text="FALSE">
      <formula>NOT(ISERROR(SEARCH("FALSE",D321)))</formula>
    </cfRule>
  </conditionalFormatting>
  <pageMargins left="0.7" right="0.7" top="0.75" bottom="0.75" header="0.3" footer="0.3"/>
  <pageSetup paperSize="9" orientation="portrait" r:id="rId1"/>
  <ignoredErrors>
    <ignoredError sqref="D26:M26 D31:M31" formula="1"/>
  </ignoredErrors>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98475-05C5-447A-830F-C4D669CC95DD}">
  <sheetPr codeName="Sheet17">
    <tabColor theme="2" tint="-0.249977111117893"/>
  </sheetPr>
  <dimension ref="B2:AI296"/>
  <sheetViews>
    <sheetView showGridLines="0" zoomScaleNormal="100" workbookViewId="0">
      <pane ySplit="2" topLeftCell="A3" activePane="bottomLeft" state="frozen"/>
      <selection activeCell="L24" sqref="L24"/>
      <selection pane="bottomLeft" activeCell="L24" sqref="L24"/>
    </sheetView>
  </sheetViews>
  <sheetFormatPr baseColWidth="10" defaultColWidth="9" defaultRowHeight="14" outlineLevelCol="1" x14ac:dyDescent="0.2"/>
  <cols>
    <col min="1" max="1" width="1" style="65" customWidth="1"/>
    <col min="2" max="2" width="9" style="65"/>
    <col min="3" max="3" width="3" style="65" customWidth="1"/>
    <col min="4" max="4" width="29.5" style="65" customWidth="1"/>
    <col min="5" max="11" width="12.5" style="65" customWidth="1" outlineLevel="1"/>
    <col min="12" max="23" width="12.5" style="65" customWidth="1"/>
    <col min="24" max="24" width="2.83203125" style="65" customWidth="1"/>
    <col min="25" max="35" width="12.5" style="65" customWidth="1"/>
    <col min="36" max="16384" width="9" style="65"/>
  </cols>
  <sheetData>
    <row r="2" spans="2:22" ht="15" x14ac:dyDescent="0.2">
      <c r="B2" s="59" t="s">
        <v>784</v>
      </c>
    </row>
    <row r="4" spans="2:22" s="68" customFormat="1" x14ac:dyDescent="0.2">
      <c r="C4" s="133" t="s">
        <v>785</v>
      </c>
    </row>
    <row r="5" spans="2:22" x14ac:dyDescent="0.2">
      <c r="B5" s="61"/>
    </row>
    <row r="6" spans="2:22" x14ac:dyDescent="0.2">
      <c r="B6" s="61" t="s">
        <v>786</v>
      </c>
      <c r="E6" s="85"/>
      <c r="F6" s="85"/>
      <c r="G6" s="85"/>
      <c r="H6" s="85"/>
      <c r="I6" s="85"/>
      <c r="J6" s="85"/>
      <c r="K6" s="85"/>
      <c r="L6" s="85"/>
      <c r="M6" s="85"/>
    </row>
    <row r="7" spans="2:22" x14ac:dyDescent="0.2">
      <c r="D7" s="65" t="s">
        <v>636</v>
      </c>
      <c r="E7" s="87"/>
      <c r="F7" s="87"/>
      <c r="G7" s="87"/>
      <c r="H7" s="87"/>
      <c r="I7" s="87"/>
      <c r="J7" s="87"/>
      <c r="K7" s="87"/>
      <c r="L7" s="87"/>
      <c r="M7" s="75" t="e">
        <f>'Status Quo Estimation'!$J$11</f>
        <v>#DIV/0!</v>
      </c>
    </row>
    <row r="8" spans="2:22" x14ac:dyDescent="0.2">
      <c r="D8" s="65" t="s">
        <v>787</v>
      </c>
      <c r="E8" s="87"/>
      <c r="F8" s="87"/>
      <c r="G8" s="87"/>
      <c r="H8" s="87"/>
      <c r="I8" s="87"/>
      <c r="J8" s="87"/>
      <c r="K8" s="87"/>
      <c r="L8" s="87"/>
      <c r="M8" s="75" t="e">
        <f>'Status Quo Estimation'!$J$16</f>
        <v>#DIV/0!</v>
      </c>
    </row>
    <row r="9" spans="2:22" x14ac:dyDescent="0.2">
      <c r="D9" s="65" t="s">
        <v>788</v>
      </c>
      <c r="E9" s="87"/>
      <c r="F9" s="87"/>
      <c r="G9" s="87"/>
      <c r="H9" s="87"/>
      <c r="I9" s="87"/>
      <c r="J9" s="87"/>
      <c r="K9" s="87"/>
      <c r="L9" s="87"/>
      <c r="M9" s="75">
        <f>'1-Client Variables'!$D$24</f>
        <v>5</v>
      </c>
      <c r="N9" s="134"/>
    </row>
    <row r="10" spans="2:22" x14ac:dyDescent="0.2">
      <c r="D10" s="65" t="s">
        <v>76</v>
      </c>
      <c r="E10" s="135"/>
      <c r="F10" s="135"/>
      <c r="G10" s="135"/>
      <c r="H10" s="135"/>
      <c r="I10" s="135"/>
      <c r="J10" s="135"/>
      <c r="K10" s="135"/>
      <c r="L10" s="135"/>
      <c r="M10" s="75">
        <f>'1-Client Variables'!$D$25</f>
        <v>5</v>
      </c>
      <c r="O10" s="134"/>
    </row>
    <row r="11" spans="2:22" x14ac:dyDescent="0.2">
      <c r="D11" s="65" t="s">
        <v>77</v>
      </c>
      <c r="E11" s="135"/>
      <c r="F11" s="135"/>
      <c r="G11" s="135"/>
      <c r="H11" s="135"/>
      <c r="I11" s="135"/>
      <c r="J11" s="135"/>
      <c r="K11" s="135"/>
      <c r="L11" s="135"/>
      <c r="M11" s="69">
        <f>'1-Client Variables'!$D$26</f>
        <v>0.1</v>
      </c>
    </row>
    <row r="12" spans="2:22" x14ac:dyDescent="0.2">
      <c r="D12" s="136" t="s">
        <v>79</v>
      </c>
      <c r="E12" s="135"/>
      <c r="F12" s="135"/>
      <c r="G12" s="135"/>
      <c r="H12" s="135"/>
      <c r="I12" s="135"/>
      <c r="J12" s="135"/>
      <c r="K12" s="135"/>
      <c r="L12" s="135"/>
      <c r="M12" s="69">
        <f>'1-Client Variables'!$D$27</f>
        <v>0.1</v>
      </c>
      <c r="N12" s="65" t="s">
        <v>80</v>
      </c>
      <c r="O12" s="134"/>
    </row>
    <row r="13" spans="2:22" x14ac:dyDescent="0.2">
      <c r="D13" s="65" t="s">
        <v>789</v>
      </c>
      <c r="E13" s="87"/>
      <c r="F13" s="87"/>
      <c r="G13" s="87"/>
      <c r="H13" s="87"/>
      <c r="I13" s="87"/>
      <c r="J13" s="87"/>
      <c r="K13" s="87"/>
      <c r="L13" s="87"/>
      <c r="M13" s="75" t="e">
        <f>'Status Quo Estimation'!$K$99</f>
        <v>#DIV/0!</v>
      </c>
      <c r="N13" s="65" t="s">
        <v>790</v>
      </c>
    </row>
    <row r="15" spans="2:22" x14ac:dyDescent="0.2">
      <c r="D15" s="80" t="s">
        <v>264</v>
      </c>
      <c r="E15" s="137" t="s">
        <v>791</v>
      </c>
      <c r="F15" s="137" t="s">
        <v>792</v>
      </c>
      <c r="G15" s="137" t="s">
        <v>793</v>
      </c>
      <c r="H15" s="137" t="s">
        <v>794</v>
      </c>
      <c r="I15" s="137" t="s">
        <v>795</v>
      </c>
      <c r="J15" s="137" t="s">
        <v>796</v>
      </c>
      <c r="K15" s="137" t="s">
        <v>797</v>
      </c>
      <c r="L15" s="137" t="s">
        <v>480</v>
      </c>
      <c r="M15" s="63">
        <v>1</v>
      </c>
      <c r="N15" s="63">
        <f>M15+1</f>
        <v>2</v>
      </c>
      <c r="O15" s="63">
        <f t="shared" ref="O15" si="0">N15+1</f>
        <v>3</v>
      </c>
      <c r="P15" s="63">
        <f t="shared" ref="P15" si="1">O15+1</f>
        <v>4</v>
      </c>
      <c r="Q15" s="63">
        <f>P15+1</f>
        <v>5</v>
      </c>
      <c r="R15" s="63">
        <f>Q15+1</f>
        <v>6</v>
      </c>
      <c r="S15" s="63">
        <f>R15+1</f>
        <v>7</v>
      </c>
      <c r="T15" s="63">
        <f t="shared" ref="T15" si="2">S15+1</f>
        <v>8</v>
      </c>
      <c r="U15" s="63">
        <f t="shared" ref="U15" si="3">T15+1</f>
        <v>9</v>
      </c>
      <c r="V15" s="63">
        <f t="shared" ref="V15" si="4">U15+1</f>
        <v>10</v>
      </c>
    </row>
    <row r="16" spans="2:22" x14ac:dyDescent="0.2">
      <c r="B16" s="138"/>
      <c r="C16" s="139" t="s">
        <v>798</v>
      </c>
      <c r="D16" s="140" t="s">
        <v>799</v>
      </c>
      <c r="E16" s="141">
        <f>IF($M9&gt;7,$M7/$M9,0)</f>
        <v>0</v>
      </c>
      <c r="F16" s="141">
        <f>IF($M9&gt;6,$M7/$M9,0)</f>
        <v>0</v>
      </c>
      <c r="G16" s="141">
        <f>IF($M9&gt;5,$M7/$M9,0)</f>
        <v>0</v>
      </c>
      <c r="H16" s="141" t="e">
        <f>IF($M9&gt;4,$M7/$M9,0)</f>
        <v>#DIV/0!</v>
      </c>
      <c r="I16" s="141" t="e">
        <f>IF($M9&gt;3,$M7/$M9,0)</f>
        <v>#DIV/0!</v>
      </c>
      <c r="J16" s="141" t="e">
        <f>IF($M9&gt;2,$M7/$M9,0)</f>
        <v>#DIV/0!</v>
      </c>
      <c r="K16" s="141" t="e">
        <f>IF($M9&gt;1,$M7/$M9,0)</f>
        <v>#DIV/0!</v>
      </c>
      <c r="L16" s="141" t="e">
        <f>$M7/$M9</f>
        <v>#DIV/0!</v>
      </c>
      <c r="M16" s="142" t="e">
        <f>MAX(0,M8*(1+M11)*(M9/M10))</f>
        <v>#DIV/0!</v>
      </c>
      <c r="N16" s="142" t="e">
        <f>MAX(0,M16*(1+$M11))</f>
        <v>#DIV/0!</v>
      </c>
      <c r="O16" s="142" t="e">
        <f t="shared" ref="O16:V16" si="5">MAX(0,N16*(1+$M11))</f>
        <v>#DIV/0!</v>
      </c>
      <c r="P16" s="142" t="e">
        <f t="shared" si="5"/>
        <v>#DIV/0!</v>
      </c>
      <c r="Q16" s="142" t="e">
        <f t="shared" si="5"/>
        <v>#DIV/0!</v>
      </c>
      <c r="R16" s="142" t="e">
        <f t="shared" si="5"/>
        <v>#DIV/0!</v>
      </c>
      <c r="S16" s="142" t="e">
        <f t="shared" si="5"/>
        <v>#DIV/0!</v>
      </c>
      <c r="T16" s="142" t="e">
        <f t="shared" si="5"/>
        <v>#DIV/0!</v>
      </c>
      <c r="U16" s="142" t="e">
        <f t="shared" si="5"/>
        <v>#DIV/0!</v>
      </c>
      <c r="V16" s="142" t="e">
        <f t="shared" si="5"/>
        <v>#DIV/0!</v>
      </c>
    </row>
    <row r="17" spans="2:22" x14ac:dyDescent="0.2">
      <c r="D17" s="65" t="s">
        <v>800</v>
      </c>
      <c r="E17" s="143">
        <v>0</v>
      </c>
      <c r="F17" s="143">
        <v>0</v>
      </c>
      <c r="G17" s="143">
        <v>0</v>
      </c>
      <c r="H17" s="143">
        <v>0</v>
      </c>
      <c r="I17" s="143">
        <v>0</v>
      </c>
      <c r="J17" s="143">
        <v>0</v>
      </c>
      <c r="K17" s="143">
        <v>0</v>
      </c>
      <c r="L17" s="143">
        <v>0</v>
      </c>
      <c r="M17" s="144" t="e">
        <f>IF($M9=7,-F16,IF($M9=6,-G16,IF($M9=5,-H16,IF($M9=4,-I16,IF($M9=3,-J16,IF($M9=2,-K16,IF($M9=1,-L16,"Error Dep Life")))))))</f>
        <v>#DIV/0!</v>
      </c>
      <c r="N17" s="144" t="e">
        <f t="shared" ref="N17:V17" si="6">IF($M9=7,-G16,IF($M9=6,-H16,IF($M9=5,-I16,IF($M9=4,-J16,IF($M9=3,-K16,IF($M9=2,-L16,IF($M9=1,-M16,"Error Dep Life")))))))</f>
        <v>#DIV/0!</v>
      </c>
      <c r="O17" s="144" t="e">
        <f t="shared" si="6"/>
        <v>#DIV/0!</v>
      </c>
      <c r="P17" s="144" t="e">
        <f t="shared" si="6"/>
        <v>#DIV/0!</v>
      </c>
      <c r="Q17" s="144" t="e">
        <f t="shared" si="6"/>
        <v>#DIV/0!</v>
      </c>
      <c r="R17" s="144" t="e">
        <f t="shared" si="6"/>
        <v>#DIV/0!</v>
      </c>
      <c r="S17" s="144" t="e">
        <f t="shared" si="6"/>
        <v>#DIV/0!</v>
      </c>
      <c r="T17" s="144" t="e">
        <f t="shared" si="6"/>
        <v>#DIV/0!</v>
      </c>
      <c r="U17" s="144" t="e">
        <f t="shared" si="6"/>
        <v>#DIV/0!</v>
      </c>
      <c r="V17" s="144" t="e">
        <f t="shared" si="6"/>
        <v>#DIV/0!</v>
      </c>
    </row>
    <row r="18" spans="2:22" x14ac:dyDescent="0.2">
      <c r="D18" s="61" t="s">
        <v>801</v>
      </c>
      <c r="E18" s="145">
        <f>E16</f>
        <v>0</v>
      </c>
      <c r="F18" s="145">
        <f>E18+F16+F17</f>
        <v>0</v>
      </c>
      <c r="G18" s="145">
        <f t="shared" ref="G18:J18" si="7">F18+G16+G17</f>
        <v>0</v>
      </c>
      <c r="H18" s="145" t="e">
        <f t="shared" si="7"/>
        <v>#DIV/0!</v>
      </c>
      <c r="I18" s="145" t="e">
        <f t="shared" si="7"/>
        <v>#DIV/0!</v>
      </c>
      <c r="J18" s="145" t="e">
        <f t="shared" si="7"/>
        <v>#DIV/0!</v>
      </c>
      <c r="K18" s="145" t="e">
        <f>J18+K16+K17</f>
        <v>#DIV/0!</v>
      </c>
      <c r="L18" s="145" t="e">
        <f>K18+L16+L17</f>
        <v>#DIV/0!</v>
      </c>
      <c r="M18" s="145" t="e">
        <f>L18+M16+M17</f>
        <v>#DIV/0!</v>
      </c>
      <c r="N18" s="145" t="e">
        <f t="shared" ref="N18:V18" si="8">M18+N16+N17</f>
        <v>#DIV/0!</v>
      </c>
      <c r="O18" s="145" t="e">
        <f t="shared" si="8"/>
        <v>#DIV/0!</v>
      </c>
      <c r="P18" s="145" t="e">
        <f t="shared" si="8"/>
        <v>#DIV/0!</v>
      </c>
      <c r="Q18" s="145" t="e">
        <f t="shared" si="8"/>
        <v>#DIV/0!</v>
      </c>
      <c r="R18" s="145" t="e">
        <f t="shared" si="8"/>
        <v>#DIV/0!</v>
      </c>
      <c r="S18" s="145" t="e">
        <f t="shared" si="8"/>
        <v>#DIV/0!</v>
      </c>
      <c r="T18" s="145" t="e">
        <f t="shared" si="8"/>
        <v>#DIV/0!</v>
      </c>
      <c r="U18" s="145" t="e">
        <f t="shared" si="8"/>
        <v>#DIV/0!</v>
      </c>
      <c r="V18" s="145" t="e">
        <f t="shared" si="8"/>
        <v>#DIV/0!</v>
      </c>
    </row>
    <row r="19" spans="2:22" ht="7.5" customHeight="1" x14ac:dyDescent="0.2">
      <c r="E19" s="143"/>
      <c r="F19" s="143"/>
      <c r="G19" s="143"/>
      <c r="H19" s="143"/>
      <c r="I19" s="143"/>
      <c r="J19" s="143"/>
      <c r="K19" s="143"/>
      <c r="L19" s="143"/>
      <c r="M19" s="144"/>
      <c r="N19" s="144"/>
      <c r="O19" s="144"/>
      <c r="P19" s="144"/>
      <c r="Q19" s="144"/>
      <c r="R19" s="144"/>
      <c r="S19" s="144"/>
      <c r="T19" s="144"/>
      <c r="U19" s="144"/>
      <c r="V19" s="144"/>
    </row>
    <row r="20" spans="2:22" x14ac:dyDescent="0.2">
      <c r="D20" s="65" t="s">
        <v>802</v>
      </c>
      <c r="E20" s="143">
        <f>-E16/$M9</f>
        <v>0</v>
      </c>
      <c r="F20" s="143">
        <f t="shared" ref="F20:V20" si="9">-F16/$M9</f>
        <v>0</v>
      </c>
      <c r="G20" s="143">
        <f t="shared" si="9"/>
        <v>0</v>
      </c>
      <c r="H20" s="143" t="e">
        <f t="shared" si="9"/>
        <v>#DIV/0!</v>
      </c>
      <c r="I20" s="143" t="e">
        <f t="shared" si="9"/>
        <v>#DIV/0!</v>
      </c>
      <c r="J20" s="143" t="e">
        <f t="shared" si="9"/>
        <v>#DIV/0!</v>
      </c>
      <c r="K20" s="143" t="e">
        <f t="shared" si="9"/>
        <v>#DIV/0!</v>
      </c>
      <c r="L20" s="143" t="e">
        <f t="shared" si="9"/>
        <v>#DIV/0!</v>
      </c>
      <c r="M20" s="144" t="e">
        <f>-M16/$M9</f>
        <v>#DIV/0!</v>
      </c>
      <c r="N20" s="144" t="e">
        <f t="shared" si="9"/>
        <v>#DIV/0!</v>
      </c>
      <c r="O20" s="144" t="e">
        <f t="shared" si="9"/>
        <v>#DIV/0!</v>
      </c>
      <c r="P20" s="144" t="e">
        <f t="shared" si="9"/>
        <v>#DIV/0!</v>
      </c>
      <c r="Q20" s="144" t="e">
        <f t="shared" si="9"/>
        <v>#DIV/0!</v>
      </c>
      <c r="R20" s="144" t="e">
        <f t="shared" si="9"/>
        <v>#DIV/0!</v>
      </c>
      <c r="S20" s="144" t="e">
        <f t="shared" si="9"/>
        <v>#DIV/0!</v>
      </c>
      <c r="T20" s="144" t="e">
        <f t="shared" si="9"/>
        <v>#DIV/0!</v>
      </c>
      <c r="U20" s="144" t="e">
        <f t="shared" si="9"/>
        <v>#DIV/0!</v>
      </c>
      <c r="V20" s="144" t="e">
        <f t="shared" si="9"/>
        <v>#DIV/0!</v>
      </c>
    </row>
    <row r="21" spans="2:22" x14ac:dyDescent="0.2">
      <c r="D21" s="65" t="s">
        <v>803</v>
      </c>
      <c r="E21" s="143">
        <v>0</v>
      </c>
      <c r="F21" s="143">
        <v>0</v>
      </c>
      <c r="G21" s="143">
        <v>0</v>
      </c>
      <c r="H21" s="143">
        <v>0</v>
      </c>
      <c r="I21" s="143">
        <v>0</v>
      </c>
      <c r="J21" s="143">
        <v>0</v>
      </c>
      <c r="K21" s="143">
        <v>0</v>
      </c>
      <c r="L21" s="143">
        <v>0</v>
      </c>
      <c r="M21" s="144" t="e">
        <f>-M17/$M9</f>
        <v>#DIV/0!</v>
      </c>
      <c r="N21" s="144" t="e">
        <f t="shared" ref="N21:V21" si="10">-N17/$M9</f>
        <v>#DIV/0!</v>
      </c>
      <c r="O21" s="144" t="e">
        <f t="shared" si="10"/>
        <v>#DIV/0!</v>
      </c>
      <c r="P21" s="144" t="e">
        <f t="shared" si="10"/>
        <v>#DIV/0!</v>
      </c>
      <c r="Q21" s="144" t="e">
        <f t="shared" si="10"/>
        <v>#DIV/0!</v>
      </c>
      <c r="R21" s="144" t="e">
        <f t="shared" si="10"/>
        <v>#DIV/0!</v>
      </c>
      <c r="S21" s="144" t="e">
        <f t="shared" si="10"/>
        <v>#DIV/0!</v>
      </c>
      <c r="T21" s="144" t="e">
        <f t="shared" si="10"/>
        <v>#DIV/0!</v>
      </c>
      <c r="U21" s="144" t="e">
        <f t="shared" si="10"/>
        <v>#DIV/0!</v>
      </c>
      <c r="V21" s="144" t="e">
        <f t="shared" si="10"/>
        <v>#DIV/0!</v>
      </c>
    </row>
    <row r="22" spans="2:22" x14ac:dyDescent="0.2">
      <c r="B22" s="138"/>
      <c r="C22" s="139" t="s">
        <v>804</v>
      </c>
      <c r="D22" s="140" t="s">
        <v>805</v>
      </c>
      <c r="E22" s="141">
        <f>E20</f>
        <v>0</v>
      </c>
      <c r="F22" s="141">
        <f>E22+F20+F21</f>
        <v>0</v>
      </c>
      <c r="G22" s="141">
        <f t="shared" ref="G22:K22" si="11">F22+G20+G21</f>
        <v>0</v>
      </c>
      <c r="H22" s="141" t="e">
        <f>G22+H20+H21</f>
        <v>#DIV/0!</v>
      </c>
      <c r="I22" s="141" t="e">
        <f>H22+I20+I21</f>
        <v>#DIV/0!</v>
      </c>
      <c r="J22" s="141" t="e">
        <f t="shared" si="11"/>
        <v>#DIV/0!</v>
      </c>
      <c r="K22" s="141" t="e">
        <f t="shared" si="11"/>
        <v>#DIV/0!</v>
      </c>
      <c r="L22" s="141" t="e">
        <f>K22+L20+L21</f>
        <v>#DIV/0!</v>
      </c>
      <c r="M22" s="142" t="e">
        <f t="shared" ref="M22:V22" si="12">L22+M20+M21</f>
        <v>#DIV/0!</v>
      </c>
      <c r="N22" s="142" t="e">
        <f t="shared" si="12"/>
        <v>#DIV/0!</v>
      </c>
      <c r="O22" s="142" t="e">
        <f t="shared" si="12"/>
        <v>#DIV/0!</v>
      </c>
      <c r="P22" s="142" t="e">
        <f t="shared" si="12"/>
        <v>#DIV/0!</v>
      </c>
      <c r="Q22" s="142" t="e">
        <f t="shared" si="12"/>
        <v>#DIV/0!</v>
      </c>
      <c r="R22" s="142" t="e">
        <f t="shared" si="12"/>
        <v>#DIV/0!</v>
      </c>
      <c r="S22" s="142" t="e">
        <f t="shared" si="12"/>
        <v>#DIV/0!</v>
      </c>
      <c r="T22" s="142" t="e">
        <f t="shared" si="12"/>
        <v>#DIV/0!</v>
      </c>
      <c r="U22" s="142" t="e">
        <f t="shared" si="12"/>
        <v>#DIV/0!</v>
      </c>
      <c r="V22" s="142" t="e">
        <f t="shared" si="12"/>
        <v>#DIV/0!</v>
      </c>
    </row>
    <row r="23" spans="2:22" ht="7.5" customHeight="1" x14ac:dyDescent="0.2">
      <c r="E23" s="143"/>
      <c r="F23" s="143"/>
      <c r="G23" s="143"/>
      <c r="H23" s="143"/>
      <c r="I23" s="143"/>
      <c r="J23" s="143"/>
      <c r="K23" s="143"/>
      <c r="L23" s="143"/>
      <c r="M23" s="144"/>
      <c r="N23" s="144"/>
      <c r="O23" s="144"/>
      <c r="P23" s="144"/>
      <c r="Q23" s="144"/>
      <c r="R23" s="144"/>
      <c r="S23" s="144"/>
      <c r="T23" s="144"/>
      <c r="U23" s="144"/>
      <c r="V23" s="144"/>
    </row>
    <row r="24" spans="2:22" x14ac:dyDescent="0.2">
      <c r="D24" s="61" t="s">
        <v>806</v>
      </c>
      <c r="E24" s="145">
        <f>E18+E22</f>
        <v>0</v>
      </c>
      <c r="F24" s="145">
        <f>E24+F16+F22</f>
        <v>0</v>
      </c>
      <c r="G24" s="145">
        <f t="shared" ref="G24:V24" si="13">F24+G16+G22</f>
        <v>0</v>
      </c>
      <c r="H24" s="145" t="e">
        <f>G24+H16+H22</f>
        <v>#DIV/0!</v>
      </c>
      <c r="I24" s="145" t="e">
        <f>H24+I16+I22</f>
        <v>#DIV/0!</v>
      </c>
      <c r="J24" s="145" t="e">
        <f>I24+J16+J22</f>
        <v>#DIV/0!</v>
      </c>
      <c r="K24" s="145" t="e">
        <f t="shared" si="13"/>
        <v>#DIV/0!</v>
      </c>
      <c r="L24" s="145" t="e">
        <f>K24+L16+L22</f>
        <v>#DIV/0!</v>
      </c>
      <c r="M24" s="145" t="e">
        <f t="shared" si="13"/>
        <v>#DIV/0!</v>
      </c>
      <c r="N24" s="145" t="e">
        <f t="shared" si="13"/>
        <v>#DIV/0!</v>
      </c>
      <c r="O24" s="145" t="e">
        <f t="shared" si="13"/>
        <v>#DIV/0!</v>
      </c>
      <c r="P24" s="145" t="e">
        <f t="shared" si="13"/>
        <v>#DIV/0!</v>
      </c>
      <c r="Q24" s="145" t="e">
        <f t="shared" si="13"/>
        <v>#DIV/0!</v>
      </c>
      <c r="R24" s="145" t="e">
        <f t="shared" si="13"/>
        <v>#DIV/0!</v>
      </c>
      <c r="S24" s="145" t="e">
        <f t="shared" si="13"/>
        <v>#DIV/0!</v>
      </c>
      <c r="T24" s="145" t="e">
        <f t="shared" si="13"/>
        <v>#DIV/0!</v>
      </c>
      <c r="U24" s="145" t="e">
        <f t="shared" si="13"/>
        <v>#DIV/0!</v>
      </c>
      <c r="V24" s="145" t="e">
        <f t="shared" si="13"/>
        <v>#DIV/0!</v>
      </c>
    </row>
    <row r="25" spans="2:22" s="136" customFormat="1" ht="7.5" customHeight="1" x14ac:dyDescent="0.2">
      <c r="E25" s="146"/>
      <c r="F25" s="146"/>
      <c r="G25" s="146"/>
      <c r="H25" s="146"/>
      <c r="I25" s="146"/>
      <c r="J25" s="146"/>
      <c r="K25" s="146"/>
      <c r="L25" s="146"/>
      <c r="M25" s="147"/>
      <c r="N25" s="147"/>
      <c r="O25" s="147"/>
      <c r="P25" s="147"/>
      <c r="Q25" s="147"/>
      <c r="R25" s="147"/>
      <c r="S25" s="147"/>
      <c r="T25" s="147"/>
      <c r="U25" s="147"/>
      <c r="V25" s="147"/>
    </row>
    <row r="26" spans="2:22" x14ac:dyDescent="0.2">
      <c r="D26" s="65" t="s">
        <v>789</v>
      </c>
      <c r="E26" s="144"/>
      <c r="F26" s="144"/>
      <c r="G26" s="144"/>
      <c r="H26" s="144"/>
      <c r="I26" s="144"/>
      <c r="J26" s="144"/>
      <c r="K26" s="144"/>
      <c r="L26" s="144" t="e">
        <f>M13</f>
        <v>#DIV/0!</v>
      </c>
      <c r="M26" s="144" t="e">
        <f t="shared" ref="M26:V26" si="14">L26*(1+$M11)</f>
        <v>#DIV/0!</v>
      </c>
      <c r="N26" s="144" t="e">
        <f t="shared" si="14"/>
        <v>#DIV/0!</v>
      </c>
      <c r="O26" s="144" t="e">
        <f t="shared" si="14"/>
        <v>#DIV/0!</v>
      </c>
      <c r="P26" s="144" t="e">
        <f t="shared" si="14"/>
        <v>#DIV/0!</v>
      </c>
      <c r="Q26" s="144" t="e">
        <f t="shared" si="14"/>
        <v>#DIV/0!</v>
      </c>
      <c r="R26" s="144" t="e">
        <f t="shared" si="14"/>
        <v>#DIV/0!</v>
      </c>
      <c r="S26" s="144" t="e">
        <f t="shared" si="14"/>
        <v>#DIV/0!</v>
      </c>
      <c r="T26" s="144" t="e">
        <f t="shared" si="14"/>
        <v>#DIV/0!</v>
      </c>
      <c r="U26" s="144" t="e">
        <f t="shared" si="14"/>
        <v>#DIV/0!</v>
      </c>
      <c r="V26" s="144" t="e">
        <f t="shared" si="14"/>
        <v>#DIV/0!</v>
      </c>
    </row>
    <row r="29" spans="2:22" x14ac:dyDescent="0.2">
      <c r="D29" s="80" t="s">
        <v>265</v>
      </c>
      <c r="E29" s="137" t="s">
        <v>791</v>
      </c>
      <c r="F29" s="137" t="s">
        <v>792</v>
      </c>
      <c r="G29" s="137" t="s">
        <v>793</v>
      </c>
      <c r="H29" s="137" t="s">
        <v>794</v>
      </c>
      <c r="I29" s="137" t="s">
        <v>795</v>
      </c>
      <c r="J29" s="137" t="s">
        <v>796</v>
      </c>
      <c r="K29" s="137" t="s">
        <v>797</v>
      </c>
      <c r="L29" s="137" t="s">
        <v>480</v>
      </c>
      <c r="M29" s="63">
        <v>1</v>
      </c>
      <c r="N29" s="63">
        <f>M29+1</f>
        <v>2</v>
      </c>
      <c r="O29" s="63">
        <f t="shared" ref="O29" si="15">N29+1</f>
        <v>3</v>
      </c>
      <c r="P29" s="63">
        <f t="shared" ref="P29" si="16">O29+1</f>
        <v>4</v>
      </c>
      <c r="Q29" s="63">
        <f>P29+1</f>
        <v>5</v>
      </c>
      <c r="R29" s="63">
        <f>Q29+1</f>
        <v>6</v>
      </c>
      <c r="S29" s="63">
        <f>R29+1</f>
        <v>7</v>
      </c>
      <c r="T29" s="63">
        <f t="shared" ref="T29" si="17">S29+1</f>
        <v>8</v>
      </c>
      <c r="U29" s="63">
        <f t="shared" ref="U29" si="18">T29+1</f>
        <v>9</v>
      </c>
      <c r="V29" s="63">
        <f t="shared" ref="V29" si="19">U29+1</f>
        <v>10</v>
      </c>
    </row>
    <row r="30" spans="2:22" x14ac:dyDescent="0.2">
      <c r="D30" s="65" t="s">
        <v>734</v>
      </c>
      <c r="E30" s="69"/>
      <c r="F30" s="69"/>
      <c r="G30" s="69"/>
      <c r="H30" s="69"/>
      <c r="I30" s="69"/>
      <c r="J30" s="69"/>
      <c r="K30" s="69"/>
      <c r="L30" s="69"/>
      <c r="M30" s="69">
        <f>'2a-Consumption Plan Wk1'!E$17</f>
        <v>0.4</v>
      </c>
      <c r="N30" s="69">
        <f>'2a-Consumption Plan Wk1'!F$17</f>
        <v>0.8</v>
      </c>
      <c r="O30" s="69">
        <f>'2a-Consumption Plan Wk1'!G$17</f>
        <v>1</v>
      </c>
      <c r="P30" s="69">
        <f>'2a-Consumption Plan Wk1'!H$17</f>
        <v>1</v>
      </c>
      <c r="Q30" s="69">
        <f>'2a-Consumption Plan Wk1'!I$17</f>
        <v>1</v>
      </c>
      <c r="R30" s="69">
        <f>'2a-Consumption Plan Wk1'!J$17</f>
        <v>1</v>
      </c>
      <c r="S30" s="69">
        <f>'2a-Consumption Plan Wk1'!K$17</f>
        <v>1</v>
      </c>
      <c r="T30" s="69">
        <f>'2a-Consumption Plan Wk1'!L$17</f>
        <v>1</v>
      </c>
      <c r="U30" s="69">
        <f>'2a-Consumption Plan Wk1'!M$17</f>
        <v>1</v>
      </c>
      <c r="V30" s="69">
        <f>'2a-Consumption Plan Wk1'!N$17</f>
        <v>1</v>
      </c>
    </row>
    <row r="31" spans="2:22" x14ac:dyDescent="0.2">
      <c r="B31" s="138"/>
      <c r="C31" s="139" t="s">
        <v>798</v>
      </c>
      <c r="D31" s="140" t="s">
        <v>799</v>
      </c>
      <c r="E31" s="141">
        <f>IF($M9&gt;7,$M7/$M9,0)</f>
        <v>0</v>
      </c>
      <c r="F31" s="141">
        <f>IF($M9&gt;6,$M7/$M9,0)</f>
        <v>0</v>
      </c>
      <c r="G31" s="141">
        <f>IF($M9&gt;5,$M7/$M9,0)</f>
        <v>0</v>
      </c>
      <c r="H31" s="141" t="e">
        <f>IF($M9&gt;4,$M7/$M9,0)</f>
        <v>#DIV/0!</v>
      </c>
      <c r="I31" s="141" t="e">
        <f>IF($M9&gt;3,$M7/$M9,0)</f>
        <v>#DIV/0!</v>
      </c>
      <c r="J31" s="141" t="e">
        <f>IF($M9&gt;2,$M7/$M9,0)</f>
        <v>#DIV/0!</v>
      </c>
      <c r="K31" s="141" t="e">
        <f>IF($M9&gt;1,$M7/$M9,0)</f>
        <v>#DIV/0!</v>
      </c>
      <c r="L31" s="141" t="e">
        <f>$M7/$M9</f>
        <v>#DIV/0!</v>
      </c>
      <c r="M31" s="142" t="e">
        <f>MAX(0,IF(L33&lt;M7,(M7-L33)*(1-M30)*M12,M8*(1-M30)*M12))</f>
        <v>#DIV/0!</v>
      </c>
      <c r="N31" s="142" t="e">
        <f>$M8*(1-N30)*$M12</f>
        <v>#DIV/0!</v>
      </c>
      <c r="O31" s="142" t="e">
        <f t="shared" ref="O31:V31" si="20">$M8*(1-O30)*$M12</f>
        <v>#DIV/0!</v>
      </c>
      <c r="P31" s="142" t="e">
        <f t="shared" si="20"/>
        <v>#DIV/0!</v>
      </c>
      <c r="Q31" s="142" t="e">
        <f t="shared" si="20"/>
        <v>#DIV/0!</v>
      </c>
      <c r="R31" s="142" t="e">
        <f t="shared" si="20"/>
        <v>#DIV/0!</v>
      </c>
      <c r="S31" s="142" t="e">
        <f t="shared" si="20"/>
        <v>#DIV/0!</v>
      </c>
      <c r="T31" s="142" t="e">
        <f t="shared" si="20"/>
        <v>#DIV/0!</v>
      </c>
      <c r="U31" s="142" t="e">
        <f t="shared" si="20"/>
        <v>#DIV/0!</v>
      </c>
      <c r="V31" s="142" t="e">
        <f t="shared" si="20"/>
        <v>#DIV/0!</v>
      </c>
    </row>
    <row r="32" spans="2:22" x14ac:dyDescent="0.2">
      <c r="D32" s="65" t="s">
        <v>800</v>
      </c>
      <c r="E32" s="143">
        <v>0</v>
      </c>
      <c r="F32" s="143">
        <v>0</v>
      </c>
      <c r="G32" s="143">
        <v>0</v>
      </c>
      <c r="H32" s="143">
        <v>0</v>
      </c>
      <c r="I32" s="143">
        <v>0</v>
      </c>
      <c r="J32" s="143">
        <v>0</v>
      </c>
      <c r="K32" s="143">
        <v>0</v>
      </c>
      <c r="L32" s="143">
        <v>0</v>
      </c>
      <c r="M32" s="144" t="e">
        <f t="shared" ref="M32:V32" si="21">IF($M9=7,-F31,IF($M9=6,-G31,IF($M9=5,-H31,IF($M9=4,-I31,IF($M9=3,-J31,IF($M9=2,-K31,IF($M9=1,-L31,"Error Dep Life")))))))</f>
        <v>#DIV/0!</v>
      </c>
      <c r="N32" s="144" t="e">
        <f t="shared" si="21"/>
        <v>#DIV/0!</v>
      </c>
      <c r="O32" s="144" t="e">
        <f t="shared" si="21"/>
        <v>#DIV/0!</v>
      </c>
      <c r="P32" s="144" t="e">
        <f t="shared" si="21"/>
        <v>#DIV/0!</v>
      </c>
      <c r="Q32" s="144" t="e">
        <f t="shared" si="21"/>
        <v>#DIV/0!</v>
      </c>
      <c r="R32" s="144" t="e">
        <f t="shared" si="21"/>
        <v>#DIV/0!</v>
      </c>
      <c r="S32" s="144" t="e">
        <f t="shared" si="21"/>
        <v>#DIV/0!</v>
      </c>
      <c r="T32" s="144" t="e">
        <f t="shared" si="21"/>
        <v>#DIV/0!</v>
      </c>
      <c r="U32" s="144" t="e">
        <f t="shared" si="21"/>
        <v>#DIV/0!</v>
      </c>
      <c r="V32" s="144" t="e">
        <f t="shared" si="21"/>
        <v>#DIV/0!</v>
      </c>
    </row>
    <row r="33" spans="2:22" x14ac:dyDescent="0.2">
      <c r="D33" s="61" t="s">
        <v>801</v>
      </c>
      <c r="E33" s="145">
        <f>E31</f>
        <v>0</v>
      </c>
      <c r="F33" s="145">
        <f>E33+F31+F32</f>
        <v>0</v>
      </c>
      <c r="G33" s="145">
        <f t="shared" ref="G33" si="22">F33+G31+G32</f>
        <v>0</v>
      </c>
      <c r="H33" s="145" t="e">
        <f t="shared" ref="H33" si="23">G33+H31+H32</f>
        <v>#DIV/0!</v>
      </c>
      <c r="I33" s="145" t="e">
        <f t="shared" ref="I33" si="24">H33+I31+I32</f>
        <v>#DIV/0!</v>
      </c>
      <c r="J33" s="145" t="e">
        <f t="shared" ref="J33" si="25">I33+J31+J32</f>
        <v>#DIV/0!</v>
      </c>
      <c r="K33" s="145" t="e">
        <f t="shared" ref="K33" si="26">J33+K31+K32</f>
        <v>#DIV/0!</v>
      </c>
      <c r="L33" s="145" t="e">
        <f>K33+L31+L32</f>
        <v>#DIV/0!</v>
      </c>
      <c r="M33" s="145" t="e">
        <f t="shared" ref="M33:V33" si="27">L33+M31+M32</f>
        <v>#DIV/0!</v>
      </c>
      <c r="N33" s="145" t="e">
        <f t="shared" si="27"/>
        <v>#DIV/0!</v>
      </c>
      <c r="O33" s="145" t="e">
        <f t="shared" si="27"/>
        <v>#DIV/0!</v>
      </c>
      <c r="P33" s="145" t="e">
        <f t="shared" si="27"/>
        <v>#DIV/0!</v>
      </c>
      <c r="Q33" s="145" t="e">
        <f t="shared" si="27"/>
        <v>#DIV/0!</v>
      </c>
      <c r="R33" s="145" t="e">
        <f t="shared" si="27"/>
        <v>#DIV/0!</v>
      </c>
      <c r="S33" s="145" t="e">
        <f t="shared" si="27"/>
        <v>#DIV/0!</v>
      </c>
      <c r="T33" s="145" t="e">
        <f t="shared" si="27"/>
        <v>#DIV/0!</v>
      </c>
      <c r="U33" s="145" t="e">
        <f t="shared" si="27"/>
        <v>#DIV/0!</v>
      </c>
      <c r="V33" s="145" t="e">
        <f t="shared" si="27"/>
        <v>#DIV/0!</v>
      </c>
    </row>
    <row r="34" spans="2:22" ht="7.5" customHeight="1" x14ac:dyDescent="0.2">
      <c r="E34" s="143"/>
      <c r="F34" s="143"/>
      <c r="G34" s="143"/>
      <c r="H34" s="143"/>
      <c r="I34" s="143"/>
      <c r="J34" s="143"/>
      <c r="K34" s="143"/>
      <c r="L34" s="143"/>
      <c r="M34" s="144"/>
      <c r="N34" s="144"/>
      <c r="O34" s="144"/>
      <c r="P34" s="144"/>
      <c r="Q34" s="144"/>
      <c r="R34" s="144"/>
      <c r="S34" s="144"/>
      <c r="T34" s="144"/>
      <c r="U34" s="144"/>
      <c r="V34" s="144"/>
    </row>
    <row r="35" spans="2:22" x14ac:dyDescent="0.2">
      <c r="D35" s="65" t="s">
        <v>802</v>
      </c>
      <c r="E35" s="143">
        <f t="shared" ref="E35:V35" si="28">-E31/$M9</f>
        <v>0</v>
      </c>
      <c r="F35" s="143">
        <f t="shared" si="28"/>
        <v>0</v>
      </c>
      <c r="G35" s="143">
        <f t="shared" si="28"/>
        <v>0</v>
      </c>
      <c r="H35" s="143" t="e">
        <f t="shared" si="28"/>
        <v>#DIV/0!</v>
      </c>
      <c r="I35" s="143" t="e">
        <f t="shared" si="28"/>
        <v>#DIV/0!</v>
      </c>
      <c r="J35" s="143" t="e">
        <f t="shared" si="28"/>
        <v>#DIV/0!</v>
      </c>
      <c r="K35" s="143" t="e">
        <f t="shared" si="28"/>
        <v>#DIV/0!</v>
      </c>
      <c r="L35" s="143" t="e">
        <f t="shared" si="28"/>
        <v>#DIV/0!</v>
      </c>
      <c r="M35" s="143" t="e">
        <f t="shared" si="28"/>
        <v>#DIV/0!</v>
      </c>
      <c r="N35" s="143" t="e">
        <f t="shared" si="28"/>
        <v>#DIV/0!</v>
      </c>
      <c r="O35" s="143" t="e">
        <f t="shared" si="28"/>
        <v>#DIV/0!</v>
      </c>
      <c r="P35" s="143" t="e">
        <f t="shared" si="28"/>
        <v>#DIV/0!</v>
      </c>
      <c r="Q35" s="143" t="e">
        <f t="shared" si="28"/>
        <v>#DIV/0!</v>
      </c>
      <c r="R35" s="143" t="e">
        <f t="shared" si="28"/>
        <v>#DIV/0!</v>
      </c>
      <c r="S35" s="143" t="e">
        <f t="shared" si="28"/>
        <v>#DIV/0!</v>
      </c>
      <c r="T35" s="143" t="e">
        <f t="shared" si="28"/>
        <v>#DIV/0!</v>
      </c>
      <c r="U35" s="143" t="e">
        <f t="shared" si="28"/>
        <v>#DIV/0!</v>
      </c>
      <c r="V35" s="143" t="e">
        <f t="shared" si="28"/>
        <v>#DIV/0!</v>
      </c>
    </row>
    <row r="36" spans="2:22" x14ac:dyDescent="0.2">
      <c r="D36" s="65" t="s">
        <v>803</v>
      </c>
      <c r="E36" s="143">
        <v>0</v>
      </c>
      <c r="F36" s="143">
        <v>0</v>
      </c>
      <c r="G36" s="143">
        <v>0</v>
      </c>
      <c r="H36" s="143">
        <v>0</v>
      </c>
      <c r="I36" s="143">
        <v>0</v>
      </c>
      <c r="J36" s="143">
        <v>0</v>
      </c>
      <c r="K36" s="143">
        <v>0</v>
      </c>
      <c r="L36" s="143">
        <v>0</v>
      </c>
      <c r="M36" s="144" t="e">
        <f t="shared" ref="M36:V36" si="29">-M32/$M9</f>
        <v>#DIV/0!</v>
      </c>
      <c r="N36" s="144" t="e">
        <f t="shared" si="29"/>
        <v>#DIV/0!</v>
      </c>
      <c r="O36" s="144" t="e">
        <f t="shared" si="29"/>
        <v>#DIV/0!</v>
      </c>
      <c r="P36" s="144" t="e">
        <f t="shared" si="29"/>
        <v>#DIV/0!</v>
      </c>
      <c r="Q36" s="144" t="e">
        <f t="shared" si="29"/>
        <v>#DIV/0!</v>
      </c>
      <c r="R36" s="144" t="e">
        <f t="shared" si="29"/>
        <v>#DIV/0!</v>
      </c>
      <c r="S36" s="144" t="e">
        <f t="shared" si="29"/>
        <v>#DIV/0!</v>
      </c>
      <c r="T36" s="144" t="e">
        <f t="shared" si="29"/>
        <v>#DIV/0!</v>
      </c>
      <c r="U36" s="144" t="e">
        <f t="shared" si="29"/>
        <v>#DIV/0!</v>
      </c>
      <c r="V36" s="144" t="e">
        <f t="shared" si="29"/>
        <v>#DIV/0!</v>
      </c>
    </row>
    <row r="37" spans="2:22" x14ac:dyDescent="0.2">
      <c r="B37" s="138"/>
      <c r="C37" s="139" t="s">
        <v>804</v>
      </c>
      <c r="D37" s="140" t="s">
        <v>805</v>
      </c>
      <c r="E37" s="141">
        <f>E35</f>
        <v>0</v>
      </c>
      <c r="F37" s="141">
        <f>E37+F35+F36</f>
        <v>0</v>
      </c>
      <c r="G37" s="141">
        <f t="shared" ref="G37" si="30">F37+G35+G36</f>
        <v>0</v>
      </c>
      <c r="H37" s="141" t="e">
        <f t="shared" ref="H37" si="31">G37+H35+H36</f>
        <v>#DIV/0!</v>
      </c>
      <c r="I37" s="141" t="e">
        <f>H37+I35+I36</f>
        <v>#DIV/0!</v>
      </c>
      <c r="J37" s="141" t="e">
        <f t="shared" ref="J37" si="32">I37+J35+J36</f>
        <v>#DIV/0!</v>
      </c>
      <c r="K37" s="141" t="e">
        <f t="shared" ref="K37" si="33">J37+K35+K36</f>
        <v>#DIV/0!</v>
      </c>
      <c r="L37" s="141" t="e">
        <f>K37+L35+L36</f>
        <v>#DIV/0!</v>
      </c>
      <c r="M37" s="142" t="e">
        <f t="shared" ref="M37" si="34">L37+M35+M36</f>
        <v>#DIV/0!</v>
      </c>
      <c r="N37" s="142" t="e">
        <f t="shared" ref="N37" si="35">M37+N35+N36</f>
        <v>#DIV/0!</v>
      </c>
      <c r="O37" s="142" t="e">
        <f t="shared" ref="O37" si="36">N37+O35+O36</f>
        <v>#DIV/0!</v>
      </c>
      <c r="P37" s="142" t="e">
        <f t="shared" ref="P37" si="37">O37+P35+P36</f>
        <v>#DIV/0!</v>
      </c>
      <c r="Q37" s="142" t="e">
        <f>P37+Q35+Q36</f>
        <v>#DIV/0!</v>
      </c>
      <c r="R37" s="142" t="e">
        <f t="shared" ref="R37" si="38">Q37+R35+R36</f>
        <v>#DIV/0!</v>
      </c>
      <c r="S37" s="142" t="e">
        <f t="shared" ref="S37" si="39">R37+S35+S36</f>
        <v>#DIV/0!</v>
      </c>
      <c r="T37" s="142" t="e">
        <f t="shared" ref="T37" si="40">S37+T35+T36</f>
        <v>#DIV/0!</v>
      </c>
      <c r="U37" s="142" t="e">
        <f t="shared" ref="U37" si="41">T37+U35+U36</f>
        <v>#DIV/0!</v>
      </c>
      <c r="V37" s="142" t="e">
        <f t="shared" ref="V37" si="42">U37+V35+V36</f>
        <v>#DIV/0!</v>
      </c>
    </row>
    <row r="38" spans="2:22" ht="7.5" customHeight="1" x14ac:dyDescent="0.2">
      <c r="E38" s="143"/>
      <c r="F38" s="143"/>
      <c r="G38" s="143"/>
      <c r="H38" s="143"/>
      <c r="I38" s="143"/>
      <c r="J38" s="143"/>
      <c r="K38" s="143"/>
      <c r="L38" s="143"/>
      <c r="M38" s="144"/>
      <c r="N38" s="144"/>
      <c r="O38" s="144"/>
      <c r="P38" s="144"/>
      <c r="Q38" s="144"/>
      <c r="R38" s="144"/>
      <c r="S38" s="144"/>
      <c r="T38" s="144"/>
      <c r="U38" s="144"/>
      <c r="V38" s="144"/>
    </row>
    <row r="39" spans="2:22" x14ac:dyDescent="0.2">
      <c r="D39" s="61" t="s">
        <v>806</v>
      </c>
      <c r="E39" s="145">
        <f>E33+E37</f>
        <v>0</v>
      </c>
      <c r="F39" s="145">
        <f>E39+F31+F37</f>
        <v>0</v>
      </c>
      <c r="G39" s="145">
        <f t="shared" ref="G39:V39" si="43">F39+G31+G37</f>
        <v>0</v>
      </c>
      <c r="H39" s="145" t="e">
        <f t="shared" si="43"/>
        <v>#DIV/0!</v>
      </c>
      <c r="I39" s="145" t="e">
        <f>H39+I31+I37</f>
        <v>#DIV/0!</v>
      </c>
      <c r="J39" s="145" t="e">
        <f>I39+J31+J37</f>
        <v>#DIV/0!</v>
      </c>
      <c r="K39" s="145" t="e">
        <f t="shared" si="43"/>
        <v>#DIV/0!</v>
      </c>
      <c r="L39" s="145" t="e">
        <f t="shared" si="43"/>
        <v>#DIV/0!</v>
      </c>
      <c r="M39" s="145" t="e">
        <f t="shared" si="43"/>
        <v>#DIV/0!</v>
      </c>
      <c r="N39" s="145" t="e">
        <f t="shared" si="43"/>
        <v>#DIV/0!</v>
      </c>
      <c r="O39" s="145" t="e">
        <f t="shared" si="43"/>
        <v>#DIV/0!</v>
      </c>
      <c r="P39" s="145" t="e">
        <f t="shared" si="43"/>
        <v>#DIV/0!</v>
      </c>
      <c r="Q39" s="145" t="e">
        <f t="shared" si="43"/>
        <v>#DIV/0!</v>
      </c>
      <c r="R39" s="145" t="e">
        <f t="shared" si="43"/>
        <v>#DIV/0!</v>
      </c>
      <c r="S39" s="145" t="e">
        <f t="shared" si="43"/>
        <v>#DIV/0!</v>
      </c>
      <c r="T39" s="145" t="e">
        <f t="shared" si="43"/>
        <v>#DIV/0!</v>
      </c>
      <c r="U39" s="145" t="e">
        <f t="shared" si="43"/>
        <v>#DIV/0!</v>
      </c>
      <c r="V39" s="145" t="e">
        <f t="shared" si="43"/>
        <v>#DIV/0!</v>
      </c>
    </row>
    <row r="40" spans="2:22" s="136" customFormat="1" ht="7.5" customHeight="1" x14ac:dyDescent="0.2">
      <c r="E40" s="146"/>
      <c r="F40" s="146"/>
      <c r="G40" s="146"/>
      <c r="H40" s="146"/>
      <c r="I40" s="146"/>
      <c r="J40" s="146"/>
      <c r="K40" s="146"/>
      <c r="L40" s="146"/>
      <c r="M40" s="147"/>
      <c r="N40" s="147"/>
      <c r="O40" s="147"/>
      <c r="P40" s="147"/>
      <c r="Q40" s="147"/>
      <c r="R40" s="147"/>
      <c r="S40" s="147"/>
      <c r="T40" s="147"/>
      <c r="U40" s="147"/>
      <c r="V40" s="147"/>
    </row>
    <row r="41" spans="2:22" x14ac:dyDescent="0.2">
      <c r="D41" s="65" t="s">
        <v>789</v>
      </c>
      <c r="E41" s="144"/>
      <c r="F41" s="144"/>
      <c r="G41" s="144"/>
      <c r="H41" s="144"/>
      <c r="I41" s="144"/>
      <c r="J41" s="144"/>
      <c r="K41" s="144"/>
      <c r="L41" s="144" t="e">
        <f>M13</f>
        <v>#DIV/0!</v>
      </c>
      <c r="M41" s="144" t="e">
        <f>$L41*(1-M30)</f>
        <v>#DIV/0!</v>
      </c>
      <c r="N41" s="144" t="e">
        <f t="shared" ref="N41:V41" si="44">$L41*(1-N30)</f>
        <v>#DIV/0!</v>
      </c>
      <c r="O41" s="144" t="e">
        <f t="shared" si="44"/>
        <v>#DIV/0!</v>
      </c>
      <c r="P41" s="144" t="e">
        <f t="shared" si="44"/>
        <v>#DIV/0!</v>
      </c>
      <c r="Q41" s="144" t="e">
        <f t="shared" si="44"/>
        <v>#DIV/0!</v>
      </c>
      <c r="R41" s="144" t="e">
        <f t="shared" si="44"/>
        <v>#DIV/0!</v>
      </c>
      <c r="S41" s="144" t="e">
        <f t="shared" si="44"/>
        <v>#DIV/0!</v>
      </c>
      <c r="T41" s="144" t="e">
        <f t="shared" si="44"/>
        <v>#DIV/0!</v>
      </c>
      <c r="U41" s="144" t="e">
        <f t="shared" si="44"/>
        <v>#DIV/0!</v>
      </c>
      <c r="V41" s="144" t="e">
        <f t="shared" si="44"/>
        <v>#DIV/0!</v>
      </c>
    </row>
    <row r="44" spans="2:22" x14ac:dyDescent="0.2">
      <c r="B44" s="61" t="s">
        <v>807</v>
      </c>
    </row>
    <row r="45" spans="2:22" x14ac:dyDescent="0.2">
      <c r="D45" s="65" t="s">
        <v>636</v>
      </c>
      <c r="E45" s="87"/>
      <c r="F45" s="87"/>
      <c r="G45" s="87"/>
      <c r="H45" s="87"/>
      <c r="I45" s="87"/>
      <c r="J45" s="87"/>
      <c r="K45" s="87"/>
      <c r="L45" s="87"/>
      <c r="M45" s="75">
        <f>'Status Quo Estimation'!$J$27</f>
        <v>0</v>
      </c>
    </row>
    <row r="46" spans="2:22" x14ac:dyDescent="0.2">
      <c r="D46" s="65" t="s">
        <v>787</v>
      </c>
      <c r="E46" s="87"/>
      <c r="F46" s="87"/>
      <c r="G46" s="87"/>
      <c r="H46" s="87"/>
      <c r="I46" s="87"/>
      <c r="J46" s="87"/>
      <c r="K46" s="87"/>
      <c r="L46" s="87"/>
      <c r="M46" s="75">
        <f>'Status Quo Estimation'!$J$29</f>
        <v>0</v>
      </c>
    </row>
    <row r="47" spans="2:22" x14ac:dyDescent="0.2">
      <c r="D47" s="65" t="s">
        <v>788</v>
      </c>
      <c r="E47" s="87"/>
      <c r="F47" s="87"/>
      <c r="G47" s="87"/>
      <c r="H47" s="87"/>
      <c r="I47" s="87"/>
      <c r="J47" s="87"/>
      <c r="K47" s="87"/>
      <c r="L47" s="87"/>
      <c r="M47" s="75">
        <f>'1-Client Variables'!$D$24</f>
        <v>5</v>
      </c>
    </row>
    <row r="48" spans="2:22" x14ac:dyDescent="0.2">
      <c r="D48" s="65" t="s">
        <v>76</v>
      </c>
      <c r="E48" s="135"/>
      <c r="F48" s="135"/>
      <c r="G48" s="135"/>
      <c r="H48" s="135"/>
      <c r="I48" s="135"/>
      <c r="J48" s="135"/>
      <c r="K48" s="135"/>
      <c r="L48" s="135"/>
      <c r="M48" s="75">
        <f>'1-Client Variables'!$D$25</f>
        <v>5</v>
      </c>
    </row>
    <row r="49" spans="2:22" x14ac:dyDescent="0.2">
      <c r="D49" s="65" t="s">
        <v>77</v>
      </c>
      <c r="E49" s="135"/>
      <c r="F49" s="135"/>
      <c r="G49" s="135"/>
      <c r="H49" s="135"/>
      <c r="I49" s="135"/>
      <c r="J49" s="135"/>
      <c r="K49" s="135"/>
      <c r="L49" s="135"/>
      <c r="M49" s="69">
        <f>'1-Client Variables'!$D$26</f>
        <v>0.1</v>
      </c>
    </row>
    <row r="50" spans="2:22" x14ac:dyDescent="0.2">
      <c r="D50" s="136" t="s">
        <v>79</v>
      </c>
      <c r="E50" s="135"/>
      <c r="F50" s="135"/>
      <c r="G50" s="135"/>
      <c r="H50" s="135"/>
      <c r="I50" s="135"/>
      <c r="J50" s="135"/>
      <c r="K50" s="135"/>
      <c r="L50" s="135"/>
      <c r="M50" s="69">
        <f>'1-Client Variables'!$D$27</f>
        <v>0.1</v>
      </c>
      <c r="N50" s="65" t="s">
        <v>80</v>
      </c>
      <c r="O50" s="134"/>
    </row>
    <row r="51" spans="2:22" x14ac:dyDescent="0.2">
      <c r="D51" s="65" t="s">
        <v>808</v>
      </c>
      <c r="E51" s="87"/>
      <c r="F51" s="87"/>
      <c r="G51" s="87"/>
      <c r="H51" s="87"/>
      <c r="I51" s="87"/>
      <c r="J51" s="87"/>
      <c r="K51" s="87"/>
      <c r="L51" s="87"/>
      <c r="M51" s="75">
        <f>'Status Quo Estimation'!K107</f>
        <v>0</v>
      </c>
      <c r="N51" s="65" t="s">
        <v>790</v>
      </c>
    </row>
    <row r="53" spans="2:22" x14ac:dyDescent="0.2">
      <c r="D53" s="80" t="s">
        <v>264</v>
      </c>
      <c r="E53" s="137" t="s">
        <v>791</v>
      </c>
      <c r="F53" s="137" t="s">
        <v>792</v>
      </c>
      <c r="G53" s="137" t="s">
        <v>793</v>
      </c>
      <c r="H53" s="137" t="s">
        <v>794</v>
      </c>
      <c r="I53" s="137" t="s">
        <v>795</v>
      </c>
      <c r="J53" s="137" t="s">
        <v>796</v>
      </c>
      <c r="K53" s="137" t="s">
        <v>797</v>
      </c>
      <c r="L53" s="137" t="s">
        <v>480</v>
      </c>
      <c r="M53" s="63">
        <v>1</v>
      </c>
      <c r="N53" s="63">
        <f>M53+1</f>
        <v>2</v>
      </c>
      <c r="O53" s="63">
        <f t="shared" ref="O53" si="45">N53+1</f>
        <v>3</v>
      </c>
      <c r="P53" s="63">
        <f t="shared" ref="P53" si="46">O53+1</f>
        <v>4</v>
      </c>
      <c r="Q53" s="63">
        <f>P53+1</f>
        <v>5</v>
      </c>
      <c r="R53" s="63">
        <f>Q53+1</f>
        <v>6</v>
      </c>
      <c r="S53" s="63">
        <f>R53+1</f>
        <v>7</v>
      </c>
      <c r="T53" s="63">
        <f t="shared" ref="T53" si="47">S53+1</f>
        <v>8</v>
      </c>
      <c r="U53" s="63">
        <f t="shared" ref="U53" si="48">T53+1</f>
        <v>9</v>
      </c>
      <c r="V53" s="63">
        <f t="shared" ref="V53" si="49">U53+1</f>
        <v>10</v>
      </c>
    </row>
    <row r="54" spans="2:22" x14ac:dyDescent="0.2">
      <c r="B54" s="138"/>
      <c r="C54" s="139" t="s">
        <v>798</v>
      </c>
      <c r="D54" s="140" t="s">
        <v>799</v>
      </c>
      <c r="E54" s="141">
        <f>IF($M47&gt;7,$M45/$M47,0)</f>
        <v>0</v>
      </c>
      <c r="F54" s="141">
        <f>IF($M47&gt;6,$M45/$M47,0)</f>
        <v>0</v>
      </c>
      <c r="G54" s="141">
        <f>IF($M47&gt;5,$M45/$M47,0)</f>
        <v>0</v>
      </c>
      <c r="H54" s="141">
        <f>IF($M47&gt;4,$M45/$M47,0)</f>
        <v>0</v>
      </c>
      <c r="I54" s="141">
        <f>IF($M47&gt;3,$M45/$M47,0)</f>
        <v>0</v>
      </c>
      <c r="J54" s="141">
        <f>IF($M47&gt;2,$M45/$M47,0)</f>
        <v>0</v>
      </c>
      <c r="K54" s="141">
        <f>IF($M47&gt;1,$M45/$M47,0)</f>
        <v>0</v>
      </c>
      <c r="L54" s="141">
        <f>$M45/$M47</f>
        <v>0</v>
      </c>
      <c r="M54" s="142">
        <f>MAX(0,M46*(1+M49)*(M47/M48))</f>
        <v>0</v>
      </c>
      <c r="N54" s="142">
        <f>MAX(0,M54*(1+$M49))</f>
        <v>0</v>
      </c>
      <c r="O54" s="142">
        <f t="shared" ref="O54:V54" si="50">MAX(0,N54*(1+$M49))</f>
        <v>0</v>
      </c>
      <c r="P54" s="142">
        <f t="shared" si="50"/>
        <v>0</v>
      </c>
      <c r="Q54" s="142">
        <f t="shared" si="50"/>
        <v>0</v>
      </c>
      <c r="R54" s="142">
        <f t="shared" si="50"/>
        <v>0</v>
      </c>
      <c r="S54" s="142">
        <f t="shared" si="50"/>
        <v>0</v>
      </c>
      <c r="T54" s="142">
        <f t="shared" si="50"/>
        <v>0</v>
      </c>
      <c r="U54" s="142">
        <f t="shared" si="50"/>
        <v>0</v>
      </c>
      <c r="V54" s="142">
        <f t="shared" si="50"/>
        <v>0</v>
      </c>
    </row>
    <row r="55" spans="2:22" x14ac:dyDescent="0.2">
      <c r="D55" s="65" t="s">
        <v>800</v>
      </c>
      <c r="E55" s="143">
        <v>0</v>
      </c>
      <c r="F55" s="143">
        <v>0</v>
      </c>
      <c r="G55" s="143">
        <v>0</v>
      </c>
      <c r="H55" s="143">
        <v>0</v>
      </c>
      <c r="I55" s="143">
        <v>0</v>
      </c>
      <c r="J55" s="143">
        <v>0</v>
      </c>
      <c r="K55" s="143">
        <v>0</v>
      </c>
      <c r="L55" s="143">
        <v>0</v>
      </c>
      <c r="M55" s="144">
        <f t="shared" ref="M55:V55" si="51">IF($M47=7,-F54,IF($M47=6,-G54,IF($M47=5,-H54,IF($M47=4,-I54,IF($M47=3,-J54,IF($M47=2,-K54,IF($M47=1,-L54,"Error Dep Life")))))))</f>
        <v>0</v>
      </c>
      <c r="N55" s="144">
        <f t="shared" si="51"/>
        <v>0</v>
      </c>
      <c r="O55" s="144">
        <f t="shared" si="51"/>
        <v>0</v>
      </c>
      <c r="P55" s="144">
        <f t="shared" si="51"/>
        <v>0</v>
      </c>
      <c r="Q55" s="144">
        <f t="shared" si="51"/>
        <v>0</v>
      </c>
      <c r="R55" s="144">
        <f t="shared" si="51"/>
        <v>0</v>
      </c>
      <c r="S55" s="144">
        <f t="shared" si="51"/>
        <v>0</v>
      </c>
      <c r="T55" s="144">
        <f t="shared" si="51"/>
        <v>0</v>
      </c>
      <c r="U55" s="144">
        <f t="shared" si="51"/>
        <v>0</v>
      </c>
      <c r="V55" s="144">
        <f t="shared" si="51"/>
        <v>0</v>
      </c>
    </row>
    <row r="56" spans="2:22" x14ac:dyDescent="0.2">
      <c r="D56" s="61" t="s">
        <v>801</v>
      </c>
      <c r="E56" s="145">
        <f>E54</f>
        <v>0</v>
      </c>
      <c r="F56" s="145">
        <f>E56+F54+F55</f>
        <v>0</v>
      </c>
      <c r="G56" s="145">
        <f t="shared" ref="G56" si="52">F56+G54+G55</f>
        <v>0</v>
      </c>
      <c r="H56" s="145">
        <f t="shared" ref="H56" si="53">G56+H54+H55</f>
        <v>0</v>
      </c>
      <c r="I56" s="145">
        <f t="shared" ref="I56" si="54">H56+I54+I55</f>
        <v>0</v>
      </c>
      <c r="J56" s="145">
        <f t="shared" ref="J56" si="55">I56+J54+J55</f>
        <v>0</v>
      </c>
      <c r="K56" s="145">
        <f t="shared" ref="K56" si="56">J56+K54+K55</f>
        <v>0</v>
      </c>
      <c r="L56" s="145">
        <f>K56+L54+L55</f>
        <v>0</v>
      </c>
      <c r="M56" s="145">
        <f>L56+M54+M55</f>
        <v>0</v>
      </c>
      <c r="N56" s="145">
        <f t="shared" ref="N56" si="57">M56+N54+N55</f>
        <v>0</v>
      </c>
      <c r="O56" s="145">
        <f t="shared" ref="O56" si="58">N56+O54+O55</f>
        <v>0</v>
      </c>
      <c r="P56" s="145">
        <f t="shared" ref="P56" si="59">O56+P54+P55</f>
        <v>0</v>
      </c>
      <c r="Q56" s="145">
        <f t="shared" ref="Q56" si="60">P56+Q54+Q55</f>
        <v>0</v>
      </c>
      <c r="R56" s="145">
        <f t="shared" ref="R56" si="61">Q56+R54+R55</f>
        <v>0</v>
      </c>
      <c r="S56" s="145">
        <f t="shared" ref="S56" si="62">R56+S54+S55</f>
        <v>0</v>
      </c>
      <c r="T56" s="145">
        <f t="shared" ref="T56" si="63">S56+T54+T55</f>
        <v>0</v>
      </c>
      <c r="U56" s="145">
        <f t="shared" ref="U56" si="64">T56+U54+U55</f>
        <v>0</v>
      </c>
      <c r="V56" s="145">
        <f t="shared" ref="V56" si="65">U56+V54+V55</f>
        <v>0</v>
      </c>
    </row>
    <row r="57" spans="2:22" ht="7.5" customHeight="1" x14ac:dyDescent="0.2">
      <c r="E57" s="143"/>
      <c r="F57" s="143"/>
      <c r="G57" s="143"/>
      <c r="H57" s="143"/>
      <c r="I57" s="143"/>
      <c r="J57" s="143"/>
      <c r="K57" s="143"/>
      <c r="L57" s="143"/>
      <c r="M57" s="144"/>
      <c r="N57" s="144"/>
      <c r="O57" s="144"/>
      <c r="P57" s="144"/>
      <c r="Q57" s="144"/>
      <c r="R57" s="144"/>
      <c r="S57" s="144"/>
      <c r="T57" s="144"/>
      <c r="U57" s="144"/>
      <c r="V57" s="144"/>
    </row>
    <row r="58" spans="2:22" x14ac:dyDescent="0.2">
      <c r="D58" s="65" t="s">
        <v>802</v>
      </c>
      <c r="E58" s="143">
        <f t="shared" ref="E58:V58" si="66">-E54/$M47</f>
        <v>0</v>
      </c>
      <c r="F58" s="143">
        <f t="shared" si="66"/>
        <v>0</v>
      </c>
      <c r="G58" s="143">
        <f t="shared" si="66"/>
        <v>0</v>
      </c>
      <c r="H58" s="143">
        <f t="shared" si="66"/>
        <v>0</v>
      </c>
      <c r="I58" s="143">
        <f t="shared" si="66"/>
        <v>0</v>
      </c>
      <c r="J58" s="143">
        <f t="shared" si="66"/>
        <v>0</v>
      </c>
      <c r="K58" s="143">
        <f t="shared" si="66"/>
        <v>0</v>
      </c>
      <c r="L58" s="143">
        <f t="shared" si="66"/>
        <v>0</v>
      </c>
      <c r="M58" s="144">
        <f t="shared" si="66"/>
        <v>0</v>
      </c>
      <c r="N58" s="144">
        <f t="shared" si="66"/>
        <v>0</v>
      </c>
      <c r="O58" s="144">
        <f t="shared" si="66"/>
        <v>0</v>
      </c>
      <c r="P58" s="144">
        <f t="shared" si="66"/>
        <v>0</v>
      </c>
      <c r="Q58" s="144">
        <f t="shared" si="66"/>
        <v>0</v>
      </c>
      <c r="R58" s="144">
        <f t="shared" si="66"/>
        <v>0</v>
      </c>
      <c r="S58" s="144">
        <f t="shared" si="66"/>
        <v>0</v>
      </c>
      <c r="T58" s="144">
        <f t="shared" si="66"/>
        <v>0</v>
      </c>
      <c r="U58" s="144">
        <f t="shared" si="66"/>
        <v>0</v>
      </c>
      <c r="V58" s="144">
        <f t="shared" si="66"/>
        <v>0</v>
      </c>
    </row>
    <row r="59" spans="2:22" x14ac:dyDescent="0.2">
      <c r="D59" s="65" t="s">
        <v>803</v>
      </c>
      <c r="E59" s="143">
        <v>0</v>
      </c>
      <c r="F59" s="143">
        <v>0</v>
      </c>
      <c r="G59" s="143">
        <v>0</v>
      </c>
      <c r="H59" s="143">
        <v>0</v>
      </c>
      <c r="I59" s="143">
        <v>0</v>
      </c>
      <c r="J59" s="143">
        <v>0</v>
      </c>
      <c r="K59" s="143">
        <v>0</v>
      </c>
      <c r="L59" s="143">
        <v>0</v>
      </c>
      <c r="M59" s="144">
        <f>-M55/$M47</f>
        <v>0</v>
      </c>
      <c r="N59" s="144">
        <f>-N55/$M47</f>
        <v>0</v>
      </c>
      <c r="O59" s="144">
        <f t="shared" ref="O59:V59" si="67">-O55/$M47</f>
        <v>0</v>
      </c>
      <c r="P59" s="144">
        <f t="shared" si="67"/>
        <v>0</v>
      </c>
      <c r="Q59" s="144">
        <f t="shared" si="67"/>
        <v>0</v>
      </c>
      <c r="R59" s="144">
        <f t="shared" si="67"/>
        <v>0</v>
      </c>
      <c r="S59" s="144">
        <f t="shared" si="67"/>
        <v>0</v>
      </c>
      <c r="T59" s="144">
        <f t="shared" si="67"/>
        <v>0</v>
      </c>
      <c r="U59" s="144">
        <f t="shared" si="67"/>
        <v>0</v>
      </c>
      <c r="V59" s="144">
        <f t="shared" si="67"/>
        <v>0</v>
      </c>
    </row>
    <row r="60" spans="2:22" x14ac:dyDescent="0.2">
      <c r="B60" s="138"/>
      <c r="C60" s="139" t="s">
        <v>804</v>
      </c>
      <c r="D60" s="140" t="s">
        <v>805</v>
      </c>
      <c r="E60" s="141">
        <f>E58</f>
        <v>0</v>
      </c>
      <c r="F60" s="141">
        <f>E60+F58+F59</f>
        <v>0</v>
      </c>
      <c r="G60" s="141">
        <f t="shared" ref="G60" si="68">F60+G58+G59</f>
        <v>0</v>
      </c>
      <c r="H60" s="141">
        <f t="shared" ref="H60" si="69">G60+H58+H59</f>
        <v>0</v>
      </c>
      <c r="I60" s="141">
        <f>H60+I58+I59</f>
        <v>0</v>
      </c>
      <c r="J60" s="141">
        <f t="shared" ref="J60" si="70">I60+J58+J59</f>
        <v>0</v>
      </c>
      <c r="K60" s="141">
        <f t="shared" ref="K60" si="71">J60+K58+K59</f>
        <v>0</v>
      </c>
      <c r="L60" s="141">
        <f>K60+L58+L59</f>
        <v>0</v>
      </c>
      <c r="M60" s="142">
        <f>L60+M58+M59</f>
        <v>0</v>
      </c>
      <c r="N60" s="142">
        <f t="shared" ref="N60" si="72">M60+N58+N59</f>
        <v>0</v>
      </c>
      <c r="O60" s="142">
        <f t="shared" ref="O60" si="73">N60+O58+O59</f>
        <v>0</v>
      </c>
      <c r="P60" s="142">
        <f t="shared" ref="P60" si="74">O60+P58+P59</f>
        <v>0</v>
      </c>
      <c r="Q60" s="142">
        <f t="shared" ref="Q60" si="75">P60+Q58+Q59</f>
        <v>0</v>
      </c>
      <c r="R60" s="142">
        <f t="shared" ref="R60" si="76">Q60+R58+R59</f>
        <v>0</v>
      </c>
      <c r="S60" s="142">
        <f t="shared" ref="S60" si="77">R60+S58+S59</f>
        <v>0</v>
      </c>
      <c r="T60" s="142">
        <f t="shared" ref="T60" si="78">S60+T58+T59</f>
        <v>0</v>
      </c>
      <c r="U60" s="142">
        <f t="shared" ref="U60" si="79">T60+U58+U59</f>
        <v>0</v>
      </c>
      <c r="V60" s="142">
        <f t="shared" ref="V60" si="80">U60+V58+V59</f>
        <v>0</v>
      </c>
    </row>
    <row r="61" spans="2:22" ht="7.5" customHeight="1" x14ac:dyDescent="0.2">
      <c r="E61" s="143"/>
      <c r="F61" s="143"/>
      <c r="G61" s="143"/>
      <c r="H61" s="143"/>
      <c r="I61" s="143"/>
      <c r="J61" s="143"/>
      <c r="K61" s="143"/>
      <c r="L61" s="143"/>
      <c r="M61" s="144"/>
      <c r="N61" s="144"/>
      <c r="O61" s="144"/>
      <c r="P61" s="144"/>
      <c r="Q61" s="144"/>
      <c r="R61" s="144"/>
      <c r="S61" s="144"/>
      <c r="T61" s="144"/>
      <c r="U61" s="144"/>
      <c r="V61" s="144"/>
    </row>
    <row r="62" spans="2:22" x14ac:dyDescent="0.2">
      <c r="D62" s="61" t="s">
        <v>806</v>
      </c>
      <c r="E62" s="145">
        <f>E56+E60</f>
        <v>0</v>
      </c>
      <c r="F62" s="145">
        <f>E62+F54+F60</f>
        <v>0</v>
      </c>
      <c r="G62" s="145">
        <f t="shared" ref="G62:H62" si="81">F62+G54+G60</f>
        <v>0</v>
      </c>
      <c r="H62" s="145">
        <f t="shared" si="81"/>
        <v>0</v>
      </c>
      <c r="I62" s="145">
        <f>H62+I54+I60</f>
        <v>0</v>
      </c>
      <c r="J62" s="145">
        <f>I62+J54+J60</f>
        <v>0</v>
      </c>
      <c r="K62" s="145">
        <f t="shared" ref="K62:V62" si="82">J62+K54+K60</f>
        <v>0</v>
      </c>
      <c r="L62" s="145">
        <f t="shared" si="82"/>
        <v>0</v>
      </c>
      <c r="M62" s="145">
        <f>L62+M54+M60</f>
        <v>0</v>
      </c>
      <c r="N62" s="145">
        <f t="shared" si="82"/>
        <v>0</v>
      </c>
      <c r="O62" s="145">
        <f t="shared" si="82"/>
        <v>0</v>
      </c>
      <c r="P62" s="145">
        <f t="shared" si="82"/>
        <v>0</v>
      </c>
      <c r="Q62" s="145">
        <f t="shared" si="82"/>
        <v>0</v>
      </c>
      <c r="R62" s="145">
        <f t="shared" si="82"/>
        <v>0</v>
      </c>
      <c r="S62" s="145">
        <f t="shared" si="82"/>
        <v>0</v>
      </c>
      <c r="T62" s="145">
        <f t="shared" si="82"/>
        <v>0</v>
      </c>
      <c r="U62" s="145">
        <f t="shared" si="82"/>
        <v>0</v>
      </c>
      <c r="V62" s="145">
        <f t="shared" si="82"/>
        <v>0</v>
      </c>
    </row>
    <row r="63" spans="2:22" s="136" customFormat="1" ht="7.5" customHeight="1" x14ac:dyDescent="0.2">
      <c r="E63" s="146"/>
      <c r="F63" s="146"/>
      <c r="G63" s="146"/>
      <c r="H63" s="146"/>
      <c r="I63" s="146"/>
      <c r="J63" s="146"/>
      <c r="K63" s="146"/>
      <c r="L63" s="146"/>
      <c r="M63" s="147"/>
      <c r="N63" s="147"/>
      <c r="O63" s="147"/>
      <c r="P63" s="147"/>
      <c r="Q63" s="147"/>
      <c r="R63" s="147"/>
      <c r="S63" s="147"/>
      <c r="T63" s="147"/>
      <c r="U63" s="147"/>
      <c r="V63" s="147"/>
    </row>
    <row r="64" spans="2:22" x14ac:dyDescent="0.2">
      <c r="D64" s="65" t="s">
        <v>808</v>
      </c>
      <c r="E64" s="144"/>
      <c r="F64" s="144"/>
      <c r="G64" s="144"/>
      <c r="H64" s="144"/>
      <c r="I64" s="144"/>
      <c r="J64" s="144"/>
      <c r="K64" s="144"/>
      <c r="L64" s="144">
        <f>M51</f>
        <v>0</v>
      </c>
      <c r="M64" s="144">
        <f t="shared" ref="M64:V64" si="83">L64*(1+$M49)</f>
        <v>0</v>
      </c>
      <c r="N64" s="144">
        <f t="shared" si="83"/>
        <v>0</v>
      </c>
      <c r="O64" s="144">
        <f t="shared" si="83"/>
        <v>0</v>
      </c>
      <c r="P64" s="144">
        <f t="shared" si="83"/>
        <v>0</v>
      </c>
      <c r="Q64" s="144">
        <f t="shared" si="83"/>
        <v>0</v>
      </c>
      <c r="R64" s="144">
        <f t="shared" si="83"/>
        <v>0</v>
      </c>
      <c r="S64" s="144">
        <f t="shared" si="83"/>
        <v>0</v>
      </c>
      <c r="T64" s="144">
        <f t="shared" si="83"/>
        <v>0</v>
      </c>
      <c r="U64" s="144">
        <f t="shared" si="83"/>
        <v>0</v>
      </c>
      <c r="V64" s="144">
        <f t="shared" si="83"/>
        <v>0</v>
      </c>
    </row>
    <row r="67" spans="2:22" x14ac:dyDescent="0.2">
      <c r="D67" s="80" t="s">
        <v>265</v>
      </c>
      <c r="E67" s="137" t="s">
        <v>791</v>
      </c>
      <c r="F67" s="137" t="s">
        <v>792</v>
      </c>
      <c r="G67" s="137" t="s">
        <v>793</v>
      </c>
      <c r="H67" s="137" t="s">
        <v>794</v>
      </c>
      <c r="I67" s="137" t="s">
        <v>795</v>
      </c>
      <c r="J67" s="137" t="s">
        <v>796</v>
      </c>
      <c r="K67" s="137" t="s">
        <v>797</v>
      </c>
      <c r="L67" s="137" t="s">
        <v>480</v>
      </c>
      <c r="M67" s="63">
        <v>1</v>
      </c>
      <c r="N67" s="63">
        <f>M67+1</f>
        <v>2</v>
      </c>
      <c r="O67" s="63">
        <f t="shared" ref="O67" si="84">N67+1</f>
        <v>3</v>
      </c>
      <c r="P67" s="63">
        <f t="shared" ref="P67" si="85">O67+1</f>
        <v>4</v>
      </c>
      <c r="Q67" s="63">
        <f>P67+1</f>
        <v>5</v>
      </c>
      <c r="R67" s="63">
        <f>Q67+1</f>
        <v>6</v>
      </c>
      <c r="S67" s="63">
        <f>R67+1</f>
        <v>7</v>
      </c>
      <c r="T67" s="63">
        <f t="shared" ref="T67" si="86">S67+1</f>
        <v>8</v>
      </c>
      <c r="U67" s="63">
        <f t="shared" ref="U67" si="87">T67+1</f>
        <v>9</v>
      </c>
      <c r="V67" s="63">
        <f t="shared" ref="V67" si="88">U67+1</f>
        <v>10</v>
      </c>
    </row>
    <row r="68" spans="2:22" x14ac:dyDescent="0.2">
      <c r="D68" s="65" t="s">
        <v>734</v>
      </c>
      <c r="E68" s="69"/>
      <c r="F68" s="69"/>
      <c r="G68" s="69"/>
      <c r="H68" s="69"/>
      <c r="I68" s="69"/>
      <c r="J68" s="69"/>
      <c r="K68" s="69"/>
      <c r="L68" s="69"/>
      <c r="M68" s="69">
        <f>'2a-Consumption Plan Wk1'!E$17</f>
        <v>0.4</v>
      </c>
      <c r="N68" s="69">
        <f>'2a-Consumption Plan Wk1'!F$17</f>
        <v>0.8</v>
      </c>
      <c r="O68" s="69">
        <f>'2a-Consumption Plan Wk1'!G$17</f>
        <v>1</v>
      </c>
      <c r="P68" s="69">
        <f>'2a-Consumption Plan Wk1'!H$17</f>
        <v>1</v>
      </c>
      <c r="Q68" s="69">
        <f>'2a-Consumption Plan Wk1'!I$17</f>
        <v>1</v>
      </c>
      <c r="R68" s="69">
        <f>'2a-Consumption Plan Wk1'!J$17</f>
        <v>1</v>
      </c>
      <c r="S68" s="69">
        <f>'2a-Consumption Plan Wk1'!K$17</f>
        <v>1</v>
      </c>
      <c r="T68" s="69">
        <f>'2a-Consumption Plan Wk1'!L$17</f>
        <v>1</v>
      </c>
      <c r="U68" s="69">
        <f>'2a-Consumption Plan Wk1'!M$17</f>
        <v>1</v>
      </c>
      <c r="V68" s="69">
        <f>'2a-Consumption Plan Wk1'!N$17</f>
        <v>1</v>
      </c>
    </row>
    <row r="69" spans="2:22" x14ac:dyDescent="0.2">
      <c r="B69" s="138"/>
      <c r="C69" s="139" t="s">
        <v>798</v>
      </c>
      <c r="D69" s="140" t="s">
        <v>799</v>
      </c>
      <c r="E69" s="141">
        <f>IF($M47&gt;7,$M45/$M47,0)</f>
        <v>0</v>
      </c>
      <c r="F69" s="141">
        <f>IF($M47&gt;6,$M45/$M47,0)</f>
        <v>0</v>
      </c>
      <c r="G69" s="141">
        <f>IF($M47&gt;5,$M45/$M47,0)</f>
        <v>0</v>
      </c>
      <c r="H69" s="141">
        <f>IF($M47&gt;4,$M45/$M47,0)</f>
        <v>0</v>
      </c>
      <c r="I69" s="141">
        <f>IF($M47&gt;3,$M45/$M47,0)</f>
        <v>0</v>
      </c>
      <c r="J69" s="141">
        <f>IF($M47&gt;2,$M45/$M47,0)</f>
        <v>0</v>
      </c>
      <c r="K69" s="141">
        <f>IF($M47&gt;1,$M45/$M47,0)</f>
        <v>0</v>
      </c>
      <c r="L69" s="141">
        <f>$M45/$M47</f>
        <v>0</v>
      </c>
      <c r="M69" s="142">
        <f>MAX(0,IF(L71&lt;M45,(M45-L71)*(1-M68)*M50,M46*(1-M68)*M50))</f>
        <v>0</v>
      </c>
      <c r="N69" s="142">
        <f>$M46*(1-N68)*$M50</f>
        <v>0</v>
      </c>
      <c r="O69" s="142">
        <f t="shared" ref="O69" si="89">$M46*(1-O68)*$M50</f>
        <v>0</v>
      </c>
      <c r="P69" s="142">
        <f t="shared" ref="P69" si="90">$M46*(1-P68)*$M50</f>
        <v>0</v>
      </c>
      <c r="Q69" s="142">
        <f t="shared" ref="Q69" si="91">$M46*(1-Q68)*$M50</f>
        <v>0</v>
      </c>
      <c r="R69" s="142">
        <f t="shared" ref="R69" si="92">$M46*(1-R68)*$M50</f>
        <v>0</v>
      </c>
      <c r="S69" s="142">
        <f t="shared" ref="S69" si="93">$M46*(1-S68)*$M50</f>
        <v>0</v>
      </c>
      <c r="T69" s="142">
        <f t="shared" ref="T69" si="94">$M46*(1-T68)*$M50</f>
        <v>0</v>
      </c>
      <c r="U69" s="142">
        <f t="shared" ref="U69" si="95">$M46*(1-U68)*$M50</f>
        <v>0</v>
      </c>
      <c r="V69" s="142">
        <f t="shared" ref="V69" si="96">$M46*(1-V68)*$M50</f>
        <v>0</v>
      </c>
    </row>
    <row r="70" spans="2:22" x14ac:dyDescent="0.2">
      <c r="D70" s="65" t="s">
        <v>800</v>
      </c>
      <c r="E70" s="143">
        <v>0</v>
      </c>
      <c r="F70" s="143">
        <v>0</v>
      </c>
      <c r="G70" s="143">
        <v>0</v>
      </c>
      <c r="H70" s="143">
        <v>0</v>
      </c>
      <c r="I70" s="143">
        <v>0</v>
      </c>
      <c r="J70" s="143">
        <v>0</v>
      </c>
      <c r="K70" s="143">
        <v>0</v>
      </c>
      <c r="L70" s="143">
        <v>0</v>
      </c>
      <c r="M70" s="144">
        <f t="shared" ref="M70:V70" si="97">IF($M47=7,-F69,IF($M47=6,-G69,IF($M47=5,-H69,IF($M47=4,-I69,IF($M47=3,-J69,IF($M47=2,-K69,IF($M47=1,-L69,"Error Dep Life")))))))</f>
        <v>0</v>
      </c>
      <c r="N70" s="144">
        <f t="shared" si="97"/>
        <v>0</v>
      </c>
      <c r="O70" s="144">
        <f t="shared" si="97"/>
        <v>0</v>
      </c>
      <c r="P70" s="144">
        <f t="shared" si="97"/>
        <v>0</v>
      </c>
      <c r="Q70" s="144">
        <f t="shared" si="97"/>
        <v>0</v>
      </c>
      <c r="R70" s="144">
        <f t="shared" si="97"/>
        <v>0</v>
      </c>
      <c r="S70" s="144">
        <f t="shared" si="97"/>
        <v>0</v>
      </c>
      <c r="T70" s="144">
        <f t="shared" si="97"/>
        <v>0</v>
      </c>
      <c r="U70" s="144">
        <f t="shared" si="97"/>
        <v>0</v>
      </c>
      <c r="V70" s="144">
        <f t="shared" si="97"/>
        <v>0</v>
      </c>
    </row>
    <row r="71" spans="2:22" x14ac:dyDescent="0.2">
      <c r="D71" s="61" t="s">
        <v>801</v>
      </c>
      <c r="E71" s="145">
        <f>E69</f>
        <v>0</v>
      </c>
      <c r="F71" s="145">
        <f>E71+F69+F70</f>
        <v>0</v>
      </c>
      <c r="G71" s="145">
        <f t="shared" ref="G71" si="98">F71+G69+G70</f>
        <v>0</v>
      </c>
      <c r="H71" s="145">
        <f t="shared" ref="H71" si="99">G71+H69+H70</f>
        <v>0</v>
      </c>
      <c r="I71" s="145">
        <f t="shared" ref="I71" si="100">H71+I69+I70</f>
        <v>0</v>
      </c>
      <c r="J71" s="145">
        <f t="shared" ref="J71" si="101">I71+J69+J70</f>
        <v>0</v>
      </c>
      <c r="K71" s="145">
        <f t="shared" ref="K71" si="102">J71+K69+K70</f>
        <v>0</v>
      </c>
      <c r="L71" s="145">
        <f>K71+L69+L70</f>
        <v>0</v>
      </c>
      <c r="M71" s="145">
        <f t="shared" ref="M71" si="103">L71+M69+M70</f>
        <v>0</v>
      </c>
      <c r="N71" s="145">
        <f t="shared" ref="N71" si="104">M71+N69+N70</f>
        <v>0</v>
      </c>
      <c r="O71" s="145">
        <f t="shared" ref="O71" si="105">N71+O69+O70</f>
        <v>0</v>
      </c>
      <c r="P71" s="145">
        <f t="shared" ref="P71" si="106">O71+P69+P70</f>
        <v>0</v>
      </c>
      <c r="Q71" s="145">
        <f t="shared" ref="Q71" si="107">P71+Q69+Q70</f>
        <v>0</v>
      </c>
      <c r="R71" s="145">
        <f t="shared" ref="R71" si="108">Q71+R69+R70</f>
        <v>0</v>
      </c>
      <c r="S71" s="145">
        <f t="shared" ref="S71" si="109">R71+S69+S70</f>
        <v>0</v>
      </c>
      <c r="T71" s="145">
        <f t="shared" ref="T71" si="110">S71+T69+T70</f>
        <v>0</v>
      </c>
      <c r="U71" s="145">
        <f t="shared" ref="U71" si="111">T71+U69+U70</f>
        <v>0</v>
      </c>
      <c r="V71" s="145">
        <f t="shared" ref="V71" si="112">U71+V69+V70</f>
        <v>0</v>
      </c>
    </row>
    <row r="72" spans="2:22" ht="7.5" customHeight="1" x14ac:dyDescent="0.2">
      <c r="E72" s="143"/>
      <c r="F72" s="143"/>
      <c r="G72" s="143"/>
      <c r="H72" s="143"/>
      <c r="I72" s="143"/>
      <c r="J72" s="143"/>
      <c r="K72" s="143"/>
      <c r="L72" s="143"/>
      <c r="M72" s="144"/>
      <c r="N72" s="144"/>
      <c r="O72" s="144"/>
      <c r="P72" s="144"/>
      <c r="Q72" s="144"/>
      <c r="R72" s="144"/>
      <c r="S72" s="144"/>
      <c r="T72" s="144"/>
      <c r="U72" s="144"/>
      <c r="V72" s="144"/>
    </row>
    <row r="73" spans="2:22" x14ac:dyDescent="0.2">
      <c r="D73" s="65" t="s">
        <v>802</v>
      </c>
      <c r="E73" s="143">
        <f t="shared" ref="E73:V73" si="113">-E69/$M47</f>
        <v>0</v>
      </c>
      <c r="F73" s="143">
        <f t="shared" si="113"/>
        <v>0</v>
      </c>
      <c r="G73" s="143">
        <f t="shared" si="113"/>
        <v>0</v>
      </c>
      <c r="H73" s="143">
        <f t="shared" si="113"/>
        <v>0</v>
      </c>
      <c r="I73" s="143">
        <f t="shared" si="113"/>
        <v>0</v>
      </c>
      <c r="J73" s="143">
        <f t="shared" si="113"/>
        <v>0</v>
      </c>
      <c r="K73" s="143">
        <f t="shared" si="113"/>
        <v>0</v>
      </c>
      <c r="L73" s="143">
        <f t="shared" si="113"/>
        <v>0</v>
      </c>
      <c r="M73" s="143">
        <f t="shared" si="113"/>
        <v>0</v>
      </c>
      <c r="N73" s="143">
        <f t="shared" si="113"/>
        <v>0</v>
      </c>
      <c r="O73" s="143">
        <f t="shared" si="113"/>
        <v>0</v>
      </c>
      <c r="P73" s="143">
        <f t="shared" si="113"/>
        <v>0</v>
      </c>
      <c r="Q73" s="143">
        <f t="shared" si="113"/>
        <v>0</v>
      </c>
      <c r="R73" s="143">
        <f t="shared" si="113"/>
        <v>0</v>
      </c>
      <c r="S73" s="143">
        <f t="shared" si="113"/>
        <v>0</v>
      </c>
      <c r="T73" s="143">
        <f t="shared" si="113"/>
        <v>0</v>
      </c>
      <c r="U73" s="143">
        <f t="shared" si="113"/>
        <v>0</v>
      </c>
      <c r="V73" s="143">
        <f t="shared" si="113"/>
        <v>0</v>
      </c>
    </row>
    <row r="74" spans="2:22" x14ac:dyDescent="0.2">
      <c r="D74" s="65" t="s">
        <v>803</v>
      </c>
      <c r="E74" s="143">
        <v>0</v>
      </c>
      <c r="F74" s="143">
        <v>0</v>
      </c>
      <c r="G74" s="143">
        <v>0</v>
      </c>
      <c r="H74" s="143">
        <v>0</v>
      </c>
      <c r="I74" s="143">
        <v>0</v>
      </c>
      <c r="J74" s="143">
        <v>0</v>
      </c>
      <c r="K74" s="143">
        <v>0</v>
      </c>
      <c r="L74" s="143">
        <v>0</v>
      </c>
      <c r="M74" s="144">
        <f>-M70/$M47</f>
        <v>0</v>
      </c>
      <c r="N74" s="144">
        <f t="shared" ref="N74:V74" si="114">-N70/$M47</f>
        <v>0</v>
      </c>
      <c r="O74" s="144">
        <f t="shared" si="114"/>
        <v>0</v>
      </c>
      <c r="P74" s="144">
        <f t="shared" si="114"/>
        <v>0</v>
      </c>
      <c r="Q74" s="144">
        <f t="shared" si="114"/>
        <v>0</v>
      </c>
      <c r="R74" s="144">
        <f t="shared" si="114"/>
        <v>0</v>
      </c>
      <c r="S74" s="144">
        <f t="shared" si="114"/>
        <v>0</v>
      </c>
      <c r="T74" s="144">
        <f t="shared" si="114"/>
        <v>0</v>
      </c>
      <c r="U74" s="144">
        <f t="shared" si="114"/>
        <v>0</v>
      </c>
      <c r="V74" s="144">
        <f t="shared" si="114"/>
        <v>0</v>
      </c>
    </row>
    <row r="75" spans="2:22" x14ac:dyDescent="0.2">
      <c r="B75" s="138"/>
      <c r="C75" s="139" t="s">
        <v>804</v>
      </c>
      <c r="D75" s="140" t="s">
        <v>805</v>
      </c>
      <c r="E75" s="141">
        <f>E73</f>
        <v>0</v>
      </c>
      <c r="F75" s="141">
        <f>E75+F73+F74</f>
        <v>0</v>
      </c>
      <c r="G75" s="141">
        <f t="shared" ref="G75" si="115">F75+G73+G74</f>
        <v>0</v>
      </c>
      <c r="H75" s="141">
        <f t="shared" ref="H75" si="116">G75+H73+H74</f>
        <v>0</v>
      </c>
      <c r="I75" s="141">
        <f>H75+I73+I74</f>
        <v>0</v>
      </c>
      <c r="J75" s="141">
        <f t="shared" ref="J75" si="117">I75+J73+J74</f>
        <v>0</v>
      </c>
      <c r="K75" s="141">
        <f t="shared" ref="K75" si="118">J75+K73+K74</f>
        <v>0</v>
      </c>
      <c r="L75" s="141">
        <f>K75+L73+L74</f>
        <v>0</v>
      </c>
      <c r="M75" s="142">
        <f>L75+M73+M74</f>
        <v>0</v>
      </c>
      <c r="N75" s="142">
        <f t="shared" ref="N75" si="119">M75+N73+N74</f>
        <v>0</v>
      </c>
      <c r="O75" s="142">
        <f t="shared" ref="O75" si="120">N75+O73+O74</f>
        <v>0</v>
      </c>
      <c r="P75" s="142">
        <f t="shared" ref="P75" si="121">O75+P73+P74</f>
        <v>0</v>
      </c>
      <c r="Q75" s="142">
        <f>P75+Q73+Q74</f>
        <v>0</v>
      </c>
      <c r="R75" s="142">
        <f t="shared" ref="R75" si="122">Q75+R73+R74</f>
        <v>0</v>
      </c>
      <c r="S75" s="142">
        <f t="shared" ref="S75" si="123">R75+S73+S74</f>
        <v>0</v>
      </c>
      <c r="T75" s="142">
        <f t="shared" ref="T75" si="124">S75+T73+T74</f>
        <v>0</v>
      </c>
      <c r="U75" s="142">
        <f t="shared" ref="U75" si="125">T75+U73+U74</f>
        <v>0</v>
      </c>
      <c r="V75" s="142">
        <f t="shared" ref="V75" si="126">U75+V73+V74</f>
        <v>0</v>
      </c>
    </row>
    <row r="76" spans="2:22" ht="7.5" customHeight="1" x14ac:dyDescent="0.2">
      <c r="E76" s="143"/>
      <c r="F76" s="143"/>
      <c r="G76" s="143"/>
      <c r="H76" s="143"/>
      <c r="I76" s="143"/>
      <c r="J76" s="143"/>
      <c r="K76" s="143"/>
      <c r="L76" s="143"/>
      <c r="M76" s="144"/>
      <c r="N76" s="144"/>
      <c r="O76" s="144"/>
      <c r="P76" s="144"/>
      <c r="Q76" s="144"/>
      <c r="R76" s="144"/>
      <c r="S76" s="144"/>
      <c r="T76" s="144"/>
      <c r="U76" s="144"/>
      <c r="V76" s="144"/>
    </row>
    <row r="77" spans="2:22" x14ac:dyDescent="0.2">
      <c r="D77" s="61" t="s">
        <v>806</v>
      </c>
      <c r="E77" s="145">
        <f>E71+E75</f>
        <v>0</v>
      </c>
      <c r="F77" s="145">
        <f>E77+F69+F75</f>
        <v>0</v>
      </c>
      <c r="G77" s="145">
        <f t="shared" ref="G77:H77" si="127">F77+G69+G75</f>
        <v>0</v>
      </c>
      <c r="H77" s="145">
        <f t="shared" si="127"/>
        <v>0</v>
      </c>
      <c r="I77" s="145">
        <f>H77+I69+I75</f>
        <v>0</v>
      </c>
      <c r="J77" s="145">
        <f>I77+J69+J75</f>
        <v>0</v>
      </c>
      <c r="K77" s="145">
        <f t="shared" ref="K77:V77" si="128">J77+K69+K75</f>
        <v>0</v>
      </c>
      <c r="L77" s="145">
        <f t="shared" si="128"/>
        <v>0</v>
      </c>
      <c r="M77" s="145">
        <f>L77+M69+M75</f>
        <v>0</v>
      </c>
      <c r="N77" s="145">
        <f t="shared" si="128"/>
        <v>0</v>
      </c>
      <c r="O77" s="145">
        <f t="shared" si="128"/>
        <v>0</v>
      </c>
      <c r="P77" s="145">
        <f t="shared" si="128"/>
        <v>0</v>
      </c>
      <c r="Q77" s="145">
        <f t="shared" si="128"/>
        <v>0</v>
      </c>
      <c r="R77" s="145">
        <f t="shared" si="128"/>
        <v>0</v>
      </c>
      <c r="S77" s="145">
        <f t="shared" si="128"/>
        <v>0</v>
      </c>
      <c r="T77" s="145">
        <f t="shared" si="128"/>
        <v>0</v>
      </c>
      <c r="U77" s="145">
        <f t="shared" si="128"/>
        <v>0</v>
      </c>
      <c r="V77" s="145">
        <f t="shared" si="128"/>
        <v>0</v>
      </c>
    </row>
    <row r="78" spans="2:22" s="136" customFormat="1" ht="7.5" customHeight="1" x14ac:dyDescent="0.2">
      <c r="E78" s="146"/>
      <c r="F78" s="146"/>
      <c r="G78" s="146"/>
      <c r="H78" s="146"/>
      <c r="I78" s="146"/>
      <c r="J78" s="146"/>
      <c r="K78" s="146"/>
      <c r="L78" s="146"/>
      <c r="M78" s="147"/>
      <c r="N78" s="147"/>
      <c r="O78" s="147"/>
      <c r="P78" s="147"/>
      <c r="Q78" s="147"/>
      <c r="R78" s="147"/>
      <c r="S78" s="147"/>
      <c r="T78" s="147"/>
      <c r="U78" s="147"/>
      <c r="V78" s="147"/>
    </row>
    <row r="79" spans="2:22" x14ac:dyDescent="0.2">
      <c r="D79" s="65" t="s">
        <v>808</v>
      </c>
      <c r="E79" s="144"/>
      <c r="F79" s="144"/>
      <c r="G79" s="144"/>
      <c r="H79" s="144"/>
      <c r="I79" s="144"/>
      <c r="J79" s="144"/>
      <c r="K79" s="144"/>
      <c r="L79" s="144">
        <f>M51</f>
        <v>0</v>
      </c>
      <c r="M79" s="144">
        <f>$L79*(1-M68)</f>
        <v>0</v>
      </c>
      <c r="N79" s="144">
        <f t="shared" ref="N79:V79" si="129">$L79*(1-N68)</f>
        <v>0</v>
      </c>
      <c r="O79" s="144">
        <f t="shared" si="129"/>
        <v>0</v>
      </c>
      <c r="P79" s="144">
        <f t="shared" si="129"/>
        <v>0</v>
      </c>
      <c r="Q79" s="144">
        <f t="shared" si="129"/>
        <v>0</v>
      </c>
      <c r="R79" s="144">
        <f t="shared" si="129"/>
        <v>0</v>
      </c>
      <c r="S79" s="144">
        <f t="shared" si="129"/>
        <v>0</v>
      </c>
      <c r="T79" s="144">
        <f t="shared" si="129"/>
        <v>0</v>
      </c>
      <c r="U79" s="144">
        <f t="shared" si="129"/>
        <v>0</v>
      </c>
      <c r="V79" s="144">
        <f t="shared" si="129"/>
        <v>0</v>
      </c>
    </row>
    <row r="82" spans="2:22" s="68" customFormat="1" x14ac:dyDescent="0.2">
      <c r="C82" s="133" t="s">
        <v>809</v>
      </c>
    </row>
    <row r="83" spans="2:22" x14ac:dyDescent="0.2">
      <c r="B83" s="61"/>
    </row>
    <row r="84" spans="2:22" x14ac:dyDescent="0.2">
      <c r="B84" s="61" t="s">
        <v>810</v>
      </c>
    </row>
    <row r="85" spans="2:22" x14ac:dyDescent="0.2">
      <c r="D85" s="65" t="s">
        <v>636</v>
      </c>
      <c r="E85" s="87"/>
      <c r="F85" s="87"/>
      <c r="G85" s="87"/>
      <c r="H85" s="87"/>
      <c r="I85" s="87"/>
      <c r="J85" s="87"/>
      <c r="K85" s="87"/>
      <c r="L85" s="87"/>
      <c r="M85" s="75" t="e">
        <f>'Status Quo Estimation'!$K$11</f>
        <v>#DIV/0!</v>
      </c>
    </row>
    <row r="86" spans="2:22" x14ac:dyDescent="0.2">
      <c r="D86" s="65" t="s">
        <v>787</v>
      </c>
      <c r="E86" s="87"/>
      <c r="F86" s="87"/>
      <c r="G86" s="87"/>
      <c r="H86" s="87"/>
      <c r="I86" s="87"/>
      <c r="J86" s="87"/>
      <c r="K86" s="87"/>
      <c r="L86" s="87"/>
      <c r="M86" s="75" t="e">
        <f>'Status Quo Estimation'!$K$16</f>
        <v>#DIV/0!</v>
      </c>
    </row>
    <row r="87" spans="2:22" x14ac:dyDescent="0.2">
      <c r="D87" s="65" t="s">
        <v>788</v>
      </c>
      <c r="E87" s="87"/>
      <c r="F87" s="87"/>
      <c r="G87" s="87"/>
      <c r="H87" s="87"/>
      <c r="I87" s="87"/>
      <c r="J87" s="87"/>
      <c r="K87" s="87"/>
      <c r="L87" s="87"/>
      <c r="M87" s="75">
        <f>'1-Client Variables'!$D$24</f>
        <v>5</v>
      </c>
    </row>
    <row r="88" spans="2:22" x14ac:dyDescent="0.2">
      <c r="D88" s="65" t="s">
        <v>76</v>
      </c>
      <c r="E88" s="135"/>
      <c r="F88" s="135"/>
      <c r="G88" s="135"/>
      <c r="H88" s="135"/>
      <c r="I88" s="135"/>
      <c r="J88" s="135"/>
      <c r="K88" s="135"/>
      <c r="L88" s="135"/>
      <c r="M88" s="75">
        <f>'1-Client Variables'!$D$25</f>
        <v>5</v>
      </c>
    </row>
    <row r="89" spans="2:22" x14ac:dyDescent="0.2">
      <c r="D89" s="65" t="s">
        <v>77</v>
      </c>
      <c r="E89" s="135"/>
      <c r="F89" s="135"/>
      <c r="G89" s="135"/>
      <c r="H89" s="135"/>
      <c r="I89" s="135"/>
      <c r="J89" s="135"/>
      <c r="K89" s="135"/>
      <c r="L89" s="135"/>
      <c r="M89" s="69">
        <f>'1-Client Variables'!$D$26</f>
        <v>0.1</v>
      </c>
    </row>
    <row r="90" spans="2:22" x14ac:dyDescent="0.2">
      <c r="D90" s="136" t="s">
        <v>79</v>
      </c>
      <c r="E90" s="135"/>
      <c r="F90" s="135"/>
      <c r="G90" s="135"/>
      <c r="H90" s="135"/>
      <c r="I90" s="135"/>
      <c r="J90" s="135"/>
      <c r="K90" s="135"/>
      <c r="L90" s="135"/>
      <c r="M90" s="69">
        <f>'1-Client Variables'!$D$27</f>
        <v>0.1</v>
      </c>
      <c r="N90" s="65" t="s">
        <v>80</v>
      </c>
      <c r="O90" s="134"/>
    </row>
    <row r="91" spans="2:22" x14ac:dyDescent="0.2">
      <c r="D91" s="65" t="s">
        <v>789</v>
      </c>
      <c r="E91" s="87"/>
      <c r="F91" s="87"/>
      <c r="G91" s="87"/>
      <c r="H91" s="87"/>
      <c r="I91" s="87"/>
      <c r="J91" s="87"/>
      <c r="K91" s="87"/>
      <c r="L91" s="87"/>
      <c r="M91" s="75" t="e">
        <f>'Status Quo Estimation'!L99</f>
        <v>#DIV/0!</v>
      </c>
      <c r="N91" s="65" t="s">
        <v>790</v>
      </c>
    </row>
    <row r="93" spans="2:22" x14ac:dyDescent="0.2">
      <c r="D93" s="80" t="s">
        <v>264</v>
      </c>
      <c r="E93" s="137" t="s">
        <v>791</v>
      </c>
      <c r="F93" s="137" t="s">
        <v>792</v>
      </c>
      <c r="G93" s="137" t="s">
        <v>793</v>
      </c>
      <c r="H93" s="137" t="s">
        <v>794</v>
      </c>
      <c r="I93" s="137" t="s">
        <v>795</v>
      </c>
      <c r="J93" s="137" t="s">
        <v>796</v>
      </c>
      <c r="K93" s="137" t="s">
        <v>797</v>
      </c>
      <c r="L93" s="137" t="s">
        <v>480</v>
      </c>
      <c r="M93" s="63">
        <v>1</v>
      </c>
      <c r="N93" s="63">
        <f>M93+1</f>
        <v>2</v>
      </c>
      <c r="O93" s="63">
        <f t="shared" ref="O93" si="130">N93+1</f>
        <v>3</v>
      </c>
      <c r="P93" s="63">
        <f t="shared" ref="P93" si="131">O93+1</f>
        <v>4</v>
      </c>
      <c r="Q93" s="63">
        <f>P93+1</f>
        <v>5</v>
      </c>
      <c r="R93" s="63">
        <f>Q93+1</f>
        <v>6</v>
      </c>
      <c r="S93" s="63">
        <f>R93+1</f>
        <v>7</v>
      </c>
      <c r="T93" s="63">
        <f t="shared" ref="T93" si="132">S93+1</f>
        <v>8</v>
      </c>
      <c r="U93" s="63">
        <f t="shared" ref="U93" si="133">T93+1</f>
        <v>9</v>
      </c>
      <c r="V93" s="63">
        <f t="shared" ref="V93" si="134">U93+1</f>
        <v>10</v>
      </c>
    </row>
    <row r="94" spans="2:22" x14ac:dyDescent="0.2">
      <c r="B94" s="138"/>
      <c r="C94" s="139" t="s">
        <v>798</v>
      </c>
      <c r="D94" s="140" t="s">
        <v>799</v>
      </c>
      <c r="E94" s="141">
        <f>IF($M87&gt;7,$M85/$M87,0)</f>
        <v>0</v>
      </c>
      <c r="F94" s="141">
        <f>IF($M87&gt;6,$M85/$M87,0)</f>
        <v>0</v>
      </c>
      <c r="G94" s="141">
        <f>IF($M87&gt;5,$M85/$M87,0)</f>
        <v>0</v>
      </c>
      <c r="H94" s="141" t="e">
        <f>IF($M87&gt;4,$M85/$M87,0)</f>
        <v>#DIV/0!</v>
      </c>
      <c r="I94" s="141" t="e">
        <f>IF($M87&gt;3,$M85/$M87,0)</f>
        <v>#DIV/0!</v>
      </c>
      <c r="J94" s="141" t="e">
        <f>IF($M87&gt;2,$M85/$M87,0)</f>
        <v>#DIV/0!</v>
      </c>
      <c r="K94" s="141" t="e">
        <f>IF($M87&gt;1,$M85/$M87,0)</f>
        <v>#DIV/0!</v>
      </c>
      <c r="L94" s="141" t="e">
        <f>$M85/$M87</f>
        <v>#DIV/0!</v>
      </c>
      <c r="M94" s="142" t="e">
        <f>MAX(0,M86*(1+M89)*(M87/M88))</f>
        <v>#DIV/0!</v>
      </c>
      <c r="N94" s="142" t="e">
        <f>MAX(0,M94*(1+$M89))</f>
        <v>#DIV/0!</v>
      </c>
      <c r="O94" s="142" t="e">
        <f t="shared" ref="O94:V94" si="135">MAX(0,N94*(1+$M89))</f>
        <v>#DIV/0!</v>
      </c>
      <c r="P94" s="142" t="e">
        <f t="shared" si="135"/>
        <v>#DIV/0!</v>
      </c>
      <c r="Q94" s="142" t="e">
        <f t="shared" si="135"/>
        <v>#DIV/0!</v>
      </c>
      <c r="R94" s="142" t="e">
        <f t="shared" si="135"/>
        <v>#DIV/0!</v>
      </c>
      <c r="S94" s="142" t="e">
        <f t="shared" si="135"/>
        <v>#DIV/0!</v>
      </c>
      <c r="T94" s="142" t="e">
        <f t="shared" si="135"/>
        <v>#DIV/0!</v>
      </c>
      <c r="U94" s="142" t="e">
        <f t="shared" si="135"/>
        <v>#DIV/0!</v>
      </c>
      <c r="V94" s="142" t="e">
        <f t="shared" si="135"/>
        <v>#DIV/0!</v>
      </c>
    </row>
    <row r="95" spans="2:22" x14ac:dyDescent="0.2">
      <c r="D95" s="65" t="s">
        <v>800</v>
      </c>
      <c r="E95" s="143">
        <v>0</v>
      </c>
      <c r="F95" s="143">
        <v>0</v>
      </c>
      <c r="G95" s="143">
        <v>0</v>
      </c>
      <c r="H95" s="143">
        <v>0</v>
      </c>
      <c r="I95" s="143">
        <v>0</v>
      </c>
      <c r="J95" s="143">
        <v>0</v>
      </c>
      <c r="K95" s="143">
        <v>0</v>
      </c>
      <c r="L95" s="143">
        <v>0</v>
      </c>
      <c r="M95" s="144" t="e">
        <f t="shared" ref="M95:V95" si="136">IF($M87=7,-F94,IF($M87=6,-G94,IF($M87=5,-H94,IF($M87=4,-I94,IF($M87=3,-J94,IF($M87=2,-K94,IF($M87=1,-L94,"Error Dep Life")))))))</f>
        <v>#DIV/0!</v>
      </c>
      <c r="N95" s="144" t="e">
        <f t="shared" si="136"/>
        <v>#DIV/0!</v>
      </c>
      <c r="O95" s="144" t="e">
        <f t="shared" si="136"/>
        <v>#DIV/0!</v>
      </c>
      <c r="P95" s="144" t="e">
        <f t="shared" si="136"/>
        <v>#DIV/0!</v>
      </c>
      <c r="Q95" s="144" t="e">
        <f t="shared" si="136"/>
        <v>#DIV/0!</v>
      </c>
      <c r="R95" s="144" t="e">
        <f t="shared" si="136"/>
        <v>#DIV/0!</v>
      </c>
      <c r="S95" s="144" t="e">
        <f t="shared" si="136"/>
        <v>#DIV/0!</v>
      </c>
      <c r="T95" s="144" t="e">
        <f t="shared" si="136"/>
        <v>#DIV/0!</v>
      </c>
      <c r="U95" s="144" t="e">
        <f t="shared" si="136"/>
        <v>#DIV/0!</v>
      </c>
      <c r="V95" s="144" t="e">
        <f t="shared" si="136"/>
        <v>#DIV/0!</v>
      </c>
    </row>
    <row r="96" spans="2:22" x14ac:dyDescent="0.2">
      <c r="D96" s="61" t="s">
        <v>801</v>
      </c>
      <c r="E96" s="145">
        <f>E94</f>
        <v>0</v>
      </c>
      <c r="F96" s="145">
        <f>E96+F94+F95</f>
        <v>0</v>
      </c>
      <c r="G96" s="145">
        <f t="shared" ref="G96" si="137">F96+G94+G95</f>
        <v>0</v>
      </c>
      <c r="H96" s="145" t="e">
        <f t="shared" ref="H96" si="138">G96+H94+H95</f>
        <v>#DIV/0!</v>
      </c>
      <c r="I96" s="145" t="e">
        <f t="shared" ref="I96" si="139">H96+I94+I95</f>
        <v>#DIV/0!</v>
      </c>
      <c r="J96" s="145" t="e">
        <f t="shared" ref="J96" si="140">I96+J94+J95</f>
        <v>#DIV/0!</v>
      </c>
      <c r="K96" s="145" t="e">
        <f t="shared" ref="K96" si="141">J96+K94+K95</f>
        <v>#DIV/0!</v>
      </c>
      <c r="L96" s="145" t="e">
        <f>K96+L94+L95</f>
        <v>#DIV/0!</v>
      </c>
      <c r="M96" s="145" t="e">
        <f t="shared" ref="M96" si="142">L96+M94+M95</f>
        <v>#DIV/0!</v>
      </c>
      <c r="N96" s="145" t="e">
        <f t="shared" ref="N96" si="143">M96+N94+N95</f>
        <v>#DIV/0!</v>
      </c>
      <c r="O96" s="145" t="e">
        <f t="shared" ref="O96" si="144">N96+O94+O95</f>
        <v>#DIV/0!</v>
      </c>
      <c r="P96" s="145" t="e">
        <f t="shared" ref="P96" si="145">O96+P94+P95</f>
        <v>#DIV/0!</v>
      </c>
      <c r="Q96" s="145" t="e">
        <f t="shared" ref="Q96" si="146">P96+Q94+Q95</f>
        <v>#DIV/0!</v>
      </c>
      <c r="R96" s="145" t="e">
        <f t="shared" ref="R96" si="147">Q96+R94+R95</f>
        <v>#DIV/0!</v>
      </c>
      <c r="S96" s="145" t="e">
        <f t="shared" ref="S96" si="148">R96+S94+S95</f>
        <v>#DIV/0!</v>
      </c>
      <c r="T96" s="145" t="e">
        <f t="shared" ref="T96" si="149">S96+T94+T95</f>
        <v>#DIV/0!</v>
      </c>
      <c r="U96" s="145" t="e">
        <f t="shared" ref="U96" si="150">T96+U94+U95</f>
        <v>#DIV/0!</v>
      </c>
      <c r="V96" s="145" t="e">
        <f t="shared" ref="V96" si="151">U96+V94+V95</f>
        <v>#DIV/0!</v>
      </c>
    </row>
    <row r="97" spans="2:22" ht="7.5" customHeight="1" x14ac:dyDescent="0.2">
      <c r="E97" s="143"/>
      <c r="F97" s="143"/>
      <c r="G97" s="143"/>
      <c r="H97" s="143"/>
      <c r="I97" s="143"/>
      <c r="J97" s="143"/>
      <c r="K97" s="143"/>
      <c r="L97" s="143"/>
      <c r="M97" s="144"/>
      <c r="N97" s="144"/>
      <c r="O97" s="144"/>
      <c r="P97" s="144"/>
      <c r="Q97" s="144"/>
      <c r="R97" s="144"/>
      <c r="S97" s="144"/>
      <c r="T97" s="144"/>
      <c r="U97" s="144"/>
      <c r="V97" s="144"/>
    </row>
    <row r="98" spans="2:22" x14ac:dyDescent="0.2">
      <c r="D98" s="65" t="s">
        <v>802</v>
      </c>
      <c r="E98" s="143">
        <f t="shared" ref="E98:V98" si="152">-E94/$M87</f>
        <v>0</v>
      </c>
      <c r="F98" s="143">
        <f t="shared" si="152"/>
        <v>0</v>
      </c>
      <c r="G98" s="143">
        <f t="shared" si="152"/>
        <v>0</v>
      </c>
      <c r="H98" s="143" t="e">
        <f t="shared" si="152"/>
        <v>#DIV/0!</v>
      </c>
      <c r="I98" s="143" t="e">
        <f t="shared" si="152"/>
        <v>#DIV/0!</v>
      </c>
      <c r="J98" s="143" t="e">
        <f t="shared" si="152"/>
        <v>#DIV/0!</v>
      </c>
      <c r="K98" s="143" t="e">
        <f t="shared" si="152"/>
        <v>#DIV/0!</v>
      </c>
      <c r="L98" s="143" t="e">
        <f t="shared" si="152"/>
        <v>#DIV/0!</v>
      </c>
      <c r="M98" s="144" t="e">
        <f t="shared" si="152"/>
        <v>#DIV/0!</v>
      </c>
      <c r="N98" s="144" t="e">
        <f t="shared" si="152"/>
        <v>#DIV/0!</v>
      </c>
      <c r="O98" s="144" t="e">
        <f t="shared" si="152"/>
        <v>#DIV/0!</v>
      </c>
      <c r="P98" s="144" t="e">
        <f t="shared" si="152"/>
        <v>#DIV/0!</v>
      </c>
      <c r="Q98" s="144" t="e">
        <f t="shared" si="152"/>
        <v>#DIV/0!</v>
      </c>
      <c r="R98" s="144" t="e">
        <f t="shared" si="152"/>
        <v>#DIV/0!</v>
      </c>
      <c r="S98" s="144" t="e">
        <f t="shared" si="152"/>
        <v>#DIV/0!</v>
      </c>
      <c r="T98" s="144" t="e">
        <f t="shared" si="152"/>
        <v>#DIV/0!</v>
      </c>
      <c r="U98" s="144" t="e">
        <f t="shared" si="152"/>
        <v>#DIV/0!</v>
      </c>
      <c r="V98" s="144" t="e">
        <f t="shared" si="152"/>
        <v>#DIV/0!</v>
      </c>
    </row>
    <row r="99" spans="2:22" x14ac:dyDescent="0.2">
      <c r="D99" s="65" t="s">
        <v>803</v>
      </c>
      <c r="E99" s="143">
        <v>0</v>
      </c>
      <c r="F99" s="143">
        <v>0</v>
      </c>
      <c r="G99" s="143">
        <v>0</v>
      </c>
      <c r="H99" s="143">
        <v>0</v>
      </c>
      <c r="I99" s="143">
        <v>0</v>
      </c>
      <c r="J99" s="143">
        <v>0</v>
      </c>
      <c r="K99" s="143">
        <v>0</v>
      </c>
      <c r="L99" s="143">
        <v>0</v>
      </c>
      <c r="M99" s="144" t="e">
        <f>-M95/$M87</f>
        <v>#DIV/0!</v>
      </c>
      <c r="N99" s="144" t="e">
        <f t="shared" ref="N99:V99" si="153">-N95/$M87</f>
        <v>#DIV/0!</v>
      </c>
      <c r="O99" s="144" t="e">
        <f t="shared" si="153"/>
        <v>#DIV/0!</v>
      </c>
      <c r="P99" s="144" t="e">
        <f>-P95/$M87</f>
        <v>#DIV/0!</v>
      </c>
      <c r="Q99" s="144" t="e">
        <f t="shared" si="153"/>
        <v>#DIV/0!</v>
      </c>
      <c r="R99" s="144" t="e">
        <f t="shared" si="153"/>
        <v>#DIV/0!</v>
      </c>
      <c r="S99" s="144" t="e">
        <f t="shared" si="153"/>
        <v>#DIV/0!</v>
      </c>
      <c r="T99" s="144" t="e">
        <f t="shared" si="153"/>
        <v>#DIV/0!</v>
      </c>
      <c r="U99" s="144" t="e">
        <f t="shared" si="153"/>
        <v>#DIV/0!</v>
      </c>
      <c r="V99" s="144" t="e">
        <f t="shared" si="153"/>
        <v>#DIV/0!</v>
      </c>
    </row>
    <row r="100" spans="2:22" x14ac:dyDescent="0.2">
      <c r="B100" s="138"/>
      <c r="C100" s="139" t="s">
        <v>804</v>
      </c>
      <c r="D100" s="140" t="s">
        <v>805</v>
      </c>
      <c r="E100" s="141">
        <f>E98</f>
        <v>0</v>
      </c>
      <c r="F100" s="141">
        <f>E100+F98+F99</f>
        <v>0</v>
      </c>
      <c r="G100" s="141">
        <f t="shared" ref="G100" si="154">F100+G98+G99</f>
        <v>0</v>
      </c>
      <c r="H100" s="141" t="e">
        <f t="shared" ref="H100" si="155">G100+H98+H99</f>
        <v>#DIV/0!</v>
      </c>
      <c r="I100" s="141" t="e">
        <f>H100+I98+I99</f>
        <v>#DIV/0!</v>
      </c>
      <c r="J100" s="141" t="e">
        <f t="shared" ref="J100" si="156">I100+J98+J99</f>
        <v>#DIV/0!</v>
      </c>
      <c r="K100" s="141" t="e">
        <f t="shared" ref="K100" si="157">J100+K98+K99</f>
        <v>#DIV/0!</v>
      </c>
      <c r="L100" s="141" t="e">
        <f>K100+L98+L99</f>
        <v>#DIV/0!</v>
      </c>
      <c r="M100" s="142" t="e">
        <f t="shared" ref="M100" si="158">L100+M98+M99</f>
        <v>#DIV/0!</v>
      </c>
      <c r="N100" s="142" t="e">
        <f t="shared" ref="N100" si="159">M100+N98+N99</f>
        <v>#DIV/0!</v>
      </c>
      <c r="O100" s="142" t="e">
        <f t="shared" ref="O100" si="160">N100+O98+O99</f>
        <v>#DIV/0!</v>
      </c>
      <c r="P100" s="142" t="e">
        <f>O100+P98+P99</f>
        <v>#DIV/0!</v>
      </c>
      <c r="Q100" s="142" t="e">
        <f t="shared" ref="Q100" si="161">P100+Q98+Q99</f>
        <v>#DIV/0!</v>
      </c>
      <c r="R100" s="142" t="e">
        <f t="shared" ref="R100" si="162">Q100+R98+R99</f>
        <v>#DIV/0!</v>
      </c>
      <c r="S100" s="142" t="e">
        <f t="shared" ref="S100" si="163">R100+S98+S99</f>
        <v>#DIV/0!</v>
      </c>
      <c r="T100" s="142" t="e">
        <f t="shared" ref="T100" si="164">S100+T98+T99</f>
        <v>#DIV/0!</v>
      </c>
      <c r="U100" s="142" t="e">
        <f t="shared" ref="U100" si="165">T100+U98+U99</f>
        <v>#DIV/0!</v>
      </c>
      <c r="V100" s="142" t="e">
        <f t="shared" ref="V100" si="166">U100+V98+V99</f>
        <v>#DIV/0!</v>
      </c>
    </row>
    <row r="101" spans="2:22" ht="7.5" customHeight="1" x14ac:dyDescent="0.2">
      <c r="E101" s="143"/>
      <c r="F101" s="143"/>
      <c r="G101" s="143"/>
      <c r="H101" s="143"/>
      <c r="I101" s="143"/>
      <c r="J101" s="143"/>
      <c r="K101" s="143"/>
      <c r="L101" s="143"/>
      <c r="M101" s="144"/>
      <c r="N101" s="144"/>
      <c r="O101" s="144"/>
      <c r="P101" s="144"/>
      <c r="Q101" s="144"/>
      <c r="R101" s="144"/>
      <c r="S101" s="144"/>
      <c r="T101" s="144"/>
      <c r="U101" s="144"/>
      <c r="V101" s="144"/>
    </row>
    <row r="102" spans="2:22" x14ac:dyDescent="0.2">
      <c r="D102" s="61" t="s">
        <v>806</v>
      </c>
      <c r="E102" s="145">
        <f>E96+E100</f>
        <v>0</v>
      </c>
      <c r="F102" s="145">
        <f>E102+F94+F100</f>
        <v>0</v>
      </c>
      <c r="G102" s="145">
        <f t="shared" ref="G102:H102" si="167">F102+G94+G100</f>
        <v>0</v>
      </c>
      <c r="H102" s="145" t="e">
        <f t="shared" si="167"/>
        <v>#DIV/0!</v>
      </c>
      <c r="I102" s="145" t="e">
        <f>H102+I94+I100</f>
        <v>#DIV/0!</v>
      </c>
      <c r="J102" s="145" t="e">
        <f>I102+J94+J100</f>
        <v>#DIV/0!</v>
      </c>
      <c r="K102" s="145" t="e">
        <f t="shared" ref="K102:V102" si="168">J102+K94+K100</f>
        <v>#DIV/0!</v>
      </c>
      <c r="L102" s="145" t="e">
        <f t="shared" si="168"/>
        <v>#DIV/0!</v>
      </c>
      <c r="M102" s="145" t="e">
        <f t="shared" si="168"/>
        <v>#DIV/0!</v>
      </c>
      <c r="N102" s="145" t="e">
        <f t="shared" si="168"/>
        <v>#DIV/0!</v>
      </c>
      <c r="O102" s="145" t="e">
        <f t="shared" si="168"/>
        <v>#DIV/0!</v>
      </c>
      <c r="P102" s="145" t="e">
        <f t="shared" si="168"/>
        <v>#DIV/0!</v>
      </c>
      <c r="Q102" s="145" t="e">
        <f t="shared" si="168"/>
        <v>#DIV/0!</v>
      </c>
      <c r="R102" s="145" t="e">
        <f t="shared" si="168"/>
        <v>#DIV/0!</v>
      </c>
      <c r="S102" s="145" t="e">
        <f t="shared" si="168"/>
        <v>#DIV/0!</v>
      </c>
      <c r="T102" s="145" t="e">
        <f t="shared" si="168"/>
        <v>#DIV/0!</v>
      </c>
      <c r="U102" s="145" t="e">
        <f t="shared" si="168"/>
        <v>#DIV/0!</v>
      </c>
      <c r="V102" s="145" t="e">
        <f t="shared" si="168"/>
        <v>#DIV/0!</v>
      </c>
    </row>
    <row r="103" spans="2:22" s="136" customFormat="1" ht="7.5" customHeight="1" x14ac:dyDescent="0.2">
      <c r="E103" s="146"/>
      <c r="F103" s="146"/>
      <c r="G103" s="146"/>
      <c r="H103" s="146"/>
      <c r="I103" s="146"/>
      <c r="J103" s="146"/>
      <c r="K103" s="146"/>
      <c r="L103" s="146"/>
      <c r="M103" s="147"/>
      <c r="N103" s="147"/>
      <c r="O103" s="147"/>
      <c r="P103" s="147"/>
      <c r="Q103" s="147"/>
      <c r="R103" s="147"/>
      <c r="S103" s="147"/>
      <c r="T103" s="147"/>
      <c r="U103" s="147"/>
      <c r="V103" s="147"/>
    </row>
    <row r="104" spans="2:22" x14ac:dyDescent="0.2">
      <c r="D104" s="65" t="s">
        <v>789</v>
      </c>
      <c r="E104" s="144"/>
      <c r="F104" s="144"/>
      <c r="G104" s="144"/>
      <c r="H104" s="144"/>
      <c r="I104" s="144"/>
      <c r="J104" s="144"/>
      <c r="K104" s="144"/>
      <c r="L104" s="144" t="e">
        <f>M91</f>
        <v>#DIV/0!</v>
      </c>
      <c r="M104" s="144" t="e">
        <f t="shared" ref="M104:V104" si="169">L104*(1+$M89)</f>
        <v>#DIV/0!</v>
      </c>
      <c r="N104" s="144" t="e">
        <f t="shared" si="169"/>
        <v>#DIV/0!</v>
      </c>
      <c r="O104" s="144" t="e">
        <f t="shared" si="169"/>
        <v>#DIV/0!</v>
      </c>
      <c r="P104" s="144" t="e">
        <f t="shared" si="169"/>
        <v>#DIV/0!</v>
      </c>
      <c r="Q104" s="144" t="e">
        <f t="shared" si="169"/>
        <v>#DIV/0!</v>
      </c>
      <c r="R104" s="144" t="e">
        <f t="shared" si="169"/>
        <v>#DIV/0!</v>
      </c>
      <c r="S104" s="144" t="e">
        <f t="shared" si="169"/>
        <v>#DIV/0!</v>
      </c>
      <c r="T104" s="144" t="e">
        <f t="shared" si="169"/>
        <v>#DIV/0!</v>
      </c>
      <c r="U104" s="144" t="e">
        <f t="shared" si="169"/>
        <v>#DIV/0!</v>
      </c>
      <c r="V104" s="144" t="e">
        <f t="shared" si="169"/>
        <v>#DIV/0!</v>
      </c>
    </row>
    <row r="107" spans="2:22" x14ac:dyDescent="0.2">
      <c r="D107" s="80" t="s">
        <v>265</v>
      </c>
      <c r="E107" s="137" t="s">
        <v>791</v>
      </c>
      <c r="F107" s="137" t="s">
        <v>792</v>
      </c>
      <c r="G107" s="137" t="s">
        <v>793</v>
      </c>
      <c r="H107" s="137" t="s">
        <v>794</v>
      </c>
      <c r="I107" s="137" t="s">
        <v>795</v>
      </c>
      <c r="J107" s="137" t="s">
        <v>796</v>
      </c>
      <c r="K107" s="137" t="s">
        <v>797</v>
      </c>
      <c r="L107" s="137" t="s">
        <v>480</v>
      </c>
      <c r="M107" s="63">
        <v>1</v>
      </c>
      <c r="N107" s="63">
        <f>M107+1</f>
        <v>2</v>
      </c>
      <c r="O107" s="63">
        <f t="shared" ref="O107" si="170">N107+1</f>
        <v>3</v>
      </c>
      <c r="P107" s="63">
        <f t="shared" ref="P107" si="171">O107+1</f>
        <v>4</v>
      </c>
      <c r="Q107" s="63">
        <f>P107+1</f>
        <v>5</v>
      </c>
      <c r="R107" s="63">
        <f>Q107+1</f>
        <v>6</v>
      </c>
      <c r="S107" s="63">
        <f>R107+1</f>
        <v>7</v>
      </c>
      <c r="T107" s="63">
        <f t="shared" ref="T107" si="172">S107+1</f>
        <v>8</v>
      </c>
      <c r="U107" s="63">
        <f t="shared" ref="U107" si="173">T107+1</f>
        <v>9</v>
      </c>
      <c r="V107" s="63">
        <f t="shared" ref="V107" si="174">U107+1</f>
        <v>10</v>
      </c>
    </row>
    <row r="108" spans="2:22" x14ac:dyDescent="0.2">
      <c r="D108" s="65" t="s">
        <v>734</v>
      </c>
      <c r="E108" s="69"/>
      <c r="F108" s="69"/>
      <c r="G108" s="69"/>
      <c r="H108" s="69"/>
      <c r="I108" s="69"/>
      <c r="J108" s="69"/>
      <c r="K108" s="69"/>
      <c r="L108" s="69"/>
      <c r="M108" s="69">
        <f>'2b-Consumption Plan Wk2'!E$17</f>
        <v>0</v>
      </c>
      <c r="N108" s="69">
        <f>'2b-Consumption Plan Wk2'!F$17</f>
        <v>0</v>
      </c>
      <c r="O108" s="69">
        <f>'2b-Consumption Plan Wk2'!G$17</f>
        <v>0</v>
      </c>
      <c r="P108" s="69">
        <f>'2b-Consumption Plan Wk2'!H$17</f>
        <v>0</v>
      </c>
      <c r="Q108" s="69">
        <f>'2b-Consumption Plan Wk2'!I$17</f>
        <v>0</v>
      </c>
      <c r="R108" s="69">
        <f>'2b-Consumption Plan Wk2'!J$17</f>
        <v>0</v>
      </c>
      <c r="S108" s="69">
        <f>'2b-Consumption Plan Wk2'!K$17</f>
        <v>0</v>
      </c>
      <c r="T108" s="69">
        <f>'2b-Consumption Plan Wk2'!L$17</f>
        <v>0</v>
      </c>
      <c r="U108" s="69">
        <f>'2b-Consumption Plan Wk2'!M$17</f>
        <v>0</v>
      </c>
      <c r="V108" s="69">
        <f>'2b-Consumption Plan Wk2'!N$17</f>
        <v>0</v>
      </c>
    </row>
    <row r="109" spans="2:22" x14ac:dyDescent="0.2">
      <c r="B109" s="138"/>
      <c r="C109" s="139" t="s">
        <v>798</v>
      </c>
      <c r="D109" s="140" t="s">
        <v>799</v>
      </c>
      <c r="E109" s="141">
        <f>IF($M87&gt;7,$M85/$M87,0)</f>
        <v>0</v>
      </c>
      <c r="F109" s="141">
        <f>IF($M87&gt;6,$M85/$M87,0)</f>
        <v>0</v>
      </c>
      <c r="G109" s="141">
        <f>IF($M87&gt;5,$M85/$M87,0)</f>
        <v>0</v>
      </c>
      <c r="H109" s="141" t="e">
        <f>IF($M87&gt;4,$M85/$M87,0)</f>
        <v>#DIV/0!</v>
      </c>
      <c r="I109" s="141" t="e">
        <f>IF($M87&gt;3,$M85/$M87,0)</f>
        <v>#DIV/0!</v>
      </c>
      <c r="J109" s="141" t="e">
        <f>IF($M87&gt;2,$M85/$M87,0)</f>
        <v>#DIV/0!</v>
      </c>
      <c r="K109" s="141" t="e">
        <f>IF($M87&gt;1,$M85/$M87,0)</f>
        <v>#DIV/0!</v>
      </c>
      <c r="L109" s="141" t="e">
        <f>$M85/$M87</f>
        <v>#DIV/0!</v>
      </c>
      <c r="M109" s="142" t="e">
        <f>MAX(0,IF(L111&lt;M85,(M85-L111)*(1-M108)*M90,M86*(1-M108)*M90))</f>
        <v>#DIV/0!</v>
      </c>
      <c r="N109" s="142" t="e">
        <f>$M86*(1-N108)*$M90</f>
        <v>#DIV/0!</v>
      </c>
      <c r="O109" s="142" t="e">
        <f t="shared" ref="O109" si="175">$M86*(1-O108)*$M90</f>
        <v>#DIV/0!</v>
      </c>
      <c r="P109" s="142" t="e">
        <f t="shared" ref="P109" si="176">$M86*(1-P108)*$M90</f>
        <v>#DIV/0!</v>
      </c>
      <c r="Q109" s="142" t="e">
        <f t="shared" ref="Q109" si="177">$M86*(1-Q108)*$M90</f>
        <v>#DIV/0!</v>
      </c>
      <c r="R109" s="142" t="e">
        <f t="shared" ref="R109" si="178">$M86*(1-R108)*$M90</f>
        <v>#DIV/0!</v>
      </c>
      <c r="S109" s="142" t="e">
        <f t="shared" ref="S109" si="179">$M86*(1-S108)*$M90</f>
        <v>#DIV/0!</v>
      </c>
      <c r="T109" s="142" t="e">
        <f t="shared" ref="T109" si="180">$M86*(1-T108)*$M90</f>
        <v>#DIV/0!</v>
      </c>
      <c r="U109" s="142" t="e">
        <f t="shared" ref="U109" si="181">$M86*(1-U108)*$M90</f>
        <v>#DIV/0!</v>
      </c>
      <c r="V109" s="142" t="e">
        <f t="shared" ref="V109" si="182">$M86*(1-V108)*$M90</f>
        <v>#DIV/0!</v>
      </c>
    </row>
    <row r="110" spans="2:22" x14ac:dyDescent="0.2">
      <c r="D110" s="65" t="s">
        <v>800</v>
      </c>
      <c r="E110" s="143">
        <v>0</v>
      </c>
      <c r="F110" s="143">
        <v>0</v>
      </c>
      <c r="G110" s="143">
        <v>0</v>
      </c>
      <c r="H110" s="143">
        <v>0</v>
      </c>
      <c r="I110" s="143">
        <v>0</v>
      </c>
      <c r="J110" s="143">
        <v>0</v>
      </c>
      <c r="K110" s="143">
        <v>0</v>
      </c>
      <c r="L110" s="143">
        <v>0</v>
      </c>
      <c r="M110" s="144" t="e">
        <f t="shared" ref="M110:V110" si="183">IF($M87=7,-F109,IF($M87=6,-G109,IF($M87=5,-H109,IF($M87=4,-I109,IF($M87=3,-J109,IF($M87=2,-K109,IF($M87=1,-L109,"Error Dep Life")))))))</f>
        <v>#DIV/0!</v>
      </c>
      <c r="N110" s="144" t="e">
        <f t="shared" si="183"/>
        <v>#DIV/0!</v>
      </c>
      <c r="O110" s="144" t="e">
        <f t="shared" si="183"/>
        <v>#DIV/0!</v>
      </c>
      <c r="P110" s="144" t="e">
        <f t="shared" si="183"/>
        <v>#DIV/0!</v>
      </c>
      <c r="Q110" s="144" t="e">
        <f t="shared" si="183"/>
        <v>#DIV/0!</v>
      </c>
      <c r="R110" s="144" t="e">
        <f t="shared" si="183"/>
        <v>#DIV/0!</v>
      </c>
      <c r="S110" s="144" t="e">
        <f t="shared" si="183"/>
        <v>#DIV/0!</v>
      </c>
      <c r="T110" s="144" t="e">
        <f t="shared" si="183"/>
        <v>#DIV/0!</v>
      </c>
      <c r="U110" s="144" t="e">
        <f t="shared" si="183"/>
        <v>#DIV/0!</v>
      </c>
      <c r="V110" s="144" t="e">
        <f t="shared" si="183"/>
        <v>#DIV/0!</v>
      </c>
    </row>
    <row r="111" spans="2:22" x14ac:dyDescent="0.2">
      <c r="D111" s="61" t="s">
        <v>801</v>
      </c>
      <c r="E111" s="145">
        <f>E109</f>
        <v>0</v>
      </c>
      <c r="F111" s="145">
        <f>E111+F109+F110</f>
        <v>0</v>
      </c>
      <c r="G111" s="145">
        <f t="shared" ref="G111" si="184">F111+G109+G110</f>
        <v>0</v>
      </c>
      <c r="H111" s="145" t="e">
        <f t="shared" ref="H111" si="185">G111+H109+H110</f>
        <v>#DIV/0!</v>
      </c>
      <c r="I111" s="145" t="e">
        <f t="shared" ref="I111" si="186">H111+I109+I110</f>
        <v>#DIV/0!</v>
      </c>
      <c r="J111" s="145" t="e">
        <f t="shared" ref="J111" si="187">I111+J109+J110</f>
        <v>#DIV/0!</v>
      </c>
      <c r="K111" s="145" t="e">
        <f t="shared" ref="K111" si="188">J111+K109+K110</f>
        <v>#DIV/0!</v>
      </c>
      <c r="L111" s="145" t="e">
        <f>K111+L109+L110</f>
        <v>#DIV/0!</v>
      </c>
      <c r="M111" s="145" t="e">
        <f t="shared" ref="M111" si="189">L111+M109+M110</f>
        <v>#DIV/0!</v>
      </c>
      <c r="N111" s="145" t="e">
        <f t="shared" ref="N111" si="190">M111+N109+N110</f>
        <v>#DIV/0!</v>
      </c>
      <c r="O111" s="145" t="e">
        <f t="shared" ref="O111" si="191">N111+O109+O110</f>
        <v>#DIV/0!</v>
      </c>
      <c r="P111" s="145" t="e">
        <f t="shared" ref="P111" si="192">O111+P109+P110</f>
        <v>#DIV/0!</v>
      </c>
      <c r="Q111" s="145" t="e">
        <f t="shared" ref="Q111" si="193">P111+Q109+Q110</f>
        <v>#DIV/0!</v>
      </c>
      <c r="R111" s="145" t="e">
        <f t="shared" ref="R111" si="194">Q111+R109+R110</f>
        <v>#DIV/0!</v>
      </c>
      <c r="S111" s="145" t="e">
        <f t="shared" ref="S111" si="195">R111+S109+S110</f>
        <v>#DIV/0!</v>
      </c>
      <c r="T111" s="145" t="e">
        <f t="shared" ref="T111" si="196">S111+T109+T110</f>
        <v>#DIV/0!</v>
      </c>
      <c r="U111" s="145" t="e">
        <f t="shared" ref="U111" si="197">T111+U109+U110</f>
        <v>#DIV/0!</v>
      </c>
      <c r="V111" s="145" t="e">
        <f t="shared" ref="V111" si="198">U111+V109+V110</f>
        <v>#DIV/0!</v>
      </c>
    </row>
    <row r="112" spans="2:22" ht="7.5" customHeight="1" x14ac:dyDescent="0.2">
      <c r="E112" s="143"/>
      <c r="F112" s="143"/>
      <c r="G112" s="143"/>
      <c r="H112" s="143"/>
      <c r="I112" s="143"/>
      <c r="J112" s="143"/>
      <c r="K112" s="143"/>
      <c r="L112" s="143"/>
      <c r="M112" s="144"/>
      <c r="N112" s="144"/>
      <c r="O112" s="144"/>
      <c r="P112" s="144"/>
      <c r="Q112" s="144"/>
      <c r="R112" s="144"/>
      <c r="S112" s="144"/>
      <c r="T112" s="144"/>
      <c r="U112" s="144"/>
      <c r="V112" s="144"/>
    </row>
    <row r="113" spans="2:22" x14ac:dyDescent="0.2">
      <c r="D113" s="65" t="s">
        <v>802</v>
      </c>
      <c r="E113" s="143">
        <f t="shared" ref="E113:V113" si="199">-E109/$M87</f>
        <v>0</v>
      </c>
      <c r="F113" s="143">
        <f t="shared" si="199"/>
        <v>0</v>
      </c>
      <c r="G113" s="143">
        <f t="shared" si="199"/>
        <v>0</v>
      </c>
      <c r="H113" s="143" t="e">
        <f t="shared" si="199"/>
        <v>#DIV/0!</v>
      </c>
      <c r="I113" s="143" t="e">
        <f t="shared" si="199"/>
        <v>#DIV/0!</v>
      </c>
      <c r="J113" s="143" t="e">
        <f t="shared" si="199"/>
        <v>#DIV/0!</v>
      </c>
      <c r="K113" s="143" t="e">
        <f t="shared" si="199"/>
        <v>#DIV/0!</v>
      </c>
      <c r="L113" s="143" t="e">
        <f t="shared" si="199"/>
        <v>#DIV/0!</v>
      </c>
      <c r="M113" s="143" t="e">
        <f t="shared" si="199"/>
        <v>#DIV/0!</v>
      </c>
      <c r="N113" s="143" t="e">
        <f t="shared" si="199"/>
        <v>#DIV/0!</v>
      </c>
      <c r="O113" s="143" t="e">
        <f t="shared" si="199"/>
        <v>#DIV/0!</v>
      </c>
      <c r="P113" s="143" t="e">
        <f t="shared" si="199"/>
        <v>#DIV/0!</v>
      </c>
      <c r="Q113" s="143" t="e">
        <f t="shared" si="199"/>
        <v>#DIV/0!</v>
      </c>
      <c r="R113" s="143" t="e">
        <f t="shared" si="199"/>
        <v>#DIV/0!</v>
      </c>
      <c r="S113" s="143" t="e">
        <f t="shared" si="199"/>
        <v>#DIV/0!</v>
      </c>
      <c r="T113" s="143" t="e">
        <f t="shared" si="199"/>
        <v>#DIV/0!</v>
      </c>
      <c r="U113" s="143" t="e">
        <f t="shared" si="199"/>
        <v>#DIV/0!</v>
      </c>
      <c r="V113" s="143" t="e">
        <f t="shared" si="199"/>
        <v>#DIV/0!</v>
      </c>
    </row>
    <row r="114" spans="2:22" x14ac:dyDescent="0.2">
      <c r="D114" s="65" t="s">
        <v>803</v>
      </c>
      <c r="E114" s="143">
        <v>0</v>
      </c>
      <c r="F114" s="143">
        <v>0</v>
      </c>
      <c r="G114" s="143">
        <v>0</v>
      </c>
      <c r="H114" s="143">
        <v>0</v>
      </c>
      <c r="I114" s="143">
        <v>0</v>
      </c>
      <c r="J114" s="143">
        <v>0</v>
      </c>
      <c r="K114" s="143">
        <v>0</v>
      </c>
      <c r="L114" s="143">
        <v>0</v>
      </c>
      <c r="M114" s="144" t="e">
        <f>-M110/$M87</f>
        <v>#DIV/0!</v>
      </c>
      <c r="N114" s="144" t="e">
        <f t="shared" ref="N114:V114" si="200">-N110/$M87</f>
        <v>#DIV/0!</v>
      </c>
      <c r="O114" s="144" t="e">
        <f t="shared" si="200"/>
        <v>#DIV/0!</v>
      </c>
      <c r="P114" s="144" t="e">
        <f t="shared" si="200"/>
        <v>#DIV/0!</v>
      </c>
      <c r="Q114" s="144" t="e">
        <f t="shared" si="200"/>
        <v>#DIV/0!</v>
      </c>
      <c r="R114" s="144" t="e">
        <f t="shared" si="200"/>
        <v>#DIV/0!</v>
      </c>
      <c r="S114" s="144" t="e">
        <f t="shared" si="200"/>
        <v>#DIV/0!</v>
      </c>
      <c r="T114" s="144" t="e">
        <f t="shared" si="200"/>
        <v>#DIV/0!</v>
      </c>
      <c r="U114" s="144" t="e">
        <f t="shared" si="200"/>
        <v>#DIV/0!</v>
      </c>
      <c r="V114" s="144" t="e">
        <f t="shared" si="200"/>
        <v>#DIV/0!</v>
      </c>
    </row>
    <row r="115" spans="2:22" x14ac:dyDescent="0.2">
      <c r="B115" s="138"/>
      <c r="C115" s="139" t="s">
        <v>804</v>
      </c>
      <c r="D115" s="140" t="s">
        <v>805</v>
      </c>
      <c r="E115" s="141">
        <f>E113</f>
        <v>0</v>
      </c>
      <c r="F115" s="141">
        <f>E115+F113+F114</f>
        <v>0</v>
      </c>
      <c r="G115" s="141">
        <f t="shared" ref="G115" si="201">F115+G113+G114</f>
        <v>0</v>
      </c>
      <c r="H115" s="141" t="e">
        <f t="shared" ref="H115" si="202">G115+H113+H114</f>
        <v>#DIV/0!</v>
      </c>
      <c r="I115" s="141" t="e">
        <f>H115+I113+I114</f>
        <v>#DIV/0!</v>
      </c>
      <c r="J115" s="141" t="e">
        <f t="shared" ref="J115" si="203">I115+J113+J114</f>
        <v>#DIV/0!</v>
      </c>
      <c r="K115" s="141" t="e">
        <f t="shared" ref="K115" si="204">J115+K113+K114</f>
        <v>#DIV/0!</v>
      </c>
      <c r="L115" s="141" t="e">
        <f>K115+L113+L114</f>
        <v>#DIV/0!</v>
      </c>
      <c r="M115" s="142" t="e">
        <f t="shared" ref="M115" si="205">L115+M113+M114</f>
        <v>#DIV/0!</v>
      </c>
      <c r="N115" s="142" t="e">
        <f t="shared" ref="N115" si="206">M115+N113+N114</f>
        <v>#DIV/0!</v>
      </c>
      <c r="O115" s="142" t="e">
        <f t="shared" ref="O115" si="207">N115+O113+O114</f>
        <v>#DIV/0!</v>
      </c>
      <c r="P115" s="142" t="e">
        <f t="shared" ref="P115" si="208">O115+P113+P114</f>
        <v>#DIV/0!</v>
      </c>
      <c r="Q115" s="142" t="e">
        <f>P115+Q113+Q114</f>
        <v>#DIV/0!</v>
      </c>
      <c r="R115" s="142" t="e">
        <f t="shared" ref="R115" si="209">Q115+R113+R114</f>
        <v>#DIV/0!</v>
      </c>
      <c r="S115" s="142" t="e">
        <f t="shared" ref="S115" si="210">R115+S113+S114</f>
        <v>#DIV/0!</v>
      </c>
      <c r="T115" s="142" t="e">
        <f t="shared" ref="T115" si="211">S115+T113+T114</f>
        <v>#DIV/0!</v>
      </c>
      <c r="U115" s="142" t="e">
        <f t="shared" ref="U115" si="212">T115+U113+U114</f>
        <v>#DIV/0!</v>
      </c>
      <c r="V115" s="142" t="e">
        <f t="shared" ref="V115" si="213">U115+V113+V114</f>
        <v>#DIV/0!</v>
      </c>
    </row>
    <row r="116" spans="2:22" ht="7.5" customHeight="1" x14ac:dyDescent="0.2">
      <c r="E116" s="143"/>
      <c r="F116" s="143"/>
      <c r="G116" s="143"/>
      <c r="H116" s="143"/>
      <c r="I116" s="143"/>
      <c r="J116" s="143"/>
      <c r="K116" s="143"/>
      <c r="L116" s="143"/>
      <c r="M116" s="144"/>
      <c r="N116" s="144"/>
      <c r="O116" s="144"/>
      <c r="P116" s="144"/>
      <c r="Q116" s="144"/>
      <c r="R116" s="144"/>
      <c r="S116" s="144"/>
      <c r="T116" s="144"/>
      <c r="U116" s="144"/>
      <c r="V116" s="144"/>
    </row>
    <row r="117" spans="2:22" x14ac:dyDescent="0.2">
      <c r="D117" s="61" t="s">
        <v>806</v>
      </c>
      <c r="E117" s="145">
        <f>E111+E115</f>
        <v>0</v>
      </c>
      <c r="F117" s="145">
        <f>E117+F109+F115</f>
        <v>0</v>
      </c>
      <c r="G117" s="145">
        <f t="shared" ref="G117:H117" si="214">F117+G109+G115</f>
        <v>0</v>
      </c>
      <c r="H117" s="145" t="e">
        <f t="shared" si="214"/>
        <v>#DIV/0!</v>
      </c>
      <c r="I117" s="145" t="e">
        <f>H117+I109+I115</f>
        <v>#DIV/0!</v>
      </c>
      <c r="J117" s="145" t="e">
        <f>I117+J109+J115</f>
        <v>#DIV/0!</v>
      </c>
      <c r="K117" s="145" t="e">
        <f t="shared" ref="K117:V117" si="215">J117+K109+K115</f>
        <v>#DIV/0!</v>
      </c>
      <c r="L117" s="145" t="e">
        <f t="shared" si="215"/>
        <v>#DIV/0!</v>
      </c>
      <c r="M117" s="145" t="e">
        <f t="shared" si="215"/>
        <v>#DIV/0!</v>
      </c>
      <c r="N117" s="145" t="e">
        <f t="shared" si="215"/>
        <v>#DIV/0!</v>
      </c>
      <c r="O117" s="145" t="e">
        <f t="shared" si="215"/>
        <v>#DIV/0!</v>
      </c>
      <c r="P117" s="145" t="e">
        <f t="shared" si="215"/>
        <v>#DIV/0!</v>
      </c>
      <c r="Q117" s="145" t="e">
        <f t="shared" si="215"/>
        <v>#DIV/0!</v>
      </c>
      <c r="R117" s="145" t="e">
        <f t="shared" si="215"/>
        <v>#DIV/0!</v>
      </c>
      <c r="S117" s="145" t="e">
        <f t="shared" si="215"/>
        <v>#DIV/0!</v>
      </c>
      <c r="T117" s="145" t="e">
        <f t="shared" si="215"/>
        <v>#DIV/0!</v>
      </c>
      <c r="U117" s="145" t="e">
        <f t="shared" si="215"/>
        <v>#DIV/0!</v>
      </c>
      <c r="V117" s="145" t="e">
        <f t="shared" si="215"/>
        <v>#DIV/0!</v>
      </c>
    </row>
    <row r="118" spans="2:22" s="136" customFormat="1" ht="7.5" customHeight="1" x14ac:dyDescent="0.2">
      <c r="E118" s="146"/>
      <c r="F118" s="146"/>
      <c r="G118" s="146"/>
      <c r="H118" s="146"/>
      <c r="I118" s="146"/>
      <c r="J118" s="146"/>
      <c r="K118" s="146"/>
      <c r="L118" s="146"/>
      <c r="M118" s="147"/>
      <c r="N118" s="147"/>
      <c r="O118" s="147"/>
      <c r="P118" s="147"/>
      <c r="Q118" s="147"/>
      <c r="R118" s="147"/>
      <c r="S118" s="147"/>
      <c r="T118" s="147"/>
      <c r="U118" s="147"/>
      <c r="V118" s="147"/>
    </row>
    <row r="119" spans="2:22" x14ac:dyDescent="0.2">
      <c r="D119" s="65" t="s">
        <v>789</v>
      </c>
      <c r="E119" s="144"/>
      <c r="F119" s="144"/>
      <c r="G119" s="144"/>
      <c r="H119" s="144"/>
      <c r="I119" s="144"/>
      <c r="J119" s="144"/>
      <c r="K119" s="144"/>
      <c r="L119" s="144" t="e">
        <f>M91</f>
        <v>#DIV/0!</v>
      </c>
      <c r="M119" s="144" t="e">
        <f>$L119*(1-M108)</f>
        <v>#DIV/0!</v>
      </c>
      <c r="N119" s="144" t="e">
        <f>$L119*(1-N108)</f>
        <v>#DIV/0!</v>
      </c>
      <c r="O119" s="144" t="e">
        <f t="shared" ref="O119:V119" si="216">$L119*(1-O108)</f>
        <v>#DIV/0!</v>
      </c>
      <c r="P119" s="144" t="e">
        <f t="shared" si="216"/>
        <v>#DIV/0!</v>
      </c>
      <c r="Q119" s="144" t="e">
        <f t="shared" si="216"/>
        <v>#DIV/0!</v>
      </c>
      <c r="R119" s="144" t="e">
        <f t="shared" si="216"/>
        <v>#DIV/0!</v>
      </c>
      <c r="S119" s="144" t="e">
        <f t="shared" si="216"/>
        <v>#DIV/0!</v>
      </c>
      <c r="T119" s="144" t="e">
        <f t="shared" si="216"/>
        <v>#DIV/0!</v>
      </c>
      <c r="U119" s="144" t="e">
        <f t="shared" si="216"/>
        <v>#DIV/0!</v>
      </c>
      <c r="V119" s="144" t="e">
        <f t="shared" si="216"/>
        <v>#DIV/0!</v>
      </c>
    </row>
    <row r="122" spans="2:22" x14ac:dyDescent="0.2">
      <c r="B122" s="61" t="s">
        <v>811</v>
      </c>
    </row>
    <row r="123" spans="2:22" x14ac:dyDescent="0.2">
      <c r="D123" s="65" t="s">
        <v>636</v>
      </c>
      <c r="E123" s="87"/>
      <c r="F123" s="87"/>
      <c r="G123" s="87"/>
      <c r="H123" s="87"/>
      <c r="I123" s="87"/>
      <c r="J123" s="87"/>
      <c r="K123" s="87"/>
      <c r="L123" s="87"/>
      <c r="M123" s="75">
        <f>'Status Quo Estimation'!$K$27</f>
        <v>0</v>
      </c>
    </row>
    <row r="124" spans="2:22" x14ac:dyDescent="0.2">
      <c r="D124" s="65" t="s">
        <v>787</v>
      </c>
      <c r="E124" s="87"/>
      <c r="F124" s="87"/>
      <c r="G124" s="87"/>
      <c r="H124" s="87"/>
      <c r="I124" s="87"/>
      <c r="J124" s="87"/>
      <c r="K124" s="87"/>
      <c r="L124" s="87"/>
      <c r="M124" s="75">
        <f>'Status Quo Estimation'!$K$29</f>
        <v>0</v>
      </c>
    </row>
    <row r="125" spans="2:22" x14ac:dyDescent="0.2">
      <c r="D125" s="65" t="s">
        <v>788</v>
      </c>
      <c r="E125" s="87"/>
      <c r="F125" s="87"/>
      <c r="G125" s="87"/>
      <c r="H125" s="87"/>
      <c r="I125" s="87"/>
      <c r="J125" s="87"/>
      <c r="K125" s="87"/>
      <c r="L125" s="87"/>
      <c r="M125" s="75">
        <f>'1-Client Variables'!$D$24</f>
        <v>5</v>
      </c>
    </row>
    <row r="126" spans="2:22" x14ac:dyDescent="0.2">
      <c r="D126" s="65" t="s">
        <v>76</v>
      </c>
      <c r="E126" s="135"/>
      <c r="F126" s="135"/>
      <c r="G126" s="135"/>
      <c r="H126" s="135"/>
      <c r="I126" s="135"/>
      <c r="J126" s="135"/>
      <c r="K126" s="135"/>
      <c r="L126" s="135"/>
      <c r="M126" s="75">
        <f>'1-Client Variables'!$D$25</f>
        <v>5</v>
      </c>
    </row>
    <row r="127" spans="2:22" x14ac:dyDescent="0.2">
      <c r="D127" s="65" t="s">
        <v>77</v>
      </c>
      <c r="E127" s="135"/>
      <c r="F127" s="135"/>
      <c r="G127" s="135"/>
      <c r="H127" s="135"/>
      <c r="I127" s="135"/>
      <c r="J127" s="135"/>
      <c r="K127" s="135"/>
      <c r="L127" s="135"/>
      <c r="M127" s="69">
        <f>'1-Client Variables'!$D$26</f>
        <v>0.1</v>
      </c>
    </row>
    <row r="128" spans="2:22" x14ac:dyDescent="0.2">
      <c r="D128" s="136" t="s">
        <v>79</v>
      </c>
      <c r="E128" s="135"/>
      <c r="F128" s="135"/>
      <c r="G128" s="135"/>
      <c r="H128" s="135"/>
      <c r="I128" s="135"/>
      <c r="J128" s="135"/>
      <c r="K128" s="135"/>
      <c r="L128" s="135"/>
      <c r="M128" s="69">
        <f>'1-Client Variables'!$D$27</f>
        <v>0.1</v>
      </c>
      <c r="N128" s="65" t="s">
        <v>80</v>
      </c>
      <c r="O128" s="134"/>
    </row>
    <row r="129" spans="2:22" x14ac:dyDescent="0.2">
      <c r="D129" s="65" t="s">
        <v>808</v>
      </c>
      <c r="E129" s="87"/>
      <c r="F129" s="87"/>
      <c r="G129" s="87"/>
      <c r="H129" s="87"/>
      <c r="I129" s="87"/>
      <c r="J129" s="87"/>
      <c r="K129" s="87"/>
      <c r="L129" s="87"/>
      <c r="M129" s="75">
        <f>'Status Quo Estimation'!L107</f>
        <v>0</v>
      </c>
      <c r="N129" s="65" t="s">
        <v>790</v>
      </c>
    </row>
    <row r="131" spans="2:22" x14ac:dyDescent="0.2">
      <c r="D131" s="80" t="s">
        <v>264</v>
      </c>
      <c r="E131" s="137" t="s">
        <v>791</v>
      </c>
      <c r="F131" s="137" t="s">
        <v>792</v>
      </c>
      <c r="G131" s="137" t="s">
        <v>793</v>
      </c>
      <c r="H131" s="137" t="s">
        <v>794</v>
      </c>
      <c r="I131" s="137" t="s">
        <v>795</v>
      </c>
      <c r="J131" s="137" t="s">
        <v>796</v>
      </c>
      <c r="K131" s="137" t="s">
        <v>797</v>
      </c>
      <c r="L131" s="137" t="s">
        <v>480</v>
      </c>
      <c r="M131" s="63">
        <v>1</v>
      </c>
      <c r="N131" s="63">
        <f>M131+1</f>
        <v>2</v>
      </c>
      <c r="O131" s="63">
        <f t="shared" ref="O131" si="217">N131+1</f>
        <v>3</v>
      </c>
      <c r="P131" s="63">
        <f t="shared" ref="P131" si="218">O131+1</f>
        <v>4</v>
      </c>
      <c r="Q131" s="63">
        <f>P131+1</f>
        <v>5</v>
      </c>
      <c r="R131" s="63">
        <f>Q131+1</f>
        <v>6</v>
      </c>
      <c r="S131" s="63">
        <f>R131+1</f>
        <v>7</v>
      </c>
      <c r="T131" s="63">
        <f t="shared" ref="T131" si="219">S131+1</f>
        <v>8</v>
      </c>
      <c r="U131" s="63">
        <f t="shared" ref="U131" si="220">T131+1</f>
        <v>9</v>
      </c>
      <c r="V131" s="63">
        <f t="shared" ref="V131" si="221">U131+1</f>
        <v>10</v>
      </c>
    </row>
    <row r="132" spans="2:22" x14ac:dyDescent="0.2">
      <c r="B132" s="138"/>
      <c r="C132" s="139" t="s">
        <v>798</v>
      </c>
      <c r="D132" s="140" t="s">
        <v>799</v>
      </c>
      <c r="E132" s="141">
        <f>IF($M125&gt;7,$M123/$M125,0)</f>
        <v>0</v>
      </c>
      <c r="F132" s="141">
        <f>IF($M125&gt;6,$M123/$M125,0)</f>
        <v>0</v>
      </c>
      <c r="G132" s="141">
        <f>IF($M125&gt;5,$M123/$M125,0)</f>
        <v>0</v>
      </c>
      <c r="H132" s="141">
        <f>IF($M125&gt;4,$M123/$M125,0)</f>
        <v>0</v>
      </c>
      <c r="I132" s="141">
        <f>IF($M125&gt;3,$M123/$M125,0)</f>
        <v>0</v>
      </c>
      <c r="J132" s="141">
        <f>IF($M125&gt;2,$M123/$M125,0)</f>
        <v>0</v>
      </c>
      <c r="K132" s="141">
        <f>IF($M125&gt;1,$M123/$M125,0)</f>
        <v>0</v>
      </c>
      <c r="L132" s="141">
        <f>$M123/$M125</f>
        <v>0</v>
      </c>
      <c r="M132" s="142">
        <f>MAX(0,M124*(1+M127)*(M125/M126))</f>
        <v>0</v>
      </c>
      <c r="N132" s="142">
        <f>MAX(0,M132*(1+$M127))</f>
        <v>0</v>
      </c>
      <c r="O132" s="142">
        <f t="shared" ref="O132:V132" si="222">MAX(0,N132*(1+$M127))</f>
        <v>0</v>
      </c>
      <c r="P132" s="142">
        <f t="shared" si="222"/>
        <v>0</v>
      </c>
      <c r="Q132" s="142">
        <f t="shared" si="222"/>
        <v>0</v>
      </c>
      <c r="R132" s="142">
        <f t="shared" si="222"/>
        <v>0</v>
      </c>
      <c r="S132" s="142">
        <f t="shared" si="222"/>
        <v>0</v>
      </c>
      <c r="T132" s="142">
        <f t="shared" si="222"/>
        <v>0</v>
      </c>
      <c r="U132" s="142">
        <f t="shared" si="222"/>
        <v>0</v>
      </c>
      <c r="V132" s="142">
        <f t="shared" si="222"/>
        <v>0</v>
      </c>
    </row>
    <row r="133" spans="2:22" x14ac:dyDescent="0.2">
      <c r="D133" s="65" t="s">
        <v>800</v>
      </c>
      <c r="E133" s="143">
        <v>0</v>
      </c>
      <c r="F133" s="143">
        <v>0</v>
      </c>
      <c r="G133" s="143">
        <v>0</v>
      </c>
      <c r="H133" s="143">
        <v>0</v>
      </c>
      <c r="I133" s="143">
        <v>0</v>
      </c>
      <c r="J133" s="143">
        <v>0</v>
      </c>
      <c r="K133" s="143">
        <v>0</v>
      </c>
      <c r="L133" s="143">
        <v>0</v>
      </c>
      <c r="M133" s="144">
        <f t="shared" ref="M133:V133" si="223">IF($M125=7,-F132,IF($M125=6,-G132,IF($M125=5,-H132,IF($M125=4,-I132,IF($M125=3,-J132,IF($M125=2,-K132,IF($M125=1,-L132,"Error Dep Life")))))))</f>
        <v>0</v>
      </c>
      <c r="N133" s="144">
        <f t="shared" si="223"/>
        <v>0</v>
      </c>
      <c r="O133" s="144">
        <f t="shared" si="223"/>
        <v>0</v>
      </c>
      <c r="P133" s="144">
        <f t="shared" si="223"/>
        <v>0</v>
      </c>
      <c r="Q133" s="144">
        <f t="shared" si="223"/>
        <v>0</v>
      </c>
      <c r="R133" s="144">
        <f t="shared" si="223"/>
        <v>0</v>
      </c>
      <c r="S133" s="144">
        <f t="shared" si="223"/>
        <v>0</v>
      </c>
      <c r="T133" s="144">
        <f t="shared" si="223"/>
        <v>0</v>
      </c>
      <c r="U133" s="144">
        <f t="shared" si="223"/>
        <v>0</v>
      </c>
      <c r="V133" s="144">
        <f t="shared" si="223"/>
        <v>0</v>
      </c>
    </row>
    <row r="134" spans="2:22" x14ac:dyDescent="0.2">
      <c r="D134" s="61" t="s">
        <v>801</v>
      </c>
      <c r="E134" s="145">
        <f>E132</f>
        <v>0</v>
      </c>
      <c r="F134" s="145">
        <f>E134+F132+F133</f>
        <v>0</v>
      </c>
      <c r="G134" s="145">
        <f t="shared" ref="G134" si="224">F134+G132+G133</f>
        <v>0</v>
      </c>
      <c r="H134" s="145">
        <f t="shared" ref="H134" si="225">G134+H132+H133</f>
        <v>0</v>
      </c>
      <c r="I134" s="145">
        <f t="shared" ref="I134" si="226">H134+I132+I133</f>
        <v>0</v>
      </c>
      <c r="J134" s="145">
        <f t="shared" ref="J134" si="227">I134+J132+J133</f>
        <v>0</v>
      </c>
      <c r="K134" s="145">
        <f t="shared" ref="K134" si="228">J134+K132+K133</f>
        <v>0</v>
      </c>
      <c r="L134" s="145">
        <f>K134+L132+L133</f>
        <v>0</v>
      </c>
      <c r="M134" s="145">
        <f>L134+M132+M133</f>
        <v>0</v>
      </c>
      <c r="N134" s="145">
        <f t="shared" ref="N134" si="229">M134+N132+N133</f>
        <v>0</v>
      </c>
      <c r="O134" s="145">
        <f t="shared" ref="O134" si="230">N134+O132+O133</f>
        <v>0</v>
      </c>
      <c r="P134" s="145">
        <f t="shared" ref="P134" si="231">O134+P132+P133</f>
        <v>0</v>
      </c>
      <c r="Q134" s="145">
        <f t="shared" ref="Q134" si="232">P134+Q132+Q133</f>
        <v>0</v>
      </c>
      <c r="R134" s="145">
        <f t="shared" ref="R134" si="233">Q134+R132+R133</f>
        <v>0</v>
      </c>
      <c r="S134" s="145">
        <f t="shared" ref="S134" si="234">R134+S132+S133</f>
        <v>0</v>
      </c>
      <c r="T134" s="145">
        <f t="shared" ref="T134" si="235">S134+T132+T133</f>
        <v>0</v>
      </c>
      <c r="U134" s="145">
        <f t="shared" ref="U134" si="236">T134+U132+U133</f>
        <v>0</v>
      </c>
      <c r="V134" s="145">
        <f t="shared" ref="V134" si="237">U134+V132+V133</f>
        <v>0</v>
      </c>
    </row>
    <row r="135" spans="2:22" ht="7.5" customHeight="1" x14ac:dyDescent="0.2">
      <c r="E135" s="143"/>
      <c r="F135" s="143"/>
      <c r="G135" s="143"/>
      <c r="H135" s="143"/>
      <c r="I135" s="143"/>
      <c r="J135" s="143"/>
      <c r="K135" s="143"/>
      <c r="L135" s="143"/>
      <c r="M135" s="144"/>
      <c r="N135" s="144"/>
      <c r="O135" s="144"/>
      <c r="P135" s="144"/>
      <c r="Q135" s="144"/>
      <c r="R135" s="144"/>
      <c r="S135" s="144"/>
      <c r="T135" s="144"/>
      <c r="U135" s="144"/>
      <c r="V135" s="144"/>
    </row>
    <row r="136" spans="2:22" x14ac:dyDescent="0.2">
      <c r="D136" s="65" t="s">
        <v>802</v>
      </c>
      <c r="E136" s="143">
        <f t="shared" ref="E136:V136" si="238">-E132/$M125</f>
        <v>0</v>
      </c>
      <c r="F136" s="143">
        <f t="shared" si="238"/>
        <v>0</v>
      </c>
      <c r="G136" s="143">
        <f t="shared" si="238"/>
        <v>0</v>
      </c>
      <c r="H136" s="143">
        <f t="shared" si="238"/>
        <v>0</v>
      </c>
      <c r="I136" s="143">
        <f t="shared" si="238"/>
        <v>0</v>
      </c>
      <c r="J136" s="143">
        <f t="shared" si="238"/>
        <v>0</v>
      </c>
      <c r="K136" s="143">
        <f t="shared" si="238"/>
        <v>0</v>
      </c>
      <c r="L136" s="143">
        <f t="shared" si="238"/>
        <v>0</v>
      </c>
      <c r="M136" s="144">
        <f t="shared" si="238"/>
        <v>0</v>
      </c>
      <c r="N136" s="144">
        <f t="shared" si="238"/>
        <v>0</v>
      </c>
      <c r="O136" s="144">
        <f t="shared" si="238"/>
        <v>0</v>
      </c>
      <c r="P136" s="144">
        <f t="shared" si="238"/>
        <v>0</v>
      </c>
      <c r="Q136" s="144">
        <f t="shared" si="238"/>
        <v>0</v>
      </c>
      <c r="R136" s="144">
        <f t="shared" si="238"/>
        <v>0</v>
      </c>
      <c r="S136" s="144">
        <f t="shared" si="238"/>
        <v>0</v>
      </c>
      <c r="T136" s="144">
        <f t="shared" si="238"/>
        <v>0</v>
      </c>
      <c r="U136" s="144">
        <f t="shared" si="238"/>
        <v>0</v>
      </c>
      <c r="V136" s="144">
        <f t="shared" si="238"/>
        <v>0</v>
      </c>
    </row>
    <row r="137" spans="2:22" x14ac:dyDescent="0.2">
      <c r="D137" s="65" t="s">
        <v>803</v>
      </c>
      <c r="E137" s="143">
        <v>0</v>
      </c>
      <c r="F137" s="143">
        <v>0</v>
      </c>
      <c r="G137" s="143">
        <v>0</v>
      </c>
      <c r="H137" s="143">
        <v>0</v>
      </c>
      <c r="I137" s="143">
        <v>0</v>
      </c>
      <c r="J137" s="143">
        <v>0</v>
      </c>
      <c r="K137" s="143">
        <v>0</v>
      </c>
      <c r="L137" s="143">
        <v>0</v>
      </c>
      <c r="M137" s="144">
        <f>-M133/$M125</f>
        <v>0</v>
      </c>
      <c r="N137" s="144">
        <f>-N133/$M125</f>
        <v>0</v>
      </c>
      <c r="O137" s="144">
        <f t="shared" ref="O137:V137" si="239">-O133/$M125</f>
        <v>0</v>
      </c>
      <c r="P137" s="144">
        <f t="shared" si="239"/>
        <v>0</v>
      </c>
      <c r="Q137" s="144">
        <f t="shared" si="239"/>
        <v>0</v>
      </c>
      <c r="R137" s="144">
        <f t="shared" si="239"/>
        <v>0</v>
      </c>
      <c r="S137" s="144">
        <f t="shared" si="239"/>
        <v>0</v>
      </c>
      <c r="T137" s="144">
        <f t="shared" si="239"/>
        <v>0</v>
      </c>
      <c r="U137" s="144">
        <f t="shared" si="239"/>
        <v>0</v>
      </c>
      <c r="V137" s="144">
        <f t="shared" si="239"/>
        <v>0</v>
      </c>
    </row>
    <row r="138" spans="2:22" x14ac:dyDescent="0.2">
      <c r="B138" s="138"/>
      <c r="C138" s="139" t="s">
        <v>804</v>
      </c>
      <c r="D138" s="140" t="s">
        <v>805</v>
      </c>
      <c r="E138" s="141">
        <f>E136</f>
        <v>0</v>
      </c>
      <c r="F138" s="141">
        <f>E138+F136+F137</f>
        <v>0</v>
      </c>
      <c r="G138" s="141">
        <f t="shared" ref="G138" si="240">F138+G136+G137</f>
        <v>0</v>
      </c>
      <c r="H138" s="141">
        <f t="shared" ref="H138" si="241">G138+H136+H137</f>
        <v>0</v>
      </c>
      <c r="I138" s="141">
        <f>H138+I136+I137</f>
        <v>0</v>
      </c>
      <c r="J138" s="141">
        <f t="shared" ref="J138" si="242">I138+J136+J137</f>
        <v>0</v>
      </c>
      <c r="K138" s="141">
        <f t="shared" ref="K138" si="243">J138+K136+K137</f>
        <v>0</v>
      </c>
      <c r="L138" s="141">
        <f>K138+L136+L137</f>
        <v>0</v>
      </c>
      <c r="M138" s="142">
        <f>L138+M136+M137</f>
        <v>0</v>
      </c>
      <c r="N138" s="142">
        <f t="shared" ref="N138" si="244">M138+N136+N137</f>
        <v>0</v>
      </c>
      <c r="O138" s="142">
        <f t="shared" ref="O138" si="245">N138+O136+O137</f>
        <v>0</v>
      </c>
      <c r="P138" s="142">
        <f t="shared" ref="P138" si="246">O138+P136+P137</f>
        <v>0</v>
      </c>
      <c r="Q138" s="142">
        <f t="shared" ref="Q138" si="247">P138+Q136+Q137</f>
        <v>0</v>
      </c>
      <c r="R138" s="142">
        <f t="shared" ref="R138" si="248">Q138+R136+R137</f>
        <v>0</v>
      </c>
      <c r="S138" s="142">
        <f t="shared" ref="S138" si="249">R138+S136+S137</f>
        <v>0</v>
      </c>
      <c r="T138" s="142">
        <f t="shared" ref="T138" si="250">S138+T136+T137</f>
        <v>0</v>
      </c>
      <c r="U138" s="142">
        <f t="shared" ref="U138" si="251">T138+U136+U137</f>
        <v>0</v>
      </c>
      <c r="V138" s="142">
        <f t="shared" ref="V138" si="252">U138+V136+V137</f>
        <v>0</v>
      </c>
    </row>
    <row r="139" spans="2:22" ht="7.5" customHeight="1" x14ac:dyDescent="0.2">
      <c r="E139" s="143"/>
      <c r="F139" s="143"/>
      <c r="G139" s="143"/>
      <c r="H139" s="143"/>
      <c r="I139" s="143"/>
      <c r="J139" s="143"/>
      <c r="K139" s="143"/>
      <c r="L139" s="143"/>
      <c r="M139" s="144"/>
      <c r="N139" s="144"/>
      <c r="O139" s="144"/>
      <c r="P139" s="144"/>
      <c r="Q139" s="144"/>
      <c r="R139" s="144"/>
      <c r="S139" s="144"/>
      <c r="T139" s="144"/>
      <c r="U139" s="144"/>
      <c r="V139" s="144"/>
    </row>
    <row r="140" spans="2:22" x14ac:dyDescent="0.2">
      <c r="D140" s="61" t="s">
        <v>806</v>
      </c>
      <c r="E140" s="145">
        <f>E134+E138</f>
        <v>0</v>
      </c>
      <c r="F140" s="145">
        <f>E140+F132+F138</f>
        <v>0</v>
      </c>
      <c r="G140" s="145">
        <f t="shared" ref="G140:H140" si="253">F140+G132+G138</f>
        <v>0</v>
      </c>
      <c r="H140" s="145">
        <f t="shared" si="253"/>
        <v>0</v>
      </c>
      <c r="I140" s="145">
        <f>H140+I132+I138</f>
        <v>0</v>
      </c>
      <c r="J140" s="145">
        <f>I140+J132+J138</f>
        <v>0</v>
      </c>
      <c r="K140" s="145">
        <f t="shared" ref="K140:L140" si="254">J140+K132+K138</f>
        <v>0</v>
      </c>
      <c r="L140" s="145">
        <f t="shared" si="254"/>
        <v>0</v>
      </c>
      <c r="M140" s="145">
        <f>L140+M132+M138</f>
        <v>0</v>
      </c>
      <c r="N140" s="145">
        <f t="shared" ref="N140:V140" si="255">M140+N132+N138</f>
        <v>0</v>
      </c>
      <c r="O140" s="145">
        <f t="shared" si="255"/>
        <v>0</v>
      </c>
      <c r="P140" s="145">
        <f t="shared" si="255"/>
        <v>0</v>
      </c>
      <c r="Q140" s="145">
        <f t="shared" si="255"/>
        <v>0</v>
      </c>
      <c r="R140" s="145">
        <f t="shared" si="255"/>
        <v>0</v>
      </c>
      <c r="S140" s="145">
        <f t="shared" si="255"/>
        <v>0</v>
      </c>
      <c r="T140" s="145">
        <f t="shared" si="255"/>
        <v>0</v>
      </c>
      <c r="U140" s="145">
        <f t="shared" si="255"/>
        <v>0</v>
      </c>
      <c r="V140" s="145">
        <f t="shared" si="255"/>
        <v>0</v>
      </c>
    </row>
    <row r="141" spans="2:22" s="136" customFormat="1" ht="7.5" customHeight="1" x14ac:dyDescent="0.2">
      <c r="E141" s="146"/>
      <c r="F141" s="146"/>
      <c r="G141" s="146"/>
      <c r="H141" s="146"/>
      <c r="I141" s="146"/>
      <c r="J141" s="146"/>
      <c r="K141" s="146"/>
      <c r="L141" s="146"/>
      <c r="M141" s="147"/>
      <c r="N141" s="147"/>
      <c r="O141" s="147"/>
      <c r="P141" s="147"/>
      <c r="Q141" s="147"/>
      <c r="R141" s="147"/>
      <c r="S141" s="147"/>
      <c r="T141" s="147"/>
      <c r="U141" s="147"/>
      <c r="V141" s="147"/>
    </row>
    <row r="142" spans="2:22" x14ac:dyDescent="0.2">
      <c r="D142" s="65" t="s">
        <v>808</v>
      </c>
      <c r="E142" s="144"/>
      <c r="F142" s="144"/>
      <c r="G142" s="144"/>
      <c r="H142" s="144"/>
      <c r="I142" s="144"/>
      <c r="J142" s="144"/>
      <c r="K142" s="144"/>
      <c r="L142" s="144">
        <f>M129</f>
        <v>0</v>
      </c>
      <c r="M142" s="144">
        <f t="shared" ref="M142:V142" si="256">L142*(1+$M127)</f>
        <v>0</v>
      </c>
      <c r="N142" s="144">
        <f t="shared" si="256"/>
        <v>0</v>
      </c>
      <c r="O142" s="144">
        <f t="shared" si="256"/>
        <v>0</v>
      </c>
      <c r="P142" s="144">
        <f t="shared" si="256"/>
        <v>0</v>
      </c>
      <c r="Q142" s="144">
        <f t="shared" si="256"/>
        <v>0</v>
      </c>
      <c r="R142" s="144">
        <f t="shared" si="256"/>
        <v>0</v>
      </c>
      <c r="S142" s="144">
        <f t="shared" si="256"/>
        <v>0</v>
      </c>
      <c r="T142" s="144">
        <f t="shared" si="256"/>
        <v>0</v>
      </c>
      <c r="U142" s="144">
        <f t="shared" si="256"/>
        <v>0</v>
      </c>
      <c r="V142" s="144">
        <f t="shared" si="256"/>
        <v>0</v>
      </c>
    </row>
    <row r="145" spans="2:22" x14ac:dyDescent="0.2">
      <c r="D145" s="80" t="s">
        <v>265</v>
      </c>
      <c r="E145" s="137" t="s">
        <v>791</v>
      </c>
      <c r="F145" s="137" t="s">
        <v>792</v>
      </c>
      <c r="G145" s="137" t="s">
        <v>793</v>
      </c>
      <c r="H145" s="137" t="s">
        <v>794</v>
      </c>
      <c r="I145" s="137" t="s">
        <v>795</v>
      </c>
      <c r="J145" s="137" t="s">
        <v>796</v>
      </c>
      <c r="K145" s="137" t="s">
        <v>797</v>
      </c>
      <c r="L145" s="137" t="s">
        <v>480</v>
      </c>
      <c r="M145" s="63">
        <v>1</v>
      </c>
      <c r="N145" s="63">
        <f>M145+1</f>
        <v>2</v>
      </c>
      <c r="O145" s="63">
        <f t="shared" ref="O145" si="257">N145+1</f>
        <v>3</v>
      </c>
      <c r="P145" s="63">
        <f t="shared" ref="P145" si="258">O145+1</f>
        <v>4</v>
      </c>
      <c r="Q145" s="63">
        <f>P145+1</f>
        <v>5</v>
      </c>
      <c r="R145" s="63">
        <f>Q145+1</f>
        <v>6</v>
      </c>
      <c r="S145" s="63">
        <f>R145+1</f>
        <v>7</v>
      </c>
      <c r="T145" s="63">
        <f t="shared" ref="T145" si="259">S145+1</f>
        <v>8</v>
      </c>
      <c r="U145" s="63">
        <f t="shared" ref="U145" si="260">T145+1</f>
        <v>9</v>
      </c>
      <c r="V145" s="63">
        <f t="shared" ref="V145" si="261">U145+1</f>
        <v>10</v>
      </c>
    </row>
    <row r="146" spans="2:22" x14ac:dyDescent="0.2">
      <c r="D146" s="65" t="s">
        <v>734</v>
      </c>
      <c r="E146" s="69"/>
      <c r="F146" s="69"/>
      <c r="G146" s="69"/>
      <c r="H146" s="69"/>
      <c r="I146" s="69"/>
      <c r="J146" s="69"/>
      <c r="K146" s="69"/>
      <c r="L146" s="69"/>
      <c r="M146" s="69">
        <f>'2b-Consumption Plan Wk2'!E$17</f>
        <v>0</v>
      </c>
      <c r="N146" s="69">
        <f>'2b-Consumption Plan Wk2'!F$17</f>
        <v>0</v>
      </c>
      <c r="O146" s="69">
        <f>'2b-Consumption Plan Wk2'!G$17</f>
        <v>0</v>
      </c>
      <c r="P146" s="69">
        <f>'2b-Consumption Plan Wk2'!H$17</f>
        <v>0</v>
      </c>
      <c r="Q146" s="69">
        <f>'2b-Consumption Plan Wk2'!I$17</f>
        <v>0</v>
      </c>
      <c r="R146" s="69">
        <f>'2b-Consumption Plan Wk2'!J$17</f>
        <v>0</v>
      </c>
      <c r="S146" s="69">
        <f>'2b-Consumption Plan Wk2'!K$17</f>
        <v>0</v>
      </c>
      <c r="T146" s="69">
        <f>'2b-Consumption Plan Wk2'!L$17</f>
        <v>0</v>
      </c>
      <c r="U146" s="69">
        <f>'2b-Consumption Plan Wk2'!M$17</f>
        <v>0</v>
      </c>
      <c r="V146" s="69">
        <f>'2b-Consumption Plan Wk2'!N$17</f>
        <v>0</v>
      </c>
    </row>
    <row r="147" spans="2:22" x14ac:dyDescent="0.2">
      <c r="B147" s="138"/>
      <c r="C147" s="139" t="s">
        <v>798</v>
      </c>
      <c r="D147" s="140" t="s">
        <v>799</v>
      </c>
      <c r="E147" s="141">
        <f>IF($M125&gt;7,$M123/$M125,0)</f>
        <v>0</v>
      </c>
      <c r="F147" s="141">
        <f>IF($M125&gt;6,$M123/$M125,0)</f>
        <v>0</v>
      </c>
      <c r="G147" s="141">
        <f>IF($M125&gt;5,$M123/$M125,0)</f>
        <v>0</v>
      </c>
      <c r="H147" s="141">
        <f>IF($M125&gt;4,$M123/$M125,0)</f>
        <v>0</v>
      </c>
      <c r="I147" s="141">
        <f>IF($M125&gt;3,$M123/$M125,0)</f>
        <v>0</v>
      </c>
      <c r="J147" s="141">
        <f>IF($M125&gt;2,$M123/$M125,0)</f>
        <v>0</v>
      </c>
      <c r="K147" s="141">
        <f>IF($M125&gt;1,$M123/$M125,0)</f>
        <v>0</v>
      </c>
      <c r="L147" s="141">
        <f>$M123/$M125</f>
        <v>0</v>
      </c>
      <c r="M147" s="142">
        <f>MAX(0,IF(L149&lt;M123,(M123-L149)*(1-M146)*M128,M124*(1-M146)*M128))</f>
        <v>0</v>
      </c>
      <c r="N147" s="142">
        <f>$M124*(1-N146)*$M128</f>
        <v>0</v>
      </c>
      <c r="O147" s="142">
        <f t="shared" ref="O147" si="262">$M124*(1-O146)*$M128</f>
        <v>0</v>
      </c>
      <c r="P147" s="142">
        <f t="shared" ref="P147" si="263">$M124*(1-P146)*$M128</f>
        <v>0</v>
      </c>
      <c r="Q147" s="142">
        <f t="shared" ref="Q147" si="264">$M124*(1-Q146)*$M128</f>
        <v>0</v>
      </c>
      <c r="R147" s="142">
        <f t="shared" ref="R147" si="265">$M124*(1-R146)*$M128</f>
        <v>0</v>
      </c>
      <c r="S147" s="142">
        <f t="shared" ref="S147" si="266">$M124*(1-S146)*$M128</f>
        <v>0</v>
      </c>
      <c r="T147" s="142">
        <f t="shared" ref="T147" si="267">$M124*(1-T146)*$M128</f>
        <v>0</v>
      </c>
      <c r="U147" s="142">
        <f t="shared" ref="U147" si="268">$M124*(1-U146)*$M128</f>
        <v>0</v>
      </c>
      <c r="V147" s="142">
        <f t="shared" ref="V147" si="269">$M124*(1-V146)*$M128</f>
        <v>0</v>
      </c>
    </row>
    <row r="148" spans="2:22" x14ac:dyDescent="0.2">
      <c r="D148" s="65" t="s">
        <v>800</v>
      </c>
      <c r="E148" s="143">
        <v>0</v>
      </c>
      <c r="F148" s="143">
        <v>0</v>
      </c>
      <c r="G148" s="143">
        <v>0</v>
      </c>
      <c r="H148" s="143">
        <v>0</v>
      </c>
      <c r="I148" s="143">
        <v>0</v>
      </c>
      <c r="J148" s="143">
        <v>0</v>
      </c>
      <c r="K148" s="143">
        <v>0</v>
      </c>
      <c r="L148" s="143">
        <v>0</v>
      </c>
      <c r="M148" s="144">
        <f t="shared" ref="M148:V148" si="270">IF($M125=7,-F147,IF($M125=6,-G147,IF($M125=5,-H147,IF($M125=4,-I147,IF($M125=3,-J147,IF($M125=2,-K147,IF($M125=1,-L147,"Error Dep Life")))))))</f>
        <v>0</v>
      </c>
      <c r="N148" s="144">
        <f t="shared" si="270"/>
        <v>0</v>
      </c>
      <c r="O148" s="144">
        <f t="shared" si="270"/>
        <v>0</v>
      </c>
      <c r="P148" s="144">
        <f t="shared" si="270"/>
        <v>0</v>
      </c>
      <c r="Q148" s="144">
        <f t="shared" si="270"/>
        <v>0</v>
      </c>
      <c r="R148" s="144">
        <f t="shared" si="270"/>
        <v>0</v>
      </c>
      <c r="S148" s="144">
        <f t="shared" si="270"/>
        <v>0</v>
      </c>
      <c r="T148" s="144">
        <f t="shared" si="270"/>
        <v>0</v>
      </c>
      <c r="U148" s="144">
        <f t="shared" si="270"/>
        <v>0</v>
      </c>
      <c r="V148" s="144">
        <f t="shared" si="270"/>
        <v>0</v>
      </c>
    </row>
    <row r="149" spans="2:22" x14ac:dyDescent="0.2">
      <c r="D149" s="61" t="s">
        <v>801</v>
      </c>
      <c r="E149" s="145">
        <f>E147</f>
        <v>0</v>
      </c>
      <c r="F149" s="145">
        <f>E149+F147+F148</f>
        <v>0</v>
      </c>
      <c r="G149" s="145">
        <f t="shared" ref="G149" si="271">F149+G147+G148</f>
        <v>0</v>
      </c>
      <c r="H149" s="145">
        <f t="shared" ref="H149" si="272">G149+H147+H148</f>
        <v>0</v>
      </c>
      <c r="I149" s="145">
        <f t="shared" ref="I149" si="273">H149+I147+I148</f>
        <v>0</v>
      </c>
      <c r="J149" s="145">
        <f t="shared" ref="J149" si="274">I149+J147+J148</f>
        <v>0</v>
      </c>
      <c r="K149" s="145">
        <f t="shared" ref="K149" si="275">J149+K147+K148</f>
        <v>0</v>
      </c>
      <c r="L149" s="145">
        <f>K149+L147+L148</f>
        <v>0</v>
      </c>
      <c r="M149" s="145">
        <f t="shared" ref="M149" si="276">L149+M147+M148</f>
        <v>0</v>
      </c>
      <c r="N149" s="145">
        <f t="shared" ref="N149" si="277">M149+N147+N148</f>
        <v>0</v>
      </c>
      <c r="O149" s="145">
        <f t="shared" ref="O149" si="278">N149+O147+O148</f>
        <v>0</v>
      </c>
      <c r="P149" s="145">
        <f t="shared" ref="P149" si="279">O149+P147+P148</f>
        <v>0</v>
      </c>
      <c r="Q149" s="145">
        <f t="shared" ref="Q149" si="280">P149+Q147+Q148</f>
        <v>0</v>
      </c>
      <c r="R149" s="145">
        <f t="shared" ref="R149" si="281">Q149+R147+R148</f>
        <v>0</v>
      </c>
      <c r="S149" s="145">
        <f t="shared" ref="S149" si="282">R149+S147+S148</f>
        <v>0</v>
      </c>
      <c r="T149" s="145">
        <f t="shared" ref="T149" si="283">S149+T147+T148</f>
        <v>0</v>
      </c>
      <c r="U149" s="145">
        <f t="shared" ref="U149" si="284">T149+U147+U148</f>
        <v>0</v>
      </c>
      <c r="V149" s="145">
        <f t="shared" ref="V149" si="285">U149+V147+V148</f>
        <v>0</v>
      </c>
    </row>
    <row r="150" spans="2:22" ht="7.5" customHeight="1" x14ac:dyDescent="0.2">
      <c r="E150" s="143"/>
      <c r="F150" s="143"/>
      <c r="G150" s="143"/>
      <c r="H150" s="143"/>
      <c r="I150" s="143"/>
      <c r="J150" s="143"/>
      <c r="K150" s="143"/>
      <c r="L150" s="143"/>
      <c r="M150" s="144"/>
      <c r="N150" s="144"/>
      <c r="O150" s="144"/>
      <c r="P150" s="144"/>
      <c r="Q150" s="144"/>
      <c r="R150" s="144"/>
      <c r="S150" s="144"/>
      <c r="T150" s="144"/>
      <c r="U150" s="144"/>
      <c r="V150" s="144"/>
    </row>
    <row r="151" spans="2:22" x14ac:dyDescent="0.2">
      <c r="D151" s="65" t="s">
        <v>802</v>
      </c>
      <c r="E151" s="143">
        <f t="shared" ref="E151:V151" si="286">-E147/$M125</f>
        <v>0</v>
      </c>
      <c r="F151" s="143">
        <f t="shared" si="286"/>
        <v>0</v>
      </c>
      <c r="G151" s="143">
        <f t="shared" si="286"/>
        <v>0</v>
      </c>
      <c r="H151" s="143">
        <f t="shared" si="286"/>
        <v>0</v>
      </c>
      <c r="I151" s="143">
        <f t="shared" si="286"/>
        <v>0</v>
      </c>
      <c r="J151" s="143">
        <f t="shared" si="286"/>
        <v>0</v>
      </c>
      <c r="K151" s="143">
        <f t="shared" si="286"/>
        <v>0</v>
      </c>
      <c r="L151" s="143">
        <f t="shared" si="286"/>
        <v>0</v>
      </c>
      <c r="M151" s="143">
        <f t="shared" si="286"/>
        <v>0</v>
      </c>
      <c r="N151" s="143">
        <f t="shared" si="286"/>
        <v>0</v>
      </c>
      <c r="O151" s="143">
        <f t="shared" si="286"/>
        <v>0</v>
      </c>
      <c r="P151" s="143">
        <f t="shared" si="286"/>
        <v>0</v>
      </c>
      <c r="Q151" s="143">
        <f t="shared" si="286"/>
        <v>0</v>
      </c>
      <c r="R151" s="143">
        <f t="shared" si="286"/>
        <v>0</v>
      </c>
      <c r="S151" s="143">
        <f t="shared" si="286"/>
        <v>0</v>
      </c>
      <c r="T151" s="143">
        <f t="shared" si="286"/>
        <v>0</v>
      </c>
      <c r="U151" s="143">
        <f t="shared" si="286"/>
        <v>0</v>
      </c>
      <c r="V151" s="143">
        <f t="shared" si="286"/>
        <v>0</v>
      </c>
    </row>
    <row r="152" spans="2:22" x14ac:dyDescent="0.2">
      <c r="D152" s="65" t="s">
        <v>803</v>
      </c>
      <c r="E152" s="143">
        <v>0</v>
      </c>
      <c r="F152" s="143">
        <v>0</v>
      </c>
      <c r="G152" s="143">
        <v>0</v>
      </c>
      <c r="H152" s="143">
        <v>0</v>
      </c>
      <c r="I152" s="143">
        <v>0</v>
      </c>
      <c r="J152" s="143">
        <v>0</v>
      </c>
      <c r="K152" s="143">
        <v>0</v>
      </c>
      <c r="L152" s="143">
        <v>0</v>
      </c>
      <c r="M152" s="144">
        <f>-M148/$M125</f>
        <v>0</v>
      </c>
      <c r="N152" s="144">
        <f t="shared" ref="N152:V152" si="287">-N148/$M125</f>
        <v>0</v>
      </c>
      <c r="O152" s="144">
        <f t="shared" si="287"/>
        <v>0</v>
      </c>
      <c r="P152" s="144">
        <f t="shared" si="287"/>
        <v>0</v>
      </c>
      <c r="Q152" s="144">
        <f t="shared" si="287"/>
        <v>0</v>
      </c>
      <c r="R152" s="144">
        <f t="shared" si="287"/>
        <v>0</v>
      </c>
      <c r="S152" s="144">
        <f t="shared" si="287"/>
        <v>0</v>
      </c>
      <c r="T152" s="144">
        <f t="shared" si="287"/>
        <v>0</v>
      </c>
      <c r="U152" s="144">
        <f t="shared" si="287"/>
        <v>0</v>
      </c>
      <c r="V152" s="144">
        <f t="shared" si="287"/>
        <v>0</v>
      </c>
    </row>
    <row r="153" spans="2:22" x14ac:dyDescent="0.2">
      <c r="B153" s="138"/>
      <c r="C153" s="139" t="s">
        <v>804</v>
      </c>
      <c r="D153" s="140" t="s">
        <v>805</v>
      </c>
      <c r="E153" s="141">
        <f>E151</f>
        <v>0</v>
      </c>
      <c r="F153" s="141">
        <f>E153+F151+F152</f>
        <v>0</v>
      </c>
      <c r="G153" s="141">
        <f t="shared" ref="G153" si="288">F153+G151+G152</f>
        <v>0</v>
      </c>
      <c r="H153" s="141">
        <f t="shared" ref="H153" si="289">G153+H151+H152</f>
        <v>0</v>
      </c>
      <c r="I153" s="141">
        <f>H153+I151+I152</f>
        <v>0</v>
      </c>
      <c r="J153" s="141">
        <f t="shared" ref="J153" si="290">I153+J151+J152</f>
        <v>0</v>
      </c>
      <c r="K153" s="141">
        <f t="shared" ref="K153" si="291">J153+K151+K152</f>
        <v>0</v>
      </c>
      <c r="L153" s="141">
        <f>K153+L151+L152</f>
        <v>0</v>
      </c>
      <c r="M153" s="142">
        <f>L153+M151+M152</f>
        <v>0</v>
      </c>
      <c r="N153" s="142">
        <f t="shared" ref="N153" si="292">M153+N151+N152</f>
        <v>0</v>
      </c>
      <c r="O153" s="142">
        <f t="shared" ref="O153" si="293">N153+O151+O152</f>
        <v>0</v>
      </c>
      <c r="P153" s="142">
        <f t="shared" ref="P153" si="294">O153+P151+P152</f>
        <v>0</v>
      </c>
      <c r="Q153" s="142">
        <f>P153+Q151+Q152</f>
        <v>0</v>
      </c>
      <c r="R153" s="142">
        <f t="shared" ref="R153" si="295">Q153+R151+R152</f>
        <v>0</v>
      </c>
      <c r="S153" s="142">
        <f t="shared" ref="S153" si="296">R153+S151+S152</f>
        <v>0</v>
      </c>
      <c r="T153" s="142">
        <f t="shared" ref="T153" si="297">S153+T151+T152</f>
        <v>0</v>
      </c>
      <c r="U153" s="142">
        <f t="shared" ref="U153" si="298">T153+U151+U152</f>
        <v>0</v>
      </c>
      <c r="V153" s="142">
        <f t="shared" ref="V153" si="299">U153+V151+V152</f>
        <v>0</v>
      </c>
    </row>
    <row r="154" spans="2:22" ht="7.5" customHeight="1" x14ac:dyDescent="0.2">
      <c r="E154" s="143"/>
      <c r="F154" s="143"/>
      <c r="G154" s="143"/>
      <c r="H154" s="143"/>
      <c r="I154" s="143"/>
      <c r="J154" s="143"/>
      <c r="K154" s="143"/>
      <c r="L154" s="143"/>
      <c r="M154" s="144"/>
      <c r="N154" s="144"/>
      <c r="O154" s="144"/>
      <c r="P154" s="144"/>
      <c r="Q154" s="144"/>
      <c r="R154" s="144"/>
      <c r="S154" s="144"/>
      <c r="T154" s="144"/>
      <c r="U154" s="144"/>
      <c r="V154" s="144"/>
    </row>
    <row r="155" spans="2:22" x14ac:dyDescent="0.2">
      <c r="D155" s="61" t="s">
        <v>806</v>
      </c>
      <c r="E155" s="145">
        <f>E149+E153</f>
        <v>0</v>
      </c>
      <c r="F155" s="145">
        <f>E155+F147+F153</f>
        <v>0</v>
      </c>
      <c r="G155" s="145">
        <f t="shared" ref="G155:H155" si="300">F155+G147+G153</f>
        <v>0</v>
      </c>
      <c r="H155" s="145">
        <f t="shared" si="300"/>
        <v>0</v>
      </c>
      <c r="I155" s="145">
        <f>H155+I147+I153</f>
        <v>0</v>
      </c>
      <c r="J155" s="145">
        <f>I155+J147+J153</f>
        <v>0</v>
      </c>
      <c r="K155" s="145">
        <f t="shared" ref="K155:L155" si="301">J155+K147+K153</f>
        <v>0</v>
      </c>
      <c r="L155" s="145">
        <f t="shared" si="301"/>
        <v>0</v>
      </c>
      <c r="M155" s="145">
        <f>L155+M147+M153</f>
        <v>0</v>
      </c>
      <c r="N155" s="145">
        <f t="shared" ref="N155:V155" si="302">M155+N147+N153</f>
        <v>0</v>
      </c>
      <c r="O155" s="145">
        <f t="shared" si="302"/>
        <v>0</v>
      </c>
      <c r="P155" s="145">
        <f t="shared" si="302"/>
        <v>0</v>
      </c>
      <c r="Q155" s="145">
        <f t="shared" si="302"/>
        <v>0</v>
      </c>
      <c r="R155" s="145">
        <f t="shared" si="302"/>
        <v>0</v>
      </c>
      <c r="S155" s="145">
        <f t="shared" si="302"/>
        <v>0</v>
      </c>
      <c r="T155" s="145">
        <f t="shared" si="302"/>
        <v>0</v>
      </c>
      <c r="U155" s="145">
        <f t="shared" si="302"/>
        <v>0</v>
      </c>
      <c r="V155" s="145">
        <f t="shared" si="302"/>
        <v>0</v>
      </c>
    </row>
    <row r="156" spans="2:22" s="136" customFormat="1" ht="7.5" customHeight="1" x14ac:dyDescent="0.2">
      <c r="E156" s="146"/>
      <c r="F156" s="146"/>
      <c r="G156" s="146"/>
      <c r="H156" s="146"/>
      <c r="I156" s="146"/>
      <c r="J156" s="146"/>
      <c r="K156" s="146"/>
      <c r="L156" s="146"/>
      <c r="M156" s="147"/>
      <c r="N156" s="147"/>
      <c r="O156" s="147"/>
      <c r="P156" s="147"/>
      <c r="Q156" s="147"/>
      <c r="R156" s="147"/>
      <c r="S156" s="147"/>
      <c r="T156" s="147"/>
      <c r="U156" s="147"/>
      <c r="V156" s="147"/>
    </row>
    <row r="157" spans="2:22" x14ac:dyDescent="0.2">
      <c r="D157" s="65" t="s">
        <v>808</v>
      </c>
      <c r="E157" s="144"/>
      <c r="F157" s="144"/>
      <c r="G157" s="144"/>
      <c r="H157" s="144"/>
      <c r="I157" s="144"/>
      <c r="J157" s="144"/>
      <c r="K157" s="144"/>
      <c r="L157" s="144">
        <f>M129</f>
        <v>0</v>
      </c>
      <c r="M157" s="144">
        <f>$L157*(1-M146)</f>
        <v>0</v>
      </c>
      <c r="N157" s="144">
        <f t="shared" ref="N157:V157" si="303">$L157*(1-N146)</f>
        <v>0</v>
      </c>
      <c r="O157" s="144">
        <f t="shared" si="303"/>
        <v>0</v>
      </c>
      <c r="P157" s="144">
        <f t="shared" si="303"/>
        <v>0</v>
      </c>
      <c r="Q157" s="144">
        <f t="shared" si="303"/>
        <v>0</v>
      </c>
      <c r="R157" s="144">
        <f t="shared" si="303"/>
        <v>0</v>
      </c>
      <c r="S157" s="144">
        <f t="shared" si="303"/>
        <v>0</v>
      </c>
      <c r="T157" s="144">
        <f t="shared" si="303"/>
        <v>0</v>
      </c>
      <c r="U157" s="144">
        <f t="shared" si="303"/>
        <v>0</v>
      </c>
      <c r="V157" s="144">
        <f t="shared" si="303"/>
        <v>0</v>
      </c>
    </row>
    <row r="160" spans="2:22" s="68" customFormat="1" x14ac:dyDescent="0.2">
      <c r="C160" s="133" t="s">
        <v>812</v>
      </c>
    </row>
    <row r="161" spans="2:22" x14ac:dyDescent="0.2">
      <c r="B161" s="61"/>
    </row>
    <row r="162" spans="2:22" x14ac:dyDescent="0.2">
      <c r="B162" s="61" t="s">
        <v>813</v>
      </c>
    </row>
    <row r="163" spans="2:22" x14ac:dyDescent="0.2">
      <c r="D163" s="65" t="s">
        <v>636</v>
      </c>
      <c r="E163" s="87"/>
      <c r="F163" s="87"/>
      <c r="G163" s="87"/>
      <c r="H163" s="87"/>
      <c r="I163" s="87"/>
      <c r="J163" s="87"/>
      <c r="K163" s="87"/>
      <c r="L163" s="87"/>
      <c r="M163" s="75" t="e">
        <f>'Status Quo Estimation'!$L$11</f>
        <v>#DIV/0!</v>
      </c>
    </row>
    <row r="164" spans="2:22" x14ac:dyDescent="0.2">
      <c r="D164" s="65" t="s">
        <v>787</v>
      </c>
      <c r="E164" s="87"/>
      <c r="F164" s="87"/>
      <c r="G164" s="87"/>
      <c r="H164" s="87"/>
      <c r="I164" s="87"/>
      <c r="J164" s="87"/>
      <c r="K164" s="87"/>
      <c r="L164" s="87"/>
      <c r="M164" s="75" t="e">
        <f>'Status Quo Estimation'!$L$16</f>
        <v>#DIV/0!</v>
      </c>
    </row>
    <row r="165" spans="2:22" x14ac:dyDescent="0.2">
      <c r="D165" s="65" t="s">
        <v>788</v>
      </c>
      <c r="E165" s="87"/>
      <c r="F165" s="87"/>
      <c r="G165" s="87"/>
      <c r="H165" s="87"/>
      <c r="I165" s="87"/>
      <c r="J165" s="87"/>
      <c r="K165" s="87"/>
      <c r="L165" s="87"/>
      <c r="M165" s="75">
        <f>'1-Client Variables'!$D$24</f>
        <v>5</v>
      </c>
    </row>
    <row r="166" spans="2:22" x14ac:dyDescent="0.2">
      <c r="D166" s="65" t="s">
        <v>76</v>
      </c>
      <c r="E166" s="135"/>
      <c r="F166" s="135"/>
      <c r="G166" s="135"/>
      <c r="H166" s="135"/>
      <c r="I166" s="135"/>
      <c r="J166" s="135"/>
      <c r="K166" s="135"/>
      <c r="L166" s="135"/>
      <c r="M166" s="75">
        <f>'1-Client Variables'!$D$25</f>
        <v>5</v>
      </c>
    </row>
    <row r="167" spans="2:22" x14ac:dyDescent="0.2">
      <c r="D167" s="65" t="s">
        <v>77</v>
      </c>
      <c r="E167" s="135"/>
      <c r="F167" s="135"/>
      <c r="G167" s="135"/>
      <c r="H167" s="135"/>
      <c r="I167" s="135"/>
      <c r="J167" s="135"/>
      <c r="K167" s="135"/>
      <c r="L167" s="135"/>
      <c r="M167" s="69">
        <f>'1-Client Variables'!$D$26</f>
        <v>0.1</v>
      </c>
    </row>
    <row r="168" spans="2:22" x14ac:dyDescent="0.2">
      <c r="D168" s="136" t="s">
        <v>79</v>
      </c>
      <c r="E168" s="135"/>
      <c r="F168" s="135"/>
      <c r="G168" s="135"/>
      <c r="H168" s="135"/>
      <c r="I168" s="135"/>
      <c r="J168" s="135"/>
      <c r="K168" s="135"/>
      <c r="L168" s="135"/>
      <c r="M168" s="69">
        <f>'1-Client Variables'!$D$27</f>
        <v>0.1</v>
      </c>
      <c r="N168" s="65" t="s">
        <v>80</v>
      </c>
      <c r="O168" s="134"/>
    </row>
    <row r="169" spans="2:22" x14ac:dyDescent="0.2">
      <c r="D169" s="65" t="s">
        <v>789</v>
      </c>
      <c r="E169" s="87"/>
      <c r="F169" s="87"/>
      <c r="G169" s="87"/>
      <c r="H169" s="87"/>
      <c r="I169" s="87"/>
      <c r="J169" s="87"/>
      <c r="K169" s="87"/>
      <c r="L169" s="87"/>
      <c r="M169" s="75" t="e">
        <f>'Status Quo Estimation'!M99</f>
        <v>#DIV/0!</v>
      </c>
      <c r="N169" s="65" t="s">
        <v>790</v>
      </c>
    </row>
    <row r="171" spans="2:22" x14ac:dyDescent="0.2">
      <c r="D171" s="80" t="s">
        <v>264</v>
      </c>
      <c r="E171" s="137" t="s">
        <v>791</v>
      </c>
      <c r="F171" s="137" t="s">
        <v>792</v>
      </c>
      <c r="G171" s="137" t="s">
        <v>793</v>
      </c>
      <c r="H171" s="137" t="s">
        <v>794</v>
      </c>
      <c r="I171" s="137" t="s">
        <v>795</v>
      </c>
      <c r="J171" s="137" t="s">
        <v>796</v>
      </c>
      <c r="K171" s="137" t="s">
        <v>797</v>
      </c>
      <c r="L171" s="137" t="s">
        <v>480</v>
      </c>
      <c r="M171" s="63">
        <v>1</v>
      </c>
      <c r="N171" s="63">
        <f>M171+1</f>
        <v>2</v>
      </c>
      <c r="O171" s="63">
        <f t="shared" ref="O171" si="304">N171+1</f>
        <v>3</v>
      </c>
      <c r="P171" s="63">
        <f t="shared" ref="P171" si="305">O171+1</f>
        <v>4</v>
      </c>
      <c r="Q171" s="63">
        <f>P171+1</f>
        <v>5</v>
      </c>
      <c r="R171" s="63">
        <f>Q171+1</f>
        <v>6</v>
      </c>
      <c r="S171" s="63">
        <f>R171+1</f>
        <v>7</v>
      </c>
      <c r="T171" s="63">
        <f t="shared" ref="T171" si="306">S171+1</f>
        <v>8</v>
      </c>
      <c r="U171" s="63">
        <f t="shared" ref="U171" si="307">T171+1</f>
        <v>9</v>
      </c>
      <c r="V171" s="63">
        <f t="shared" ref="V171" si="308">U171+1</f>
        <v>10</v>
      </c>
    </row>
    <row r="172" spans="2:22" x14ac:dyDescent="0.2">
      <c r="B172" s="138"/>
      <c r="C172" s="139" t="s">
        <v>798</v>
      </c>
      <c r="D172" s="140" t="s">
        <v>799</v>
      </c>
      <c r="E172" s="141">
        <f>IF($M165&gt;7,$M163/$M165,0)</f>
        <v>0</v>
      </c>
      <c r="F172" s="141">
        <f>IF($M165&gt;6,$M163/$M165,0)</f>
        <v>0</v>
      </c>
      <c r="G172" s="141">
        <f>IF($M165&gt;5,$M163/$M165,0)</f>
        <v>0</v>
      </c>
      <c r="H172" s="141" t="e">
        <f>IF($M165&gt;4,$M163/$M165,0)</f>
        <v>#DIV/0!</v>
      </c>
      <c r="I172" s="141" t="e">
        <f>IF($M165&gt;3,$M163/$M165,0)</f>
        <v>#DIV/0!</v>
      </c>
      <c r="J172" s="141" t="e">
        <f>IF($M165&gt;2,$M163/$M165,0)</f>
        <v>#DIV/0!</v>
      </c>
      <c r="K172" s="141" t="e">
        <f>IF($M165&gt;1,$M163/$M165,0)</f>
        <v>#DIV/0!</v>
      </c>
      <c r="L172" s="141" t="e">
        <f>$M163/$M165</f>
        <v>#DIV/0!</v>
      </c>
      <c r="M172" s="142" t="e">
        <f>MAX(0,M164*(1+M167)*(M165/M166))</f>
        <v>#DIV/0!</v>
      </c>
      <c r="N172" s="142" t="e">
        <f>MAX(0,M172*(1+$M167))</f>
        <v>#DIV/0!</v>
      </c>
      <c r="O172" s="142" t="e">
        <f t="shared" ref="O172:V172" si="309">MAX(0,N172*(1+$M167))</f>
        <v>#DIV/0!</v>
      </c>
      <c r="P172" s="142" t="e">
        <f t="shared" si="309"/>
        <v>#DIV/0!</v>
      </c>
      <c r="Q172" s="142" t="e">
        <f t="shared" si="309"/>
        <v>#DIV/0!</v>
      </c>
      <c r="R172" s="142" t="e">
        <f t="shared" si="309"/>
        <v>#DIV/0!</v>
      </c>
      <c r="S172" s="142" t="e">
        <f t="shared" si="309"/>
        <v>#DIV/0!</v>
      </c>
      <c r="T172" s="142" t="e">
        <f t="shared" si="309"/>
        <v>#DIV/0!</v>
      </c>
      <c r="U172" s="142" t="e">
        <f t="shared" si="309"/>
        <v>#DIV/0!</v>
      </c>
      <c r="V172" s="142" t="e">
        <f t="shared" si="309"/>
        <v>#DIV/0!</v>
      </c>
    </row>
    <row r="173" spans="2:22" x14ac:dyDescent="0.2">
      <c r="D173" s="65" t="s">
        <v>800</v>
      </c>
      <c r="E173" s="143">
        <v>0</v>
      </c>
      <c r="F173" s="143">
        <v>0</v>
      </c>
      <c r="G173" s="143">
        <v>0</v>
      </c>
      <c r="H173" s="143">
        <v>0</v>
      </c>
      <c r="I173" s="143">
        <v>0</v>
      </c>
      <c r="J173" s="143">
        <v>0</v>
      </c>
      <c r="K173" s="143">
        <v>0</v>
      </c>
      <c r="L173" s="143">
        <v>0</v>
      </c>
      <c r="M173" s="144" t="e">
        <f t="shared" ref="M173:V173" si="310">IF($M165=7,-F172,IF($M165=6,-G172,IF($M165=5,-H172,IF($M165=4,-I172,IF($M165=3,-J172,IF($M165=2,-K172,IF($M165=1,-L172,"Error Dep Life")))))))</f>
        <v>#DIV/0!</v>
      </c>
      <c r="N173" s="144" t="e">
        <f t="shared" si="310"/>
        <v>#DIV/0!</v>
      </c>
      <c r="O173" s="144" t="e">
        <f t="shared" si="310"/>
        <v>#DIV/0!</v>
      </c>
      <c r="P173" s="144" t="e">
        <f t="shared" si="310"/>
        <v>#DIV/0!</v>
      </c>
      <c r="Q173" s="144" t="e">
        <f t="shared" si="310"/>
        <v>#DIV/0!</v>
      </c>
      <c r="R173" s="144" t="e">
        <f t="shared" si="310"/>
        <v>#DIV/0!</v>
      </c>
      <c r="S173" s="144" t="e">
        <f t="shared" si="310"/>
        <v>#DIV/0!</v>
      </c>
      <c r="T173" s="144" t="e">
        <f t="shared" si="310"/>
        <v>#DIV/0!</v>
      </c>
      <c r="U173" s="144" t="e">
        <f t="shared" si="310"/>
        <v>#DIV/0!</v>
      </c>
      <c r="V173" s="144" t="e">
        <f t="shared" si="310"/>
        <v>#DIV/0!</v>
      </c>
    </row>
    <row r="174" spans="2:22" x14ac:dyDescent="0.2">
      <c r="D174" s="61" t="s">
        <v>801</v>
      </c>
      <c r="E174" s="145">
        <f>E172</f>
        <v>0</v>
      </c>
      <c r="F174" s="145">
        <f>E174+F172+F173</f>
        <v>0</v>
      </c>
      <c r="G174" s="145">
        <f t="shared" ref="G174" si="311">F174+G172+G173</f>
        <v>0</v>
      </c>
      <c r="H174" s="145" t="e">
        <f t="shared" ref="H174" si="312">G174+H172+H173</f>
        <v>#DIV/0!</v>
      </c>
      <c r="I174" s="145" t="e">
        <f t="shared" ref="I174" si="313">H174+I172+I173</f>
        <v>#DIV/0!</v>
      </c>
      <c r="J174" s="145" t="e">
        <f t="shared" ref="J174" si="314">I174+J172+J173</f>
        <v>#DIV/0!</v>
      </c>
      <c r="K174" s="145" t="e">
        <f t="shared" ref="K174" si="315">J174+K172+K173</f>
        <v>#DIV/0!</v>
      </c>
      <c r="L174" s="145" t="e">
        <f>K174+L172+L173</f>
        <v>#DIV/0!</v>
      </c>
      <c r="M174" s="145" t="e">
        <f t="shared" ref="M174" si="316">L174+M172+M173</f>
        <v>#DIV/0!</v>
      </c>
      <c r="N174" s="145" t="e">
        <f t="shared" ref="N174" si="317">M174+N172+N173</f>
        <v>#DIV/0!</v>
      </c>
      <c r="O174" s="145" t="e">
        <f t="shared" ref="O174" si="318">N174+O172+O173</f>
        <v>#DIV/0!</v>
      </c>
      <c r="P174" s="145" t="e">
        <f t="shared" ref="P174" si="319">O174+P172+P173</f>
        <v>#DIV/0!</v>
      </c>
      <c r="Q174" s="145" t="e">
        <f t="shared" ref="Q174" si="320">P174+Q172+Q173</f>
        <v>#DIV/0!</v>
      </c>
      <c r="R174" s="145" t="e">
        <f t="shared" ref="R174" si="321">Q174+R172+R173</f>
        <v>#DIV/0!</v>
      </c>
      <c r="S174" s="145" t="e">
        <f t="shared" ref="S174" si="322">R174+S172+S173</f>
        <v>#DIV/0!</v>
      </c>
      <c r="T174" s="145" t="e">
        <f t="shared" ref="T174" si="323">S174+T172+T173</f>
        <v>#DIV/0!</v>
      </c>
      <c r="U174" s="145" t="e">
        <f t="shared" ref="U174" si="324">T174+U172+U173</f>
        <v>#DIV/0!</v>
      </c>
      <c r="V174" s="145" t="e">
        <f t="shared" ref="V174" si="325">U174+V172+V173</f>
        <v>#DIV/0!</v>
      </c>
    </row>
    <row r="175" spans="2:22" ht="7.5" customHeight="1" x14ac:dyDescent="0.2">
      <c r="E175" s="143"/>
      <c r="F175" s="143"/>
      <c r="G175" s="143"/>
      <c r="H175" s="143"/>
      <c r="I175" s="143"/>
      <c r="J175" s="143"/>
      <c r="K175" s="143"/>
      <c r="L175" s="143"/>
      <c r="M175" s="144"/>
      <c r="N175" s="144"/>
      <c r="O175" s="144"/>
      <c r="P175" s="144"/>
      <c r="Q175" s="144"/>
      <c r="R175" s="144"/>
      <c r="S175" s="144"/>
      <c r="T175" s="144"/>
      <c r="U175" s="144"/>
      <c r="V175" s="144"/>
    </row>
    <row r="176" spans="2:22" x14ac:dyDescent="0.2">
      <c r="D176" s="65" t="s">
        <v>802</v>
      </c>
      <c r="E176" s="143">
        <f t="shared" ref="E176:V176" si="326">-E172/$M165</f>
        <v>0</v>
      </c>
      <c r="F176" s="143">
        <f t="shared" si="326"/>
        <v>0</v>
      </c>
      <c r="G176" s="143">
        <f t="shared" si="326"/>
        <v>0</v>
      </c>
      <c r="H176" s="143" t="e">
        <f t="shared" si="326"/>
        <v>#DIV/0!</v>
      </c>
      <c r="I176" s="143" t="e">
        <f t="shared" si="326"/>
        <v>#DIV/0!</v>
      </c>
      <c r="J176" s="143" t="e">
        <f t="shared" si="326"/>
        <v>#DIV/0!</v>
      </c>
      <c r="K176" s="143" t="e">
        <f t="shared" si="326"/>
        <v>#DIV/0!</v>
      </c>
      <c r="L176" s="143" t="e">
        <f t="shared" si="326"/>
        <v>#DIV/0!</v>
      </c>
      <c r="M176" s="144" t="e">
        <f t="shared" si="326"/>
        <v>#DIV/0!</v>
      </c>
      <c r="N176" s="144" t="e">
        <f t="shared" si="326"/>
        <v>#DIV/0!</v>
      </c>
      <c r="O176" s="144" t="e">
        <f t="shared" si="326"/>
        <v>#DIV/0!</v>
      </c>
      <c r="P176" s="144" t="e">
        <f t="shared" si="326"/>
        <v>#DIV/0!</v>
      </c>
      <c r="Q176" s="144" t="e">
        <f t="shared" si="326"/>
        <v>#DIV/0!</v>
      </c>
      <c r="R176" s="144" t="e">
        <f t="shared" si="326"/>
        <v>#DIV/0!</v>
      </c>
      <c r="S176" s="144" t="e">
        <f t="shared" si="326"/>
        <v>#DIV/0!</v>
      </c>
      <c r="T176" s="144" t="e">
        <f t="shared" si="326"/>
        <v>#DIV/0!</v>
      </c>
      <c r="U176" s="144" t="e">
        <f t="shared" si="326"/>
        <v>#DIV/0!</v>
      </c>
      <c r="V176" s="144" t="e">
        <f t="shared" si="326"/>
        <v>#DIV/0!</v>
      </c>
    </row>
    <row r="177" spans="2:22" x14ac:dyDescent="0.2">
      <c r="D177" s="65" t="s">
        <v>803</v>
      </c>
      <c r="E177" s="143">
        <v>0</v>
      </c>
      <c r="F177" s="143">
        <v>0</v>
      </c>
      <c r="G177" s="143">
        <v>0</v>
      </c>
      <c r="H177" s="143">
        <v>0</v>
      </c>
      <c r="I177" s="143">
        <v>0</v>
      </c>
      <c r="J177" s="143">
        <v>0</v>
      </c>
      <c r="K177" s="143">
        <v>0</v>
      </c>
      <c r="L177" s="143">
        <v>0</v>
      </c>
      <c r="M177" s="144" t="e">
        <f>-M173/$M165</f>
        <v>#DIV/0!</v>
      </c>
      <c r="N177" s="144" t="e">
        <f t="shared" ref="N177:O177" si="327">-N173/$M165</f>
        <v>#DIV/0!</v>
      </c>
      <c r="O177" s="144" t="e">
        <f t="shared" si="327"/>
        <v>#DIV/0!</v>
      </c>
      <c r="P177" s="144" t="e">
        <f>-P173/$M165</f>
        <v>#DIV/0!</v>
      </c>
      <c r="Q177" s="144" t="e">
        <f t="shared" ref="Q177:V177" si="328">-Q173/$M165</f>
        <v>#DIV/0!</v>
      </c>
      <c r="R177" s="144" t="e">
        <f t="shared" si="328"/>
        <v>#DIV/0!</v>
      </c>
      <c r="S177" s="144" t="e">
        <f t="shared" si="328"/>
        <v>#DIV/0!</v>
      </c>
      <c r="T177" s="144" t="e">
        <f t="shared" si="328"/>
        <v>#DIV/0!</v>
      </c>
      <c r="U177" s="144" t="e">
        <f t="shared" si="328"/>
        <v>#DIV/0!</v>
      </c>
      <c r="V177" s="144" t="e">
        <f t="shared" si="328"/>
        <v>#DIV/0!</v>
      </c>
    </row>
    <row r="178" spans="2:22" x14ac:dyDescent="0.2">
      <c r="B178" s="138"/>
      <c r="C178" s="139" t="s">
        <v>804</v>
      </c>
      <c r="D178" s="140" t="s">
        <v>805</v>
      </c>
      <c r="E178" s="141">
        <f>E176</f>
        <v>0</v>
      </c>
      <c r="F178" s="141">
        <f>E178+F176+F177</f>
        <v>0</v>
      </c>
      <c r="G178" s="141">
        <f t="shared" ref="G178" si="329">F178+G176+G177</f>
        <v>0</v>
      </c>
      <c r="H178" s="141" t="e">
        <f t="shared" ref="H178" si="330">G178+H176+H177</f>
        <v>#DIV/0!</v>
      </c>
      <c r="I178" s="141" t="e">
        <f>H178+I176+I177</f>
        <v>#DIV/0!</v>
      </c>
      <c r="J178" s="141" t="e">
        <f t="shared" ref="J178" si="331">I178+J176+J177</f>
        <v>#DIV/0!</v>
      </c>
      <c r="K178" s="141" t="e">
        <f t="shared" ref="K178" si="332">J178+K176+K177</f>
        <v>#DIV/0!</v>
      </c>
      <c r="L178" s="141" t="e">
        <f>K178+L176+L177</f>
        <v>#DIV/0!</v>
      </c>
      <c r="M178" s="142" t="e">
        <f t="shared" ref="M178" si="333">L178+M176+M177</f>
        <v>#DIV/0!</v>
      </c>
      <c r="N178" s="142" t="e">
        <f t="shared" ref="N178" si="334">M178+N176+N177</f>
        <v>#DIV/0!</v>
      </c>
      <c r="O178" s="142" t="e">
        <f t="shared" ref="O178" si="335">N178+O176+O177</f>
        <v>#DIV/0!</v>
      </c>
      <c r="P178" s="142" t="e">
        <f>O178+P176+P177</f>
        <v>#DIV/0!</v>
      </c>
      <c r="Q178" s="142" t="e">
        <f t="shared" ref="Q178" si="336">P178+Q176+Q177</f>
        <v>#DIV/0!</v>
      </c>
      <c r="R178" s="142" t="e">
        <f t="shared" ref="R178" si="337">Q178+R176+R177</f>
        <v>#DIV/0!</v>
      </c>
      <c r="S178" s="142" t="e">
        <f t="shared" ref="S178" si="338">R178+S176+S177</f>
        <v>#DIV/0!</v>
      </c>
      <c r="T178" s="142" t="e">
        <f t="shared" ref="T178" si="339">S178+T176+T177</f>
        <v>#DIV/0!</v>
      </c>
      <c r="U178" s="142" t="e">
        <f t="shared" ref="U178" si="340">T178+U176+U177</f>
        <v>#DIV/0!</v>
      </c>
      <c r="V178" s="142" t="e">
        <f t="shared" ref="V178" si="341">U178+V176+V177</f>
        <v>#DIV/0!</v>
      </c>
    </row>
    <row r="179" spans="2:22" ht="7.5" customHeight="1" x14ac:dyDescent="0.2">
      <c r="E179" s="143"/>
      <c r="F179" s="143"/>
      <c r="G179" s="143"/>
      <c r="H179" s="143"/>
      <c r="I179" s="143"/>
      <c r="J179" s="143"/>
      <c r="K179" s="143"/>
      <c r="L179" s="143"/>
      <c r="M179" s="144"/>
      <c r="N179" s="144"/>
      <c r="O179" s="144"/>
      <c r="P179" s="144"/>
      <c r="Q179" s="144"/>
      <c r="R179" s="144"/>
      <c r="S179" s="144"/>
      <c r="T179" s="144"/>
      <c r="U179" s="144"/>
      <c r="V179" s="144"/>
    </row>
    <row r="180" spans="2:22" x14ac:dyDescent="0.2">
      <c r="D180" s="61" t="s">
        <v>806</v>
      </c>
      <c r="E180" s="145">
        <f>E174+E178</f>
        <v>0</v>
      </c>
      <c r="F180" s="145">
        <f>E180+F172+F178</f>
        <v>0</v>
      </c>
      <c r="G180" s="145">
        <f t="shared" ref="G180:H180" si="342">F180+G172+G178</f>
        <v>0</v>
      </c>
      <c r="H180" s="145" t="e">
        <f t="shared" si="342"/>
        <v>#DIV/0!</v>
      </c>
      <c r="I180" s="145" t="e">
        <f>H180+I172+I178</f>
        <v>#DIV/0!</v>
      </c>
      <c r="J180" s="145" t="e">
        <f>I180+J172+J178</f>
        <v>#DIV/0!</v>
      </c>
      <c r="K180" s="145" t="e">
        <f t="shared" ref="K180:V180" si="343">J180+K172+K178</f>
        <v>#DIV/0!</v>
      </c>
      <c r="L180" s="145" t="e">
        <f t="shared" si="343"/>
        <v>#DIV/0!</v>
      </c>
      <c r="M180" s="145" t="e">
        <f t="shared" si="343"/>
        <v>#DIV/0!</v>
      </c>
      <c r="N180" s="145" t="e">
        <f t="shared" si="343"/>
        <v>#DIV/0!</v>
      </c>
      <c r="O180" s="145" t="e">
        <f t="shared" si="343"/>
        <v>#DIV/0!</v>
      </c>
      <c r="P180" s="145" t="e">
        <f t="shared" si="343"/>
        <v>#DIV/0!</v>
      </c>
      <c r="Q180" s="145" t="e">
        <f t="shared" si="343"/>
        <v>#DIV/0!</v>
      </c>
      <c r="R180" s="145" t="e">
        <f t="shared" si="343"/>
        <v>#DIV/0!</v>
      </c>
      <c r="S180" s="145" t="e">
        <f t="shared" si="343"/>
        <v>#DIV/0!</v>
      </c>
      <c r="T180" s="145" t="e">
        <f t="shared" si="343"/>
        <v>#DIV/0!</v>
      </c>
      <c r="U180" s="145" t="e">
        <f t="shared" si="343"/>
        <v>#DIV/0!</v>
      </c>
      <c r="V180" s="145" t="e">
        <f t="shared" si="343"/>
        <v>#DIV/0!</v>
      </c>
    </row>
    <row r="181" spans="2:22" s="136" customFormat="1" ht="7.5" customHeight="1" x14ac:dyDescent="0.2">
      <c r="E181" s="146"/>
      <c r="F181" s="146"/>
      <c r="G181" s="146"/>
      <c r="H181" s="146"/>
      <c r="I181" s="146"/>
      <c r="J181" s="146"/>
      <c r="K181" s="146"/>
      <c r="L181" s="146"/>
      <c r="M181" s="147"/>
      <c r="N181" s="147"/>
      <c r="O181" s="147"/>
      <c r="P181" s="147"/>
      <c r="Q181" s="147"/>
      <c r="R181" s="147"/>
      <c r="S181" s="147"/>
      <c r="T181" s="147"/>
      <c r="U181" s="147"/>
      <c r="V181" s="147"/>
    </row>
    <row r="182" spans="2:22" x14ac:dyDescent="0.2">
      <c r="D182" s="65" t="s">
        <v>789</v>
      </c>
      <c r="E182" s="144"/>
      <c r="F182" s="144"/>
      <c r="G182" s="144"/>
      <c r="H182" s="144"/>
      <c r="I182" s="144"/>
      <c r="J182" s="144"/>
      <c r="K182" s="144"/>
      <c r="L182" s="144" t="e">
        <f>M169</f>
        <v>#DIV/0!</v>
      </c>
      <c r="M182" s="144" t="e">
        <f t="shared" ref="M182:V182" si="344">L182*(1+$M167)</f>
        <v>#DIV/0!</v>
      </c>
      <c r="N182" s="144" t="e">
        <f t="shared" si="344"/>
        <v>#DIV/0!</v>
      </c>
      <c r="O182" s="144" t="e">
        <f t="shared" si="344"/>
        <v>#DIV/0!</v>
      </c>
      <c r="P182" s="144" t="e">
        <f t="shared" si="344"/>
        <v>#DIV/0!</v>
      </c>
      <c r="Q182" s="144" t="e">
        <f t="shared" si="344"/>
        <v>#DIV/0!</v>
      </c>
      <c r="R182" s="144" t="e">
        <f t="shared" si="344"/>
        <v>#DIV/0!</v>
      </c>
      <c r="S182" s="144" t="e">
        <f t="shared" si="344"/>
        <v>#DIV/0!</v>
      </c>
      <c r="T182" s="144" t="e">
        <f t="shared" si="344"/>
        <v>#DIV/0!</v>
      </c>
      <c r="U182" s="144" t="e">
        <f t="shared" si="344"/>
        <v>#DIV/0!</v>
      </c>
      <c r="V182" s="144" t="e">
        <f t="shared" si="344"/>
        <v>#DIV/0!</v>
      </c>
    </row>
    <row r="185" spans="2:22" x14ac:dyDescent="0.2">
      <c r="D185" s="80" t="s">
        <v>265</v>
      </c>
      <c r="E185" s="137" t="s">
        <v>791</v>
      </c>
      <c r="F185" s="137" t="s">
        <v>792</v>
      </c>
      <c r="G185" s="137" t="s">
        <v>793</v>
      </c>
      <c r="H185" s="137" t="s">
        <v>794</v>
      </c>
      <c r="I185" s="137" t="s">
        <v>795</v>
      </c>
      <c r="J185" s="137" t="s">
        <v>796</v>
      </c>
      <c r="K185" s="137" t="s">
        <v>797</v>
      </c>
      <c r="L185" s="137" t="s">
        <v>480</v>
      </c>
      <c r="M185" s="63">
        <v>1</v>
      </c>
      <c r="N185" s="63">
        <f>M185+1</f>
        <v>2</v>
      </c>
      <c r="O185" s="63">
        <f t="shared" ref="O185" si="345">N185+1</f>
        <v>3</v>
      </c>
      <c r="P185" s="63">
        <f t="shared" ref="P185" si="346">O185+1</f>
        <v>4</v>
      </c>
      <c r="Q185" s="63">
        <f>P185+1</f>
        <v>5</v>
      </c>
      <c r="R185" s="63">
        <f>Q185+1</f>
        <v>6</v>
      </c>
      <c r="S185" s="63">
        <f>R185+1</f>
        <v>7</v>
      </c>
      <c r="T185" s="63">
        <f t="shared" ref="T185" si="347">S185+1</f>
        <v>8</v>
      </c>
      <c r="U185" s="63">
        <f t="shared" ref="U185" si="348">T185+1</f>
        <v>9</v>
      </c>
      <c r="V185" s="63">
        <f t="shared" ref="V185" si="349">U185+1</f>
        <v>10</v>
      </c>
    </row>
    <row r="186" spans="2:22" x14ac:dyDescent="0.2">
      <c r="D186" s="65" t="s">
        <v>734</v>
      </c>
      <c r="E186" s="69"/>
      <c r="F186" s="69"/>
      <c r="G186" s="69"/>
      <c r="H186" s="69"/>
      <c r="I186" s="69"/>
      <c r="J186" s="69"/>
      <c r="K186" s="69"/>
      <c r="L186" s="69"/>
      <c r="M186" s="69">
        <f>'2c-Consumption Plan Wk3'!E$17</f>
        <v>0</v>
      </c>
      <c r="N186" s="69">
        <f>'2c-Consumption Plan Wk3'!F$17</f>
        <v>0</v>
      </c>
      <c r="O186" s="69">
        <f>'2c-Consumption Plan Wk3'!G$17</f>
        <v>0</v>
      </c>
      <c r="P186" s="69">
        <f>'2c-Consumption Plan Wk3'!H$17</f>
        <v>0</v>
      </c>
      <c r="Q186" s="69">
        <f>'2c-Consumption Plan Wk3'!I$17</f>
        <v>0</v>
      </c>
      <c r="R186" s="69">
        <f>'2c-Consumption Plan Wk3'!J$17</f>
        <v>0</v>
      </c>
      <c r="S186" s="69">
        <f>'2c-Consumption Plan Wk3'!K$17</f>
        <v>0</v>
      </c>
      <c r="T186" s="69">
        <f>'2c-Consumption Plan Wk3'!L$17</f>
        <v>0</v>
      </c>
      <c r="U186" s="69">
        <f>'2c-Consumption Plan Wk3'!M$17</f>
        <v>0</v>
      </c>
      <c r="V186" s="69">
        <f>'2c-Consumption Plan Wk3'!N$17</f>
        <v>0</v>
      </c>
    </row>
    <row r="187" spans="2:22" x14ac:dyDescent="0.2">
      <c r="B187" s="138"/>
      <c r="C187" s="139" t="s">
        <v>798</v>
      </c>
      <c r="D187" s="140" t="s">
        <v>799</v>
      </c>
      <c r="E187" s="141">
        <f>IF($M165&gt;7,$M163/$M165,0)</f>
        <v>0</v>
      </c>
      <c r="F187" s="141">
        <f>IF($M165&gt;6,$M163/$M165,0)</f>
        <v>0</v>
      </c>
      <c r="G187" s="141">
        <f>IF($M165&gt;5,$M163/$M165,0)</f>
        <v>0</v>
      </c>
      <c r="H187" s="141" t="e">
        <f>IF($M165&gt;4,$M163/$M165,0)</f>
        <v>#DIV/0!</v>
      </c>
      <c r="I187" s="141" t="e">
        <f>IF($M165&gt;3,$M163/$M165,0)</f>
        <v>#DIV/0!</v>
      </c>
      <c r="J187" s="141" t="e">
        <f>IF($M165&gt;2,$M163/$M165,0)</f>
        <v>#DIV/0!</v>
      </c>
      <c r="K187" s="141" t="e">
        <f>IF($M165&gt;1,$M163/$M165,0)</f>
        <v>#DIV/0!</v>
      </c>
      <c r="L187" s="141" t="e">
        <f>$M163/$M165</f>
        <v>#DIV/0!</v>
      </c>
      <c r="M187" s="142" t="e">
        <f>MAX(0,IF(L189&lt;M163,(M163-L189)*(1-M186)*M168,M164*(1-M186)*M168))</f>
        <v>#DIV/0!</v>
      </c>
      <c r="N187" s="142" t="e">
        <f>$M164*(1-N186)*$M168</f>
        <v>#DIV/0!</v>
      </c>
      <c r="O187" s="142" t="e">
        <f t="shared" ref="O187" si="350">$M164*(1-O186)*$M168</f>
        <v>#DIV/0!</v>
      </c>
      <c r="P187" s="142" t="e">
        <f t="shared" ref="P187" si="351">$M164*(1-P186)*$M168</f>
        <v>#DIV/0!</v>
      </c>
      <c r="Q187" s="142" t="e">
        <f t="shared" ref="Q187" si="352">$M164*(1-Q186)*$M168</f>
        <v>#DIV/0!</v>
      </c>
      <c r="R187" s="142" t="e">
        <f t="shared" ref="R187" si="353">$M164*(1-R186)*$M168</f>
        <v>#DIV/0!</v>
      </c>
      <c r="S187" s="142" t="e">
        <f t="shared" ref="S187" si="354">$M164*(1-S186)*$M168</f>
        <v>#DIV/0!</v>
      </c>
      <c r="T187" s="142" t="e">
        <f t="shared" ref="T187" si="355">$M164*(1-T186)*$M168</f>
        <v>#DIV/0!</v>
      </c>
      <c r="U187" s="142" t="e">
        <f t="shared" ref="U187" si="356">$M164*(1-U186)*$M168</f>
        <v>#DIV/0!</v>
      </c>
      <c r="V187" s="142" t="e">
        <f t="shared" ref="V187" si="357">$M164*(1-V186)*$M168</f>
        <v>#DIV/0!</v>
      </c>
    </row>
    <row r="188" spans="2:22" x14ac:dyDescent="0.2">
      <c r="D188" s="65" t="s">
        <v>800</v>
      </c>
      <c r="E188" s="143">
        <v>0</v>
      </c>
      <c r="F188" s="143">
        <v>0</v>
      </c>
      <c r="G188" s="143">
        <v>0</v>
      </c>
      <c r="H188" s="143">
        <v>0</v>
      </c>
      <c r="I188" s="143">
        <v>0</v>
      </c>
      <c r="J188" s="143">
        <v>0</v>
      </c>
      <c r="K188" s="143">
        <v>0</v>
      </c>
      <c r="L188" s="143">
        <v>0</v>
      </c>
      <c r="M188" s="144" t="e">
        <f t="shared" ref="M188:V188" si="358">IF($M165=7,-F187,IF($M165=6,-G187,IF($M165=5,-H187,IF($M165=4,-I187,IF($M165=3,-J187,IF($M165=2,-K187,IF($M165=1,-L187,"Error Dep Life")))))))</f>
        <v>#DIV/0!</v>
      </c>
      <c r="N188" s="144" t="e">
        <f t="shared" si="358"/>
        <v>#DIV/0!</v>
      </c>
      <c r="O188" s="144" t="e">
        <f t="shared" si="358"/>
        <v>#DIV/0!</v>
      </c>
      <c r="P188" s="144" t="e">
        <f t="shared" si="358"/>
        <v>#DIV/0!</v>
      </c>
      <c r="Q188" s="144" t="e">
        <f t="shared" si="358"/>
        <v>#DIV/0!</v>
      </c>
      <c r="R188" s="144" t="e">
        <f t="shared" si="358"/>
        <v>#DIV/0!</v>
      </c>
      <c r="S188" s="144" t="e">
        <f t="shared" si="358"/>
        <v>#DIV/0!</v>
      </c>
      <c r="T188" s="144" t="e">
        <f t="shared" si="358"/>
        <v>#DIV/0!</v>
      </c>
      <c r="U188" s="144" t="e">
        <f t="shared" si="358"/>
        <v>#DIV/0!</v>
      </c>
      <c r="V188" s="144" t="e">
        <f t="shared" si="358"/>
        <v>#DIV/0!</v>
      </c>
    </row>
    <row r="189" spans="2:22" x14ac:dyDescent="0.2">
      <c r="D189" s="61" t="s">
        <v>801</v>
      </c>
      <c r="E189" s="145">
        <f>E187</f>
        <v>0</v>
      </c>
      <c r="F189" s="145">
        <f>E189+F187+F188</f>
        <v>0</v>
      </c>
      <c r="G189" s="145">
        <f t="shared" ref="G189" si="359">F189+G187+G188</f>
        <v>0</v>
      </c>
      <c r="H189" s="145" t="e">
        <f t="shared" ref="H189" si="360">G189+H187+H188</f>
        <v>#DIV/0!</v>
      </c>
      <c r="I189" s="145" t="e">
        <f t="shared" ref="I189" si="361">H189+I187+I188</f>
        <v>#DIV/0!</v>
      </c>
      <c r="J189" s="145" t="e">
        <f t="shared" ref="J189" si="362">I189+J187+J188</f>
        <v>#DIV/0!</v>
      </c>
      <c r="K189" s="145" t="e">
        <f t="shared" ref="K189" si="363">J189+K187+K188</f>
        <v>#DIV/0!</v>
      </c>
      <c r="L189" s="145" t="e">
        <f>K189+L187+L188</f>
        <v>#DIV/0!</v>
      </c>
      <c r="M189" s="145" t="e">
        <f t="shared" ref="M189" si="364">L189+M187+M188</f>
        <v>#DIV/0!</v>
      </c>
      <c r="N189" s="145" t="e">
        <f t="shared" ref="N189" si="365">M189+N187+N188</f>
        <v>#DIV/0!</v>
      </c>
      <c r="O189" s="145" t="e">
        <f t="shared" ref="O189" si="366">N189+O187+O188</f>
        <v>#DIV/0!</v>
      </c>
      <c r="P189" s="145" t="e">
        <f t="shared" ref="P189" si="367">O189+P187+P188</f>
        <v>#DIV/0!</v>
      </c>
      <c r="Q189" s="145" t="e">
        <f t="shared" ref="Q189" si="368">P189+Q187+Q188</f>
        <v>#DIV/0!</v>
      </c>
      <c r="R189" s="145" t="e">
        <f t="shared" ref="R189" si="369">Q189+R187+R188</f>
        <v>#DIV/0!</v>
      </c>
      <c r="S189" s="145" t="e">
        <f t="shared" ref="S189" si="370">R189+S187+S188</f>
        <v>#DIV/0!</v>
      </c>
      <c r="T189" s="145" t="e">
        <f t="shared" ref="T189" si="371">S189+T187+T188</f>
        <v>#DIV/0!</v>
      </c>
      <c r="U189" s="145" t="e">
        <f t="shared" ref="U189" si="372">T189+U187+U188</f>
        <v>#DIV/0!</v>
      </c>
      <c r="V189" s="145" t="e">
        <f t="shared" ref="V189" si="373">U189+V187+V188</f>
        <v>#DIV/0!</v>
      </c>
    </row>
    <row r="190" spans="2:22" ht="7.5" customHeight="1" x14ac:dyDescent="0.2">
      <c r="E190" s="143"/>
      <c r="F190" s="143"/>
      <c r="G190" s="143"/>
      <c r="H190" s="143"/>
      <c r="I190" s="143"/>
      <c r="J190" s="143"/>
      <c r="K190" s="143"/>
      <c r="L190" s="143"/>
      <c r="M190" s="144"/>
      <c r="N190" s="144"/>
      <c r="O190" s="144"/>
      <c r="P190" s="144"/>
      <c r="Q190" s="144"/>
      <c r="R190" s="144"/>
      <c r="S190" s="144"/>
      <c r="T190" s="144"/>
      <c r="U190" s="144"/>
      <c r="V190" s="144"/>
    </row>
    <row r="191" spans="2:22" x14ac:dyDescent="0.2">
      <c r="D191" s="65" t="s">
        <v>802</v>
      </c>
      <c r="E191" s="143">
        <f t="shared" ref="E191:V191" si="374">-E187/$M165</f>
        <v>0</v>
      </c>
      <c r="F191" s="143">
        <f t="shared" si="374"/>
        <v>0</v>
      </c>
      <c r="G191" s="143">
        <f t="shared" si="374"/>
        <v>0</v>
      </c>
      <c r="H191" s="143" t="e">
        <f t="shared" si="374"/>
        <v>#DIV/0!</v>
      </c>
      <c r="I191" s="143" t="e">
        <f t="shared" si="374"/>
        <v>#DIV/0!</v>
      </c>
      <c r="J191" s="143" t="e">
        <f t="shared" si="374"/>
        <v>#DIV/0!</v>
      </c>
      <c r="K191" s="143" t="e">
        <f t="shared" si="374"/>
        <v>#DIV/0!</v>
      </c>
      <c r="L191" s="143" t="e">
        <f t="shared" si="374"/>
        <v>#DIV/0!</v>
      </c>
      <c r="M191" s="143" t="e">
        <f t="shared" si="374"/>
        <v>#DIV/0!</v>
      </c>
      <c r="N191" s="143" t="e">
        <f t="shared" si="374"/>
        <v>#DIV/0!</v>
      </c>
      <c r="O191" s="143" t="e">
        <f t="shared" si="374"/>
        <v>#DIV/0!</v>
      </c>
      <c r="P191" s="143" t="e">
        <f t="shared" si="374"/>
        <v>#DIV/0!</v>
      </c>
      <c r="Q191" s="143" t="e">
        <f t="shared" si="374"/>
        <v>#DIV/0!</v>
      </c>
      <c r="R191" s="143" t="e">
        <f t="shared" si="374"/>
        <v>#DIV/0!</v>
      </c>
      <c r="S191" s="143" t="e">
        <f t="shared" si="374"/>
        <v>#DIV/0!</v>
      </c>
      <c r="T191" s="143" t="e">
        <f t="shared" si="374"/>
        <v>#DIV/0!</v>
      </c>
      <c r="U191" s="143" t="e">
        <f t="shared" si="374"/>
        <v>#DIV/0!</v>
      </c>
      <c r="V191" s="143" t="e">
        <f t="shared" si="374"/>
        <v>#DIV/0!</v>
      </c>
    </row>
    <row r="192" spans="2:22" x14ac:dyDescent="0.2">
      <c r="D192" s="65" t="s">
        <v>803</v>
      </c>
      <c r="E192" s="143">
        <v>0</v>
      </c>
      <c r="F192" s="143">
        <v>0</v>
      </c>
      <c r="G192" s="143">
        <v>0</v>
      </c>
      <c r="H192" s="143">
        <v>0</v>
      </c>
      <c r="I192" s="143">
        <v>0</v>
      </c>
      <c r="J192" s="143">
        <v>0</v>
      </c>
      <c r="K192" s="143">
        <v>0</v>
      </c>
      <c r="L192" s="143">
        <v>0</v>
      </c>
      <c r="M192" s="144" t="e">
        <f>-M188/$M165</f>
        <v>#DIV/0!</v>
      </c>
      <c r="N192" s="144" t="e">
        <f t="shared" ref="N192:V192" si="375">-N188/$M165</f>
        <v>#DIV/0!</v>
      </c>
      <c r="O192" s="144" t="e">
        <f t="shared" si="375"/>
        <v>#DIV/0!</v>
      </c>
      <c r="P192" s="144" t="e">
        <f t="shared" si="375"/>
        <v>#DIV/0!</v>
      </c>
      <c r="Q192" s="144" t="e">
        <f t="shared" si="375"/>
        <v>#DIV/0!</v>
      </c>
      <c r="R192" s="144" t="e">
        <f t="shared" si="375"/>
        <v>#DIV/0!</v>
      </c>
      <c r="S192" s="144" t="e">
        <f t="shared" si="375"/>
        <v>#DIV/0!</v>
      </c>
      <c r="T192" s="144" t="e">
        <f t="shared" si="375"/>
        <v>#DIV/0!</v>
      </c>
      <c r="U192" s="144" t="e">
        <f t="shared" si="375"/>
        <v>#DIV/0!</v>
      </c>
      <c r="V192" s="144" t="e">
        <f t="shared" si="375"/>
        <v>#DIV/0!</v>
      </c>
    </row>
    <row r="193" spans="2:22" x14ac:dyDescent="0.2">
      <c r="B193" s="138"/>
      <c r="C193" s="139" t="s">
        <v>804</v>
      </c>
      <c r="D193" s="140" t="s">
        <v>805</v>
      </c>
      <c r="E193" s="141">
        <f>E191</f>
        <v>0</v>
      </c>
      <c r="F193" s="141">
        <f>E193+F191+F192</f>
        <v>0</v>
      </c>
      <c r="G193" s="141">
        <f t="shared" ref="G193" si="376">F193+G191+G192</f>
        <v>0</v>
      </c>
      <c r="H193" s="141" t="e">
        <f t="shared" ref="H193" si="377">G193+H191+H192</f>
        <v>#DIV/0!</v>
      </c>
      <c r="I193" s="141" t="e">
        <f>H193+I191+I192</f>
        <v>#DIV/0!</v>
      </c>
      <c r="J193" s="141" t="e">
        <f t="shared" ref="J193" si="378">I193+J191+J192</f>
        <v>#DIV/0!</v>
      </c>
      <c r="K193" s="141" t="e">
        <f t="shared" ref="K193" si="379">J193+K191+K192</f>
        <v>#DIV/0!</v>
      </c>
      <c r="L193" s="141" t="e">
        <f>K193+L191+L192</f>
        <v>#DIV/0!</v>
      </c>
      <c r="M193" s="142" t="e">
        <f t="shared" ref="M193" si="380">L193+M191+M192</f>
        <v>#DIV/0!</v>
      </c>
      <c r="N193" s="142" t="e">
        <f t="shared" ref="N193" si="381">M193+N191+N192</f>
        <v>#DIV/0!</v>
      </c>
      <c r="O193" s="142" t="e">
        <f t="shared" ref="O193" si="382">N193+O191+O192</f>
        <v>#DIV/0!</v>
      </c>
      <c r="P193" s="142" t="e">
        <f t="shared" ref="P193" si="383">O193+P191+P192</f>
        <v>#DIV/0!</v>
      </c>
      <c r="Q193" s="142" t="e">
        <f>P193+Q191+Q192</f>
        <v>#DIV/0!</v>
      </c>
      <c r="R193" s="142" t="e">
        <f t="shared" ref="R193" si="384">Q193+R191+R192</f>
        <v>#DIV/0!</v>
      </c>
      <c r="S193" s="142" t="e">
        <f t="shared" ref="S193" si="385">R193+S191+S192</f>
        <v>#DIV/0!</v>
      </c>
      <c r="T193" s="142" t="e">
        <f t="shared" ref="T193" si="386">S193+T191+T192</f>
        <v>#DIV/0!</v>
      </c>
      <c r="U193" s="142" t="e">
        <f t="shared" ref="U193" si="387">T193+U191+U192</f>
        <v>#DIV/0!</v>
      </c>
      <c r="V193" s="142" t="e">
        <f t="shared" ref="V193" si="388">U193+V191+V192</f>
        <v>#DIV/0!</v>
      </c>
    </row>
    <row r="194" spans="2:22" ht="7.5" customHeight="1" x14ac:dyDescent="0.2">
      <c r="E194" s="143"/>
      <c r="F194" s="143"/>
      <c r="G194" s="143"/>
      <c r="H194" s="143"/>
      <c r="I194" s="143"/>
      <c r="J194" s="143"/>
      <c r="K194" s="143"/>
      <c r="L194" s="143"/>
      <c r="M194" s="144"/>
      <c r="N194" s="144"/>
      <c r="O194" s="144"/>
      <c r="P194" s="144"/>
      <c r="Q194" s="144"/>
      <c r="R194" s="144"/>
      <c r="S194" s="144"/>
      <c r="T194" s="144"/>
      <c r="U194" s="144"/>
      <c r="V194" s="144"/>
    </row>
    <row r="195" spans="2:22" x14ac:dyDescent="0.2">
      <c r="D195" s="61" t="s">
        <v>806</v>
      </c>
      <c r="E195" s="145">
        <f>E189+E193</f>
        <v>0</v>
      </c>
      <c r="F195" s="145">
        <f>E195+F187+F193</f>
        <v>0</v>
      </c>
      <c r="G195" s="145">
        <f t="shared" ref="G195:H195" si="389">F195+G187+G193</f>
        <v>0</v>
      </c>
      <c r="H195" s="145" t="e">
        <f t="shared" si="389"/>
        <v>#DIV/0!</v>
      </c>
      <c r="I195" s="145" t="e">
        <f>H195+I187+I193</f>
        <v>#DIV/0!</v>
      </c>
      <c r="J195" s="145" t="e">
        <f>I195+J187+J193</f>
        <v>#DIV/0!</v>
      </c>
      <c r="K195" s="145" t="e">
        <f t="shared" ref="K195:V195" si="390">J195+K187+K193</f>
        <v>#DIV/0!</v>
      </c>
      <c r="L195" s="145" t="e">
        <f t="shared" si="390"/>
        <v>#DIV/0!</v>
      </c>
      <c r="M195" s="145" t="e">
        <f t="shared" si="390"/>
        <v>#DIV/0!</v>
      </c>
      <c r="N195" s="145" t="e">
        <f t="shared" si="390"/>
        <v>#DIV/0!</v>
      </c>
      <c r="O195" s="145" t="e">
        <f t="shared" si="390"/>
        <v>#DIV/0!</v>
      </c>
      <c r="P195" s="145" t="e">
        <f t="shared" si="390"/>
        <v>#DIV/0!</v>
      </c>
      <c r="Q195" s="145" t="e">
        <f t="shared" si="390"/>
        <v>#DIV/0!</v>
      </c>
      <c r="R195" s="145" t="e">
        <f t="shared" si="390"/>
        <v>#DIV/0!</v>
      </c>
      <c r="S195" s="145" t="e">
        <f t="shared" si="390"/>
        <v>#DIV/0!</v>
      </c>
      <c r="T195" s="145" t="e">
        <f t="shared" si="390"/>
        <v>#DIV/0!</v>
      </c>
      <c r="U195" s="145" t="e">
        <f t="shared" si="390"/>
        <v>#DIV/0!</v>
      </c>
      <c r="V195" s="145" t="e">
        <f t="shared" si="390"/>
        <v>#DIV/0!</v>
      </c>
    </row>
    <row r="196" spans="2:22" s="136" customFormat="1" ht="7.5" customHeight="1" x14ac:dyDescent="0.2">
      <c r="E196" s="146"/>
      <c r="F196" s="146"/>
      <c r="G196" s="146"/>
      <c r="H196" s="146"/>
      <c r="I196" s="146"/>
      <c r="J196" s="146"/>
      <c r="K196" s="146"/>
      <c r="L196" s="146"/>
      <c r="M196" s="147"/>
      <c r="N196" s="147"/>
      <c r="O196" s="147"/>
      <c r="P196" s="147"/>
      <c r="Q196" s="147"/>
      <c r="R196" s="147"/>
      <c r="S196" s="147"/>
      <c r="T196" s="147"/>
      <c r="U196" s="147"/>
      <c r="V196" s="147"/>
    </row>
    <row r="197" spans="2:22" x14ac:dyDescent="0.2">
      <c r="D197" s="65" t="s">
        <v>789</v>
      </c>
      <c r="E197" s="144"/>
      <c r="F197" s="144"/>
      <c r="G197" s="144"/>
      <c r="H197" s="144"/>
      <c r="I197" s="144"/>
      <c r="J197" s="144"/>
      <c r="K197" s="144"/>
      <c r="L197" s="144" t="e">
        <f>M169</f>
        <v>#DIV/0!</v>
      </c>
      <c r="M197" s="144" t="e">
        <f>$L197*(1-M186)</f>
        <v>#DIV/0!</v>
      </c>
      <c r="N197" s="144" t="e">
        <f t="shared" ref="N197:V197" si="391">$L197*(1-N186)</f>
        <v>#DIV/0!</v>
      </c>
      <c r="O197" s="144" t="e">
        <f t="shared" si="391"/>
        <v>#DIV/0!</v>
      </c>
      <c r="P197" s="144" t="e">
        <f t="shared" si="391"/>
        <v>#DIV/0!</v>
      </c>
      <c r="Q197" s="144" t="e">
        <f t="shared" si="391"/>
        <v>#DIV/0!</v>
      </c>
      <c r="R197" s="144" t="e">
        <f t="shared" si="391"/>
        <v>#DIV/0!</v>
      </c>
      <c r="S197" s="144" t="e">
        <f t="shared" si="391"/>
        <v>#DIV/0!</v>
      </c>
      <c r="T197" s="144" t="e">
        <f t="shared" si="391"/>
        <v>#DIV/0!</v>
      </c>
      <c r="U197" s="144" t="e">
        <f t="shared" si="391"/>
        <v>#DIV/0!</v>
      </c>
      <c r="V197" s="144" t="e">
        <f t="shared" si="391"/>
        <v>#DIV/0!</v>
      </c>
    </row>
    <row r="200" spans="2:22" x14ac:dyDescent="0.2">
      <c r="B200" s="61" t="s">
        <v>814</v>
      </c>
    </row>
    <row r="201" spans="2:22" x14ac:dyDescent="0.2">
      <c r="D201" s="65" t="s">
        <v>636</v>
      </c>
      <c r="E201" s="87"/>
      <c r="F201" s="87"/>
      <c r="G201" s="87"/>
      <c r="H201" s="87"/>
      <c r="I201" s="87"/>
      <c r="J201" s="87"/>
      <c r="K201" s="87"/>
      <c r="L201" s="87"/>
      <c r="M201" s="75">
        <f>'Status Quo Estimation'!$L$27</f>
        <v>0</v>
      </c>
    </row>
    <row r="202" spans="2:22" x14ac:dyDescent="0.2">
      <c r="D202" s="65" t="s">
        <v>787</v>
      </c>
      <c r="E202" s="87"/>
      <c r="F202" s="87"/>
      <c r="G202" s="87"/>
      <c r="H202" s="87"/>
      <c r="I202" s="87"/>
      <c r="J202" s="87"/>
      <c r="K202" s="87"/>
      <c r="L202" s="87"/>
      <c r="M202" s="75">
        <f>'Status Quo Estimation'!$L$29</f>
        <v>0</v>
      </c>
    </row>
    <row r="203" spans="2:22" x14ac:dyDescent="0.2">
      <c r="D203" s="65" t="s">
        <v>788</v>
      </c>
      <c r="E203" s="87"/>
      <c r="F203" s="87"/>
      <c r="G203" s="87"/>
      <c r="H203" s="87"/>
      <c r="I203" s="87"/>
      <c r="J203" s="87"/>
      <c r="K203" s="87"/>
      <c r="L203" s="87"/>
      <c r="M203" s="75">
        <f>'1-Client Variables'!$D$24</f>
        <v>5</v>
      </c>
    </row>
    <row r="204" spans="2:22" x14ac:dyDescent="0.2">
      <c r="D204" s="65" t="s">
        <v>76</v>
      </c>
      <c r="E204" s="135"/>
      <c r="F204" s="135"/>
      <c r="G204" s="135"/>
      <c r="H204" s="135"/>
      <c r="I204" s="135"/>
      <c r="J204" s="135"/>
      <c r="K204" s="135"/>
      <c r="L204" s="135"/>
      <c r="M204" s="75">
        <f>'1-Client Variables'!$D$25</f>
        <v>5</v>
      </c>
    </row>
    <row r="205" spans="2:22" x14ac:dyDescent="0.2">
      <c r="D205" s="65" t="s">
        <v>77</v>
      </c>
      <c r="E205" s="135"/>
      <c r="F205" s="135"/>
      <c r="G205" s="135"/>
      <c r="H205" s="135"/>
      <c r="I205" s="135"/>
      <c r="J205" s="135"/>
      <c r="K205" s="135"/>
      <c r="L205" s="135"/>
      <c r="M205" s="69">
        <f>'1-Client Variables'!$D$26</f>
        <v>0.1</v>
      </c>
    </row>
    <row r="206" spans="2:22" x14ac:dyDescent="0.2">
      <c r="D206" s="136" t="s">
        <v>79</v>
      </c>
      <c r="E206" s="135"/>
      <c r="F206" s="135"/>
      <c r="G206" s="135"/>
      <c r="H206" s="135"/>
      <c r="I206" s="135"/>
      <c r="J206" s="135"/>
      <c r="K206" s="135"/>
      <c r="L206" s="135"/>
      <c r="M206" s="69">
        <f>'1-Client Variables'!$D$27</f>
        <v>0.1</v>
      </c>
      <c r="N206" s="65" t="s">
        <v>80</v>
      </c>
      <c r="O206" s="134"/>
    </row>
    <row r="207" spans="2:22" x14ac:dyDescent="0.2">
      <c r="D207" s="65" t="s">
        <v>808</v>
      </c>
      <c r="E207" s="87"/>
      <c r="F207" s="87"/>
      <c r="G207" s="87"/>
      <c r="H207" s="87"/>
      <c r="I207" s="87"/>
      <c r="J207" s="87"/>
      <c r="K207" s="87"/>
      <c r="L207" s="87"/>
      <c r="M207" s="75">
        <f>'Status Quo Estimation'!M107</f>
        <v>0</v>
      </c>
      <c r="N207" s="65" t="s">
        <v>790</v>
      </c>
    </row>
    <row r="209" spans="2:22" x14ac:dyDescent="0.2">
      <c r="D209" s="80" t="s">
        <v>264</v>
      </c>
      <c r="E209" s="137" t="s">
        <v>791</v>
      </c>
      <c r="F209" s="137" t="s">
        <v>792</v>
      </c>
      <c r="G209" s="137" t="s">
        <v>793</v>
      </c>
      <c r="H209" s="137" t="s">
        <v>794</v>
      </c>
      <c r="I209" s="137" t="s">
        <v>795</v>
      </c>
      <c r="J209" s="137" t="s">
        <v>796</v>
      </c>
      <c r="K209" s="137" t="s">
        <v>797</v>
      </c>
      <c r="L209" s="137" t="s">
        <v>480</v>
      </c>
      <c r="M209" s="63">
        <v>1</v>
      </c>
      <c r="N209" s="63">
        <f>M209+1</f>
        <v>2</v>
      </c>
      <c r="O209" s="63">
        <f t="shared" ref="O209" si="392">N209+1</f>
        <v>3</v>
      </c>
      <c r="P209" s="63">
        <f t="shared" ref="P209" si="393">O209+1</f>
        <v>4</v>
      </c>
      <c r="Q209" s="63">
        <f>P209+1</f>
        <v>5</v>
      </c>
      <c r="R209" s="63">
        <f>Q209+1</f>
        <v>6</v>
      </c>
      <c r="S209" s="63">
        <f>R209+1</f>
        <v>7</v>
      </c>
      <c r="T209" s="63">
        <f t="shared" ref="T209" si="394">S209+1</f>
        <v>8</v>
      </c>
      <c r="U209" s="63">
        <f t="shared" ref="U209" si="395">T209+1</f>
        <v>9</v>
      </c>
      <c r="V209" s="63">
        <f t="shared" ref="V209" si="396">U209+1</f>
        <v>10</v>
      </c>
    </row>
    <row r="210" spans="2:22" x14ac:dyDescent="0.2">
      <c r="B210" s="138"/>
      <c r="C210" s="139" t="s">
        <v>798</v>
      </c>
      <c r="D210" s="140" t="s">
        <v>799</v>
      </c>
      <c r="E210" s="141">
        <f>IF($M203&gt;7,$M201/$M203,0)</f>
        <v>0</v>
      </c>
      <c r="F210" s="141">
        <f>IF($M203&gt;6,$M201/$M203,0)</f>
        <v>0</v>
      </c>
      <c r="G210" s="141">
        <f>IF($M203&gt;5,$M201/$M203,0)</f>
        <v>0</v>
      </c>
      <c r="H210" s="141">
        <f>IF($M203&gt;4,$M201/$M203,0)</f>
        <v>0</v>
      </c>
      <c r="I210" s="141">
        <f>IF($M203&gt;3,$M201/$M203,0)</f>
        <v>0</v>
      </c>
      <c r="J210" s="141">
        <f>IF($M203&gt;2,$M201/$M203,0)</f>
        <v>0</v>
      </c>
      <c r="K210" s="141">
        <f>IF($M203&gt;1,$M201/$M203,0)</f>
        <v>0</v>
      </c>
      <c r="L210" s="141">
        <f>$M201/$M203</f>
        <v>0</v>
      </c>
      <c r="M210" s="142">
        <f>MAX(0,M202*(1+M205)*(M203/M204))</f>
        <v>0</v>
      </c>
      <c r="N210" s="142">
        <f>MAX(0,M210*(1+$M205))</f>
        <v>0</v>
      </c>
      <c r="O210" s="142">
        <f t="shared" ref="O210:V210" si="397">MAX(0,N210*(1+$M205))</f>
        <v>0</v>
      </c>
      <c r="P210" s="142">
        <f t="shared" si="397"/>
        <v>0</v>
      </c>
      <c r="Q210" s="142">
        <f t="shared" si="397"/>
        <v>0</v>
      </c>
      <c r="R210" s="142">
        <f t="shared" si="397"/>
        <v>0</v>
      </c>
      <c r="S210" s="142">
        <f t="shared" si="397"/>
        <v>0</v>
      </c>
      <c r="T210" s="142">
        <f t="shared" si="397"/>
        <v>0</v>
      </c>
      <c r="U210" s="142">
        <f t="shared" si="397"/>
        <v>0</v>
      </c>
      <c r="V210" s="142">
        <f t="shared" si="397"/>
        <v>0</v>
      </c>
    </row>
    <row r="211" spans="2:22" x14ac:dyDescent="0.2">
      <c r="D211" s="65" t="s">
        <v>800</v>
      </c>
      <c r="E211" s="143">
        <v>0</v>
      </c>
      <c r="F211" s="143">
        <v>0</v>
      </c>
      <c r="G211" s="143">
        <v>0</v>
      </c>
      <c r="H211" s="143">
        <v>0</v>
      </c>
      <c r="I211" s="143">
        <v>0</v>
      </c>
      <c r="J211" s="143">
        <v>0</v>
      </c>
      <c r="K211" s="143">
        <v>0</v>
      </c>
      <c r="L211" s="143">
        <v>0</v>
      </c>
      <c r="M211" s="144">
        <f t="shared" ref="M211:V211" si="398">IF($M203=7,-F210,IF($M203=6,-G210,IF($M203=5,-H210,IF($M203=4,-I210,IF($M203=3,-J210,IF($M203=2,-K210,IF($M203=1,-L210,"Error Dep Life")))))))</f>
        <v>0</v>
      </c>
      <c r="N211" s="144">
        <f t="shared" si="398"/>
        <v>0</v>
      </c>
      <c r="O211" s="144">
        <f t="shared" si="398"/>
        <v>0</v>
      </c>
      <c r="P211" s="144">
        <f t="shared" si="398"/>
        <v>0</v>
      </c>
      <c r="Q211" s="144">
        <f t="shared" si="398"/>
        <v>0</v>
      </c>
      <c r="R211" s="144">
        <f t="shared" si="398"/>
        <v>0</v>
      </c>
      <c r="S211" s="144">
        <f t="shared" si="398"/>
        <v>0</v>
      </c>
      <c r="T211" s="144">
        <f t="shared" si="398"/>
        <v>0</v>
      </c>
      <c r="U211" s="144">
        <f t="shared" si="398"/>
        <v>0</v>
      </c>
      <c r="V211" s="144">
        <f t="shared" si="398"/>
        <v>0</v>
      </c>
    </row>
    <row r="212" spans="2:22" x14ac:dyDescent="0.2">
      <c r="D212" s="61" t="s">
        <v>801</v>
      </c>
      <c r="E212" s="145">
        <f>E210</f>
        <v>0</v>
      </c>
      <c r="F212" s="145">
        <f>E212+F210+F211</f>
        <v>0</v>
      </c>
      <c r="G212" s="145">
        <f t="shared" ref="G212" si="399">F212+G210+G211</f>
        <v>0</v>
      </c>
      <c r="H212" s="145">
        <f t="shared" ref="H212" si="400">G212+H210+H211</f>
        <v>0</v>
      </c>
      <c r="I212" s="145">
        <f t="shared" ref="I212" si="401">H212+I210+I211</f>
        <v>0</v>
      </c>
      <c r="J212" s="145">
        <f t="shared" ref="J212" si="402">I212+J210+J211</f>
        <v>0</v>
      </c>
      <c r="K212" s="145">
        <f t="shared" ref="K212" si="403">J212+K210+K211</f>
        <v>0</v>
      </c>
      <c r="L212" s="145">
        <f>K212+L210+L211</f>
        <v>0</v>
      </c>
      <c r="M212" s="145">
        <f>L212+M210+M211</f>
        <v>0</v>
      </c>
      <c r="N212" s="145">
        <f t="shared" ref="N212" si="404">M212+N210+N211</f>
        <v>0</v>
      </c>
      <c r="O212" s="145">
        <f t="shared" ref="O212" si="405">N212+O210+O211</f>
        <v>0</v>
      </c>
      <c r="P212" s="145">
        <f t="shared" ref="P212" si="406">O212+P210+P211</f>
        <v>0</v>
      </c>
      <c r="Q212" s="145">
        <f t="shared" ref="Q212" si="407">P212+Q210+Q211</f>
        <v>0</v>
      </c>
      <c r="R212" s="145">
        <f t="shared" ref="R212" si="408">Q212+R210+R211</f>
        <v>0</v>
      </c>
      <c r="S212" s="145">
        <f t="shared" ref="S212" si="409">R212+S210+S211</f>
        <v>0</v>
      </c>
      <c r="T212" s="145">
        <f t="shared" ref="T212" si="410">S212+T210+T211</f>
        <v>0</v>
      </c>
      <c r="U212" s="145">
        <f t="shared" ref="U212" si="411">T212+U210+U211</f>
        <v>0</v>
      </c>
      <c r="V212" s="145">
        <f t="shared" ref="V212" si="412">U212+V210+V211</f>
        <v>0</v>
      </c>
    </row>
    <row r="213" spans="2:22" ht="7.5" customHeight="1" x14ac:dyDescent="0.2">
      <c r="E213" s="143"/>
      <c r="F213" s="143"/>
      <c r="G213" s="143"/>
      <c r="H213" s="143"/>
      <c r="I213" s="143"/>
      <c r="J213" s="143"/>
      <c r="K213" s="143"/>
      <c r="L213" s="143"/>
      <c r="M213" s="144"/>
      <c r="N213" s="144"/>
      <c r="O213" s="144"/>
      <c r="P213" s="144"/>
      <c r="Q213" s="144"/>
      <c r="R213" s="144"/>
      <c r="S213" s="144"/>
      <c r="T213" s="144"/>
      <c r="U213" s="144"/>
      <c r="V213" s="144"/>
    </row>
    <row r="214" spans="2:22" x14ac:dyDescent="0.2">
      <c r="D214" s="65" t="s">
        <v>802</v>
      </c>
      <c r="E214" s="143">
        <f t="shared" ref="E214:V214" si="413">-E210/$M203</f>
        <v>0</v>
      </c>
      <c r="F214" s="143">
        <f t="shared" si="413"/>
        <v>0</v>
      </c>
      <c r="G214" s="143">
        <f t="shared" si="413"/>
        <v>0</v>
      </c>
      <c r="H214" s="143">
        <f t="shared" si="413"/>
        <v>0</v>
      </c>
      <c r="I214" s="143">
        <f t="shared" si="413"/>
        <v>0</v>
      </c>
      <c r="J214" s="143">
        <f t="shared" si="413"/>
        <v>0</v>
      </c>
      <c r="K214" s="143">
        <f t="shared" si="413"/>
        <v>0</v>
      </c>
      <c r="L214" s="143">
        <f t="shared" si="413"/>
        <v>0</v>
      </c>
      <c r="M214" s="144">
        <f t="shared" si="413"/>
        <v>0</v>
      </c>
      <c r="N214" s="144">
        <f t="shared" si="413"/>
        <v>0</v>
      </c>
      <c r="O214" s="144">
        <f t="shared" si="413"/>
        <v>0</v>
      </c>
      <c r="P214" s="144">
        <f t="shared" si="413"/>
        <v>0</v>
      </c>
      <c r="Q214" s="144">
        <f t="shared" si="413"/>
        <v>0</v>
      </c>
      <c r="R214" s="144">
        <f t="shared" si="413"/>
        <v>0</v>
      </c>
      <c r="S214" s="144">
        <f t="shared" si="413"/>
        <v>0</v>
      </c>
      <c r="T214" s="144">
        <f t="shared" si="413"/>
        <v>0</v>
      </c>
      <c r="U214" s="144">
        <f t="shared" si="413"/>
        <v>0</v>
      </c>
      <c r="V214" s="144">
        <f t="shared" si="413"/>
        <v>0</v>
      </c>
    </row>
    <row r="215" spans="2:22" x14ac:dyDescent="0.2">
      <c r="D215" s="65" t="s">
        <v>803</v>
      </c>
      <c r="E215" s="143">
        <v>0</v>
      </c>
      <c r="F215" s="143">
        <v>0</v>
      </c>
      <c r="G215" s="143">
        <v>0</v>
      </c>
      <c r="H215" s="143">
        <v>0</v>
      </c>
      <c r="I215" s="143">
        <v>0</v>
      </c>
      <c r="J215" s="143">
        <v>0</v>
      </c>
      <c r="K215" s="143">
        <v>0</v>
      </c>
      <c r="L215" s="143">
        <v>0</v>
      </c>
      <c r="M215" s="144">
        <f>-M211/$M203</f>
        <v>0</v>
      </c>
      <c r="N215" s="144">
        <f>-N211/$M203</f>
        <v>0</v>
      </c>
      <c r="O215" s="144">
        <f t="shared" ref="O215:V215" si="414">-O211/$M203</f>
        <v>0</v>
      </c>
      <c r="P215" s="144">
        <f t="shared" si="414"/>
        <v>0</v>
      </c>
      <c r="Q215" s="144">
        <f t="shared" si="414"/>
        <v>0</v>
      </c>
      <c r="R215" s="144">
        <f t="shared" si="414"/>
        <v>0</v>
      </c>
      <c r="S215" s="144">
        <f t="shared" si="414"/>
        <v>0</v>
      </c>
      <c r="T215" s="144">
        <f t="shared" si="414"/>
        <v>0</v>
      </c>
      <c r="U215" s="144">
        <f t="shared" si="414"/>
        <v>0</v>
      </c>
      <c r="V215" s="144">
        <f t="shared" si="414"/>
        <v>0</v>
      </c>
    </row>
    <row r="216" spans="2:22" x14ac:dyDescent="0.2">
      <c r="B216" s="138"/>
      <c r="C216" s="139" t="s">
        <v>804</v>
      </c>
      <c r="D216" s="140" t="s">
        <v>805</v>
      </c>
      <c r="E216" s="141">
        <f>E214</f>
        <v>0</v>
      </c>
      <c r="F216" s="141">
        <f>E216+F214+F215</f>
        <v>0</v>
      </c>
      <c r="G216" s="141">
        <f t="shared" ref="G216" si="415">F216+G214+G215</f>
        <v>0</v>
      </c>
      <c r="H216" s="141">
        <f t="shared" ref="H216" si="416">G216+H214+H215</f>
        <v>0</v>
      </c>
      <c r="I216" s="141">
        <f>H216+I214+I215</f>
        <v>0</v>
      </c>
      <c r="J216" s="141">
        <f t="shared" ref="J216" si="417">I216+J214+J215</f>
        <v>0</v>
      </c>
      <c r="K216" s="141">
        <f t="shared" ref="K216" si="418">J216+K214+K215</f>
        <v>0</v>
      </c>
      <c r="L216" s="141">
        <f>K216+L214+L215</f>
        <v>0</v>
      </c>
      <c r="M216" s="142">
        <f>L216+M214+M215</f>
        <v>0</v>
      </c>
      <c r="N216" s="142">
        <f t="shared" ref="N216" si="419">M216+N214+N215</f>
        <v>0</v>
      </c>
      <c r="O216" s="142">
        <f t="shared" ref="O216" si="420">N216+O214+O215</f>
        <v>0</v>
      </c>
      <c r="P216" s="142">
        <f t="shared" ref="P216" si="421">O216+P214+P215</f>
        <v>0</v>
      </c>
      <c r="Q216" s="142">
        <f t="shared" ref="Q216" si="422">P216+Q214+Q215</f>
        <v>0</v>
      </c>
      <c r="R216" s="142">
        <f t="shared" ref="R216" si="423">Q216+R214+R215</f>
        <v>0</v>
      </c>
      <c r="S216" s="142">
        <f t="shared" ref="S216" si="424">R216+S214+S215</f>
        <v>0</v>
      </c>
      <c r="T216" s="142">
        <f t="shared" ref="T216" si="425">S216+T214+T215</f>
        <v>0</v>
      </c>
      <c r="U216" s="142">
        <f t="shared" ref="U216" si="426">T216+U214+U215</f>
        <v>0</v>
      </c>
      <c r="V216" s="142">
        <f t="shared" ref="V216" si="427">U216+V214+V215</f>
        <v>0</v>
      </c>
    </row>
    <row r="217" spans="2:22" ht="7.5" customHeight="1" x14ac:dyDescent="0.2">
      <c r="E217" s="143"/>
      <c r="F217" s="143"/>
      <c r="G217" s="143"/>
      <c r="H217" s="143"/>
      <c r="I217" s="143"/>
      <c r="J217" s="143"/>
      <c r="K217" s="143"/>
      <c r="L217" s="143"/>
      <c r="M217" s="144"/>
      <c r="N217" s="144"/>
      <c r="O217" s="144"/>
      <c r="P217" s="144"/>
      <c r="Q217" s="144"/>
      <c r="R217" s="144"/>
      <c r="S217" s="144"/>
      <c r="T217" s="144"/>
      <c r="U217" s="144"/>
      <c r="V217" s="144"/>
    </row>
    <row r="218" spans="2:22" x14ac:dyDescent="0.2">
      <c r="D218" s="61" t="s">
        <v>806</v>
      </c>
      <c r="E218" s="145">
        <f>E212+E216</f>
        <v>0</v>
      </c>
      <c r="F218" s="145">
        <f>E218+F210+F216</f>
        <v>0</v>
      </c>
      <c r="G218" s="145">
        <f t="shared" ref="G218:H218" si="428">F218+G210+G216</f>
        <v>0</v>
      </c>
      <c r="H218" s="145">
        <f t="shared" si="428"/>
        <v>0</v>
      </c>
      <c r="I218" s="145">
        <f>H218+I210+I216</f>
        <v>0</v>
      </c>
      <c r="J218" s="145">
        <f>I218+J210+J216</f>
        <v>0</v>
      </c>
      <c r="K218" s="145">
        <f t="shared" ref="K218:L218" si="429">J218+K210+K216</f>
        <v>0</v>
      </c>
      <c r="L218" s="145">
        <f t="shared" si="429"/>
        <v>0</v>
      </c>
      <c r="M218" s="145">
        <f>L218+M210+M216</f>
        <v>0</v>
      </c>
      <c r="N218" s="145">
        <f t="shared" ref="N218:V218" si="430">M218+N210+N216</f>
        <v>0</v>
      </c>
      <c r="O218" s="145">
        <f t="shared" si="430"/>
        <v>0</v>
      </c>
      <c r="P218" s="145">
        <f t="shared" si="430"/>
        <v>0</v>
      </c>
      <c r="Q218" s="145">
        <f t="shared" si="430"/>
        <v>0</v>
      </c>
      <c r="R218" s="145">
        <f t="shared" si="430"/>
        <v>0</v>
      </c>
      <c r="S218" s="145">
        <f t="shared" si="430"/>
        <v>0</v>
      </c>
      <c r="T218" s="145">
        <f t="shared" si="430"/>
        <v>0</v>
      </c>
      <c r="U218" s="145">
        <f t="shared" si="430"/>
        <v>0</v>
      </c>
      <c r="V218" s="145">
        <f t="shared" si="430"/>
        <v>0</v>
      </c>
    </row>
    <row r="219" spans="2:22" s="136" customFormat="1" ht="7.5" customHeight="1" x14ac:dyDescent="0.2">
      <c r="E219" s="146"/>
      <c r="F219" s="146"/>
      <c r="G219" s="146"/>
      <c r="H219" s="146"/>
      <c r="I219" s="146"/>
      <c r="J219" s="146"/>
      <c r="K219" s="146"/>
      <c r="L219" s="146"/>
      <c r="M219" s="147"/>
      <c r="N219" s="147"/>
      <c r="O219" s="147"/>
      <c r="P219" s="147"/>
      <c r="Q219" s="147"/>
      <c r="R219" s="147"/>
      <c r="S219" s="147"/>
      <c r="T219" s="147"/>
      <c r="U219" s="147"/>
      <c r="V219" s="147"/>
    </row>
    <row r="220" spans="2:22" x14ac:dyDescent="0.2">
      <c r="D220" s="65" t="s">
        <v>808</v>
      </c>
      <c r="E220" s="144"/>
      <c r="F220" s="144"/>
      <c r="G220" s="144"/>
      <c r="H220" s="144"/>
      <c r="I220" s="144"/>
      <c r="J220" s="144"/>
      <c r="K220" s="144"/>
      <c r="L220" s="144">
        <f>M207</f>
        <v>0</v>
      </c>
      <c r="M220" s="144">
        <f t="shared" ref="M220:V220" si="431">L220*(1+$M205)</f>
        <v>0</v>
      </c>
      <c r="N220" s="144">
        <f t="shared" si="431"/>
        <v>0</v>
      </c>
      <c r="O220" s="144">
        <f t="shared" si="431"/>
        <v>0</v>
      </c>
      <c r="P220" s="144">
        <f t="shared" si="431"/>
        <v>0</v>
      </c>
      <c r="Q220" s="144">
        <f t="shared" si="431"/>
        <v>0</v>
      </c>
      <c r="R220" s="144">
        <f t="shared" si="431"/>
        <v>0</v>
      </c>
      <c r="S220" s="144">
        <f t="shared" si="431"/>
        <v>0</v>
      </c>
      <c r="T220" s="144">
        <f t="shared" si="431"/>
        <v>0</v>
      </c>
      <c r="U220" s="144">
        <f t="shared" si="431"/>
        <v>0</v>
      </c>
      <c r="V220" s="144">
        <f t="shared" si="431"/>
        <v>0</v>
      </c>
    </row>
    <row r="223" spans="2:22" x14ac:dyDescent="0.2">
      <c r="D223" s="80" t="s">
        <v>265</v>
      </c>
      <c r="E223" s="137" t="s">
        <v>791</v>
      </c>
      <c r="F223" s="137" t="s">
        <v>792</v>
      </c>
      <c r="G223" s="137" t="s">
        <v>793</v>
      </c>
      <c r="H223" s="137" t="s">
        <v>794</v>
      </c>
      <c r="I223" s="137" t="s">
        <v>795</v>
      </c>
      <c r="J223" s="137" t="s">
        <v>796</v>
      </c>
      <c r="K223" s="137" t="s">
        <v>797</v>
      </c>
      <c r="L223" s="137" t="s">
        <v>480</v>
      </c>
      <c r="M223" s="63">
        <v>1</v>
      </c>
      <c r="N223" s="63">
        <f>M223+1</f>
        <v>2</v>
      </c>
      <c r="O223" s="63">
        <f t="shared" ref="O223" si="432">N223+1</f>
        <v>3</v>
      </c>
      <c r="P223" s="63">
        <f t="shared" ref="P223" si="433">O223+1</f>
        <v>4</v>
      </c>
      <c r="Q223" s="63">
        <f>P223+1</f>
        <v>5</v>
      </c>
      <c r="R223" s="63">
        <f>Q223+1</f>
        <v>6</v>
      </c>
      <c r="S223" s="63">
        <f>R223+1</f>
        <v>7</v>
      </c>
      <c r="T223" s="63">
        <f t="shared" ref="T223" si="434">S223+1</f>
        <v>8</v>
      </c>
      <c r="U223" s="63">
        <f t="shared" ref="U223" si="435">T223+1</f>
        <v>9</v>
      </c>
      <c r="V223" s="63">
        <f t="shared" ref="V223" si="436">U223+1</f>
        <v>10</v>
      </c>
    </row>
    <row r="224" spans="2:22" x14ac:dyDescent="0.2">
      <c r="D224" s="65" t="s">
        <v>734</v>
      </c>
      <c r="E224" s="69"/>
      <c r="F224" s="69"/>
      <c r="G224" s="69"/>
      <c r="H224" s="69"/>
      <c r="I224" s="69"/>
      <c r="J224" s="69"/>
      <c r="K224" s="69"/>
      <c r="L224" s="69"/>
      <c r="M224" s="69">
        <f>'2c-Consumption Plan Wk3'!E$17</f>
        <v>0</v>
      </c>
      <c r="N224" s="69">
        <f>'2c-Consumption Plan Wk3'!F$17</f>
        <v>0</v>
      </c>
      <c r="O224" s="69">
        <f>'2c-Consumption Plan Wk3'!G$17</f>
        <v>0</v>
      </c>
      <c r="P224" s="69">
        <f>'2c-Consumption Plan Wk3'!H$17</f>
        <v>0</v>
      </c>
      <c r="Q224" s="69">
        <f>'2c-Consumption Plan Wk3'!I$17</f>
        <v>0</v>
      </c>
      <c r="R224" s="69">
        <f>'2c-Consumption Plan Wk3'!J$17</f>
        <v>0</v>
      </c>
      <c r="S224" s="69">
        <f>'2c-Consumption Plan Wk3'!K$17</f>
        <v>0</v>
      </c>
      <c r="T224" s="69">
        <f>'2c-Consumption Plan Wk3'!L$17</f>
        <v>0</v>
      </c>
      <c r="U224" s="69">
        <f>'2c-Consumption Plan Wk3'!M$17</f>
        <v>0</v>
      </c>
      <c r="V224" s="69">
        <f>'2c-Consumption Plan Wk3'!N$17</f>
        <v>0</v>
      </c>
    </row>
    <row r="225" spans="2:22" x14ac:dyDescent="0.2">
      <c r="B225" s="138"/>
      <c r="C225" s="139" t="s">
        <v>798</v>
      </c>
      <c r="D225" s="140" t="s">
        <v>799</v>
      </c>
      <c r="E225" s="141">
        <f>IF($M203&gt;7,$M201/$M203,0)</f>
        <v>0</v>
      </c>
      <c r="F225" s="141">
        <f>IF($M203&gt;6,$M201/$M203,0)</f>
        <v>0</v>
      </c>
      <c r="G225" s="141">
        <f>IF($M203&gt;5,$M201/$M203,0)</f>
        <v>0</v>
      </c>
      <c r="H225" s="141">
        <f>IF($M203&gt;4,$M201/$M203,0)</f>
        <v>0</v>
      </c>
      <c r="I225" s="141">
        <f>IF($M203&gt;3,$M201/$M203,0)</f>
        <v>0</v>
      </c>
      <c r="J225" s="141">
        <f>IF($M203&gt;2,$M201/$M203,0)</f>
        <v>0</v>
      </c>
      <c r="K225" s="141">
        <f>IF($M203&gt;1,$M201/$M203,0)</f>
        <v>0</v>
      </c>
      <c r="L225" s="141">
        <f>$M201/$M203</f>
        <v>0</v>
      </c>
      <c r="M225" s="142">
        <f>MAX(0,IF(L227&lt;M201,(M201-L227)*(1-M224)*M206,M202*(1-M224)*M206))</f>
        <v>0</v>
      </c>
      <c r="N225" s="142">
        <f>$M202*(1-N224)*$M206</f>
        <v>0</v>
      </c>
      <c r="O225" s="142">
        <f t="shared" ref="O225" si="437">$M202*(1-O224)*$M206</f>
        <v>0</v>
      </c>
      <c r="P225" s="142">
        <f t="shared" ref="P225" si="438">$M202*(1-P224)*$M206</f>
        <v>0</v>
      </c>
      <c r="Q225" s="142">
        <f t="shared" ref="Q225" si="439">$M202*(1-Q224)*$M206</f>
        <v>0</v>
      </c>
      <c r="R225" s="142">
        <f t="shared" ref="R225" si="440">$M202*(1-R224)*$M206</f>
        <v>0</v>
      </c>
      <c r="S225" s="142">
        <f t="shared" ref="S225" si="441">$M202*(1-S224)*$M206</f>
        <v>0</v>
      </c>
      <c r="T225" s="142">
        <f t="shared" ref="T225" si="442">$M202*(1-T224)*$M206</f>
        <v>0</v>
      </c>
      <c r="U225" s="142">
        <f t="shared" ref="U225" si="443">$M202*(1-U224)*$M206</f>
        <v>0</v>
      </c>
      <c r="V225" s="142">
        <f t="shared" ref="V225" si="444">$M202*(1-V224)*$M206</f>
        <v>0</v>
      </c>
    </row>
    <row r="226" spans="2:22" x14ac:dyDescent="0.2">
      <c r="D226" s="65" t="s">
        <v>800</v>
      </c>
      <c r="E226" s="143">
        <v>0</v>
      </c>
      <c r="F226" s="143">
        <v>0</v>
      </c>
      <c r="G226" s="143">
        <v>0</v>
      </c>
      <c r="H226" s="143">
        <v>0</v>
      </c>
      <c r="I226" s="143">
        <v>0</v>
      </c>
      <c r="J226" s="143">
        <v>0</v>
      </c>
      <c r="K226" s="143">
        <v>0</v>
      </c>
      <c r="L226" s="143">
        <v>0</v>
      </c>
      <c r="M226" s="144">
        <f t="shared" ref="M226:V226" si="445">IF($M203=7,-F225,IF($M203=6,-G225,IF($M203=5,-H225,IF($M203=4,-I225,IF($M203=3,-J225,IF($M203=2,-K225,IF($M203=1,-L225,"Error Dep Life")))))))</f>
        <v>0</v>
      </c>
      <c r="N226" s="144">
        <f t="shared" si="445"/>
        <v>0</v>
      </c>
      <c r="O226" s="144">
        <f t="shared" si="445"/>
        <v>0</v>
      </c>
      <c r="P226" s="144">
        <f t="shared" si="445"/>
        <v>0</v>
      </c>
      <c r="Q226" s="144">
        <f t="shared" si="445"/>
        <v>0</v>
      </c>
      <c r="R226" s="144">
        <f t="shared" si="445"/>
        <v>0</v>
      </c>
      <c r="S226" s="144">
        <f t="shared" si="445"/>
        <v>0</v>
      </c>
      <c r="T226" s="144">
        <f t="shared" si="445"/>
        <v>0</v>
      </c>
      <c r="U226" s="144">
        <f t="shared" si="445"/>
        <v>0</v>
      </c>
      <c r="V226" s="144">
        <f t="shared" si="445"/>
        <v>0</v>
      </c>
    </row>
    <row r="227" spans="2:22" x14ac:dyDescent="0.2">
      <c r="D227" s="61" t="s">
        <v>801</v>
      </c>
      <c r="E227" s="145">
        <f>E225</f>
        <v>0</v>
      </c>
      <c r="F227" s="145">
        <f>E227+F225+F226</f>
        <v>0</v>
      </c>
      <c r="G227" s="145">
        <f t="shared" ref="G227" si="446">F227+G225+G226</f>
        <v>0</v>
      </c>
      <c r="H227" s="145">
        <f t="shared" ref="H227" si="447">G227+H225+H226</f>
        <v>0</v>
      </c>
      <c r="I227" s="145">
        <f t="shared" ref="I227" si="448">H227+I225+I226</f>
        <v>0</v>
      </c>
      <c r="J227" s="145">
        <f t="shared" ref="J227" si="449">I227+J225+J226</f>
        <v>0</v>
      </c>
      <c r="K227" s="145">
        <f t="shared" ref="K227" si="450">J227+K225+K226</f>
        <v>0</v>
      </c>
      <c r="L227" s="145">
        <f>K227+L225+L226</f>
        <v>0</v>
      </c>
      <c r="M227" s="145">
        <f t="shared" ref="M227" si="451">L227+M225+M226</f>
        <v>0</v>
      </c>
      <c r="N227" s="145">
        <f t="shared" ref="N227" si="452">M227+N225+N226</f>
        <v>0</v>
      </c>
      <c r="O227" s="145">
        <f t="shared" ref="O227" si="453">N227+O225+O226</f>
        <v>0</v>
      </c>
      <c r="P227" s="145">
        <f t="shared" ref="P227" si="454">O227+P225+P226</f>
        <v>0</v>
      </c>
      <c r="Q227" s="145">
        <f t="shared" ref="Q227" si="455">P227+Q225+Q226</f>
        <v>0</v>
      </c>
      <c r="R227" s="145">
        <f t="shared" ref="R227" si="456">Q227+R225+R226</f>
        <v>0</v>
      </c>
      <c r="S227" s="145">
        <f t="shared" ref="S227" si="457">R227+S225+S226</f>
        <v>0</v>
      </c>
      <c r="T227" s="145">
        <f t="shared" ref="T227" si="458">S227+T225+T226</f>
        <v>0</v>
      </c>
      <c r="U227" s="145">
        <f t="shared" ref="U227" si="459">T227+U225+U226</f>
        <v>0</v>
      </c>
      <c r="V227" s="145">
        <f t="shared" ref="V227" si="460">U227+V225+V226</f>
        <v>0</v>
      </c>
    </row>
    <row r="228" spans="2:22" ht="7.5" customHeight="1" x14ac:dyDescent="0.2">
      <c r="E228" s="143"/>
      <c r="F228" s="143"/>
      <c r="G228" s="143"/>
      <c r="H228" s="143"/>
      <c r="I228" s="143"/>
      <c r="J228" s="143"/>
      <c r="K228" s="143"/>
      <c r="L228" s="143"/>
      <c r="M228" s="144"/>
      <c r="N228" s="144"/>
      <c r="O228" s="144"/>
      <c r="P228" s="144"/>
      <c r="Q228" s="144"/>
      <c r="R228" s="144"/>
      <c r="S228" s="144"/>
      <c r="T228" s="144"/>
      <c r="U228" s="144"/>
      <c r="V228" s="144"/>
    </row>
    <row r="229" spans="2:22" x14ac:dyDescent="0.2">
      <c r="D229" s="65" t="s">
        <v>802</v>
      </c>
      <c r="E229" s="143">
        <f t="shared" ref="E229:V229" si="461">-E225/$M203</f>
        <v>0</v>
      </c>
      <c r="F229" s="143">
        <f t="shared" si="461"/>
        <v>0</v>
      </c>
      <c r="G229" s="143">
        <f t="shared" si="461"/>
        <v>0</v>
      </c>
      <c r="H229" s="143">
        <f t="shared" si="461"/>
        <v>0</v>
      </c>
      <c r="I229" s="143">
        <f t="shared" si="461"/>
        <v>0</v>
      </c>
      <c r="J229" s="143">
        <f t="shared" si="461"/>
        <v>0</v>
      </c>
      <c r="K229" s="143">
        <f t="shared" si="461"/>
        <v>0</v>
      </c>
      <c r="L229" s="143">
        <f t="shared" si="461"/>
        <v>0</v>
      </c>
      <c r="M229" s="143">
        <f t="shared" si="461"/>
        <v>0</v>
      </c>
      <c r="N229" s="143">
        <f t="shared" si="461"/>
        <v>0</v>
      </c>
      <c r="O229" s="143">
        <f t="shared" si="461"/>
        <v>0</v>
      </c>
      <c r="P229" s="143">
        <f t="shared" si="461"/>
        <v>0</v>
      </c>
      <c r="Q229" s="143">
        <f t="shared" si="461"/>
        <v>0</v>
      </c>
      <c r="R229" s="143">
        <f t="shared" si="461"/>
        <v>0</v>
      </c>
      <c r="S229" s="143">
        <f t="shared" si="461"/>
        <v>0</v>
      </c>
      <c r="T229" s="143">
        <f t="shared" si="461"/>
        <v>0</v>
      </c>
      <c r="U229" s="143">
        <f t="shared" si="461"/>
        <v>0</v>
      </c>
      <c r="V229" s="143">
        <f t="shared" si="461"/>
        <v>0</v>
      </c>
    </row>
    <row r="230" spans="2:22" x14ac:dyDescent="0.2">
      <c r="D230" s="65" t="s">
        <v>803</v>
      </c>
      <c r="E230" s="143">
        <v>0</v>
      </c>
      <c r="F230" s="143">
        <v>0</v>
      </c>
      <c r="G230" s="143">
        <v>0</v>
      </c>
      <c r="H230" s="143">
        <v>0</v>
      </c>
      <c r="I230" s="143">
        <v>0</v>
      </c>
      <c r="J230" s="143">
        <v>0</v>
      </c>
      <c r="K230" s="143">
        <v>0</v>
      </c>
      <c r="L230" s="143">
        <v>0</v>
      </c>
      <c r="M230" s="144">
        <f>-M226/$M203</f>
        <v>0</v>
      </c>
      <c r="N230" s="144">
        <f t="shared" ref="N230:V230" si="462">-N226/$M203</f>
        <v>0</v>
      </c>
      <c r="O230" s="144">
        <f t="shared" si="462"/>
        <v>0</v>
      </c>
      <c r="P230" s="144">
        <f t="shared" si="462"/>
        <v>0</v>
      </c>
      <c r="Q230" s="144">
        <f t="shared" si="462"/>
        <v>0</v>
      </c>
      <c r="R230" s="144">
        <f t="shared" si="462"/>
        <v>0</v>
      </c>
      <c r="S230" s="144">
        <f t="shared" si="462"/>
        <v>0</v>
      </c>
      <c r="T230" s="144">
        <f t="shared" si="462"/>
        <v>0</v>
      </c>
      <c r="U230" s="144">
        <f t="shared" si="462"/>
        <v>0</v>
      </c>
      <c r="V230" s="144">
        <f t="shared" si="462"/>
        <v>0</v>
      </c>
    </row>
    <row r="231" spans="2:22" x14ac:dyDescent="0.2">
      <c r="B231" s="138"/>
      <c r="C231" s="139" t="s">
        <v>804</v>
      </c>
      <c r="D231" s="140" t="s">
        <v>805</v>
      </c>
      <c r="E231" s="141">
        <f>E229</f>
        <v>0</v>
      </c>
      <c r="F231" s="141">
        <f>E231+F229+F230</f>
        <v>0</v>
      </c>
      <c r="G231" s="141">
        <f t="shared" ref="G231" si="463">F231+G229+G230</f>
        <v>0</v>
      </c>
      <c r="H231" s="141">
        <f t="shared" ref="H231" si="464">G231+H229+H230</f>
        <v>0</v>
      </c>
      <c r="I231" s="141">
        <f>H231+I229+I230</f>
        <v>0</v>
      </c>
      <c r="J231" s="141">
        <f t="shared" ref="J231" si="465">I231+J229+J230</f>
        <v>0</v>
      </c>
      <c r="K231" s="141">
        <f t="shared" ref="K231" si="466">J231+K229+K230</f>
        <v>0</v>
      </c>
      <c r="L231" s="141">
        <f>K231+L229+L230</f>
        <v>0</v>
      </c>
      <c r="M231" s="142">
        <f>L231+M229+M230</f>
        <v>0</v>
      </c>
      <c r="N231" s="142">
        <f t="shared" ref="N231" si="467">M231+N229+N230</f>
        <v>0</v>
      </c>
      <c r="O231" s="142">
        <f t="shared" ref="O231" si="468">N231+O229+O230</f>
        <v>0</v>
      </c>
      <c r="P231" s="142">
        <f t="shared" ref="P231" si="469">O231+P229+P230</f>
        <v>0</v>
      </c>
      <c r="Q231" s="142">
        <f>P231+Q229+Q230</f>
        <v>0</v>
      </c>
      <c r="R231" s="142">
        <f t="shared" ref="R231" si="470">Q231+R229+R230</f>
        <v>0</v>
      </c>
      <c r="S231" s="142">
        <f t="shared" ref="S231" si="471">R231+S229+S230</f>
        <v>0</v>
      </c>
      <c r="T231" s="142">
        <f t="shared" ref="T231" si="472">S231+T229+T230</f>
        <v>0</v>
      </c>
      <c r="U231" s="142">
        <f t="shared" ref="U231" si="473">T231+U229+U230</f>
        <v>0</v>
      </c>
      <c r="V231" s="142">
        <f t="shared" ref="V231" si="474">U231+V229+V230</f>
        <v>0</v>
      </c>
    </row>
    <row r="232" spans="2:22" ht="7.5" customHeight="1" x14ac:dyDescent="0.2">
      <c r="E232" s="143"/>
      <c r="F232" s="143"/>
      <c r="G232" s="143"/>
      <c r="H232" s="143"/>
      <c r="I232" s="143"/>
      <c r="J232" s="143"/>
      <c r="K232" s="143"/>
      <c r="L232" s="143"/>
      <c r="M232" s="144"/>
      <c r="N232" s="144"/>
      <c r="O232" s="144"/>
      <c r="P232" s="144"/>
      <c r="Q232" s="144"/>
      <c r="R232" s="144"/>
      <c r="S232" s="144"/>
      <c r="T232" s="144"/>
      <c r="U232" s="144"/>
      <c r="V232" s="144"/>
    </row>
    <row r="233" spans="2:22" x14ac:dyDescent="0.2">
      <c r="D233" s="61" t="s">
        <v>806</v>
      </c>
      <c r="E233" s="145">
        <f>E227+E231</f>
        <v>0</v>
      </c>
      <c r="F233" s="145">
        <f>E233+F225+F231</f>
        <v>0</v>
      </c>
      <c r="G233" s="145">
        <f t="shared" ref="G233:H233" si="475">F233+G225+G231</f>
        <v>0</v>
      </c>
      <c r="H233" s="145">
        <f t="shared" si="475"/>
        <v>0</v>
      </c>
      <c r="I233" s="145">
        <f>H233+I225+I231</f>
        <v>0</v>
      </c>
      <c r="J233" s="145">
        <f>I233+J225+J231</f>
        <v>0</v>
      </c>
      <c r="K233" s="145">
        <f t="shared" ref="K233:L233" si="476">J233+K225+K231</f>
        <v>0</v>
      </c>
      <c r="L233" s="145">
        <f t="shared" si="476"/>
        <v>0</v>
      </c>
      <c r="M233" s="145">
        <f>L233+M225+M231</f>
        <v>0</v>
      </c>
      <c r="N233" s="145">
        <f t="shared" ref="N233:V233" si="477">M233+N225+N231</f>
        <v>0</v>
      </c>
      <c r="O233" s="145">
        <f t="shared" si="477"/>
        <v>0</v>
      </c>
      <c r="P233" s="145">
        <f t="shared" si="477"/>
        <v>0</v>
      </c>
      <c r="Q233" s="145">
        <f t="shared" si="477"/>
        <v>0</v>
      </c>
      <c r="R233" s="145">
        <f t="shared" si="477"/>
        <v>0</v>
      </c>
      <c r="S233" s="145">
        <f t="shared" si="477"/>
        <v>0</v>
      </c>
      <c r="T233" s="145">
        <f t="shared" si="477"/>
        <v>0</v>
      </c>
      <c r="U233" s="145">
        <f t="shared" si="477"/>
        <v>0</v>
      </c>
      <c r="V233" s="145">
        <f t="shared" si="477"/>
        <v>0</v>
      </c>
    </row>
    <row r="234" spans="2:22" s="136" customFormat="1" ht="7.5" customHeight="1" x14ac:dyDescent="0.2">
      <c r="E234" s="146"/>
      <c r="F234" s="146"/>
      <c r="G234" s="146"/>
      <c r="H234" s="146"/>
      <c r="I234" s="146"/>
      <c r="J234" s="146"/>
      <c r="K234" s="146"/>
      <c r="L234" s="146"/>
      <c r="M234" s="147"/>
      <c r="N234" s="147"/>
      <c r="O234" s="147"/>
      <c r="P234" s="147"/>
      <c r="Q234" s="147"/>
      <c r="R234" s="147"/>
      <c r="S234" s="147"/>
      <c r="T234" s="147"/>
      <c r="U234" s="147"/>
      <c r="V234" s="147"/>
    </row>
    <row r="235" spans="2:22" x14ac:dyDescent="0.2">
      <c r="D235" s="65" t="s">
        <v>808</v>
      </c>
      <c r="E235" s="144"/>
      <c r="F235" s="144"/>
      <c r="G235" s="144"/>
      <c r="H235" s="144"/>
      <c r="I235" s="144"/>
      <c r="J235" s="144"/>
      <c r="K235" s="144"/>
      <c r="L235" s="144">
        <f>M207</f>
        <v>0</v>
      </c>
      <c r="M235" s="144">
        <f>$L235*(1-M224)</f>
        <v>0</v>
      </c>
      <c r="N235" s="144">
        <f t="shared" ref="N235:V235" si="478">$L235*(1-N224)</f>
        <v>0</v>
      </c>
      <c r="O235" s="144">
        <f t="shared" si="478"/>
        <v>0</v>
      </c>
      <c r="P235" s="144">
        <f t="shared" si="478"/>
        <v>0</v>
      </c>
      <c r="Q235" s="144">
        <f t="shared" si="478"/>
        <v>0</v>
      </c>
      <c r="R235" s="144">
        <f t="shared" si="478"/>
        <v>0</v>
      </c>
      <c r="S235" s="144">
        <f t="shared" si="478"/>
        <v>0</v>
      </c>
      <c r="T235" s="144">
        <f t="shared" si="478"/>
        <v>0</v>
      </c>
      <c r="U235" s="144">
        <f t="shared" si="478"/>
        <v>0</v>
      </c>
      <c r="V235" s="144">
        <f t="shared" si="478"/>
        <v>0</v>
      </c>
    </row>
    <row r="238" spans="2:22" s="68" customFormat="1" x14ac:dyDescent="0.2">
      <c r="C238" s="133" t="s">
        <v>815</v>
      </c>
    </row>
    <row r="239" spans="2:22" x14ac:dyDescent="0.2">
      <c r="B239" s="61"/>
    </row>
    <row r="240" spans="2:22" x14ac:dyDescent="0.2">
      <c r="B240" s="61" t="s">
        <v>816</v>
      </c>
    </row>
    <row r="241" spans="2:22" x14ac:dyDescent="0.2">
      <c r="D241" s="65" t="s">
        <v>636</v>
      </c>
      <c r="E241" s="87"/>
      <c r="F241" s="87"/>
      <c r="G241" s="87"/>
      <c r="H241" s="87"/>
      <c r="I241" s="87"/>
      <c r="J241" s="87"/>
      <c r="K241" s="87"/>
      <c r="L241" s="87"/>
      <c r="M241" s="75">
        <f>'Status Quo Estimation'!C32</f>
        <v>0</v>
      </c>
    </row>
    <row r="242" spans="2:22" x14ac:dyDescent="0.2">
      <c r="D242" s="65" t="s">
        <v>787</v>
      </c>
      <c r="E242" s="87"/>
      <c r="F242" s="87"/>
      <c r="G242" s="87"/>
      <c r="H242" s="87"/>
      <c r="I242" s="87"/>
      <c r="J242" s="87"/>
      <c r="K242" s="87"/>
      <c r="L242" s="87"/>
      <c r="M242" s="75">
        <f>'Status Quo Estimation'!E32</f>
        <v>0</v>
      </c>
    </row>
    <row r="243" spans="2:22" x14ac:dyDescent="0.2">
      <c r="D243" s="65" t="s">
        <v>788</v>
      </c>
      <c r="E243" s="87"/>
      <c r="F243" s="87"/>
      <c r="G243" s="87"/>
      <c r="H243" s="87"/>
      <c r="I243" s="87"/>
      <c r="J243" s="87"/>
      <c r="K243" s="87"/>
      <c r="L243" s="87"/>
      <c r="M243" s="75">
        <f>'1-Client Variables'!$D$24</f>
        <v>5</v>
      </c>
    </row>
    <row r="244" spans="2:22" x14ac:dyDescent="0.2">
      <c r="D244" s="65" t="s">
        <v>76</v>
      </c>
      <c r="E244" s="135"/>
      <c r="F244" s="135"/>
      <c r="G244" s="135"/>
      <c r="H244" s="135"/>
      <c r="I244" s="135"/>
      <c r="J244" s="135"/>
      <c r="K244" s="135"/>
      <c r="L244" s="135"/>
      <c r="M244" s="75">
        <f>'1-Client Variables'!$D$25</f>
        <v>5</v>
      </c>
    </row>
    <row r="245" spans="2:22" x14ac:dyDescent="0.2">
      <c r="D245" s="65" t="s">
        <v>77</v>
      </c>
      <c r="E245" s="135"/>
      <c r="F245" s="135"/>
      <c r="G245" s="135"/>
      <c r="H245" s="135"/>
      <c r="I245" s="135"/>
      <c r="J245" s="135"/>
      <c r="K245" s="135"/>
      <c r="L245" s="135"/>
      <c r="M245" s="69">
        <f>'1-Client Variables'!$D$26</f>
        <v>0.1</v>
      </c>
    </row>
    <row r="246" spans="2:22" x14ac:dyDescent="0.2">
      <c r="D246" s="136" t="s">
        <v>79</v>
      </c>
      <c r="E246" s="135"/>
      <c r="F246" s="135"/>
      <c r="G246" s="135"/>
      <c r="H246" s="135"/>
      <c r="I246" s="135"/>
      <c r="J246" s="135"/>
      <c r="K246" s="135"/>
      <c r="L246" s="135"/>
      <c r="M246" s="69">
        <f>'1-Client Variables'!$D$27</f>
        <v>0.1</v>
      </c>
      <c r="N246" s="65" t="s">
        <v>80</v>
      </c>
      <c r="O246" s="134"/>
    </row>
    <row r="247" spans="2:22" x14ac:dyDescent="0.2">
      <c r="D247" s="65" t="s">
        <v>817</v>
      </c>
      <c r="E247" s="87"/>
      <c r="F247" s="87"/>
      <c r="G247" s="87"/>
      <c r="H247" s="87"/>
      <c r="I247" s="87"/>
      <c r="J247" s="87"/>
      <c r="K247" s="87"/>
      <c r="L247" s="87"/>
      <c r="M247" s="75">
        <f>'Status Quo Estimation'!C110</f>
        <v>0</v>
      </c>
      <c r="N247" s="65" t="s">
        <v>790</v>
      </c>
    </row>
    <row r="249" spans="2:22" x14ac:dyDescent="0.2">
      <c r="D249" s="80" t="s">
        <v>264</v>
      </c>
      <c r="E249" s="137" t="s">
        <v>791</v>
      </c>
      <c r="F249" s="137" t="s">
        <v>792</v>
      </c>
      <c r="G249" s="137" t="s">
        <v>793</v>
      </c>
      <c r="H249" s="137" t="s">
        <v>794</v>
      </c>
      <c r="I249" s="137" t="s">
        <v>795</v>
      </c>
      <c r="J249" s="137" t="s">
        <v>796</v>
      </c>
      <c r="K249" s="137" t="s">
        <v>797</v>
      </c>
      <c r="L249" s="137" t="s">
        <v>480</v>
      </c>
      <c r="M249" s="63">
        <v>1</v>
      </c>
      <c r="N249" s="63">
        <f>M249+1</f>
        <v>2</v>
      </c>
      <c r="O249" s="63">
        <f t="shared" ref="O249" si="479">N249+1</f>
        <v>3</v>
      </c>
      <c r="P249" s="63">
        <f t="shared" ref="P249" si="480">O249+1</f>
        <v>4</v>
      </c>
      <c r="Q249" s="63">
        <f>P249+1</f>
        <v>5</v>
      </c>
      <c r="R249" s="63">
        <f>Q249+1</f>
        <v>6</v>
      </c>
      <c r="S249" s="63">
        <f>R249+1</f>
        <v>7</v>
      </c>
      <c r="T249" s="63">
        <f t="shared" ref="T249" si="481">S249+1</f>
        <v>8</v>
      </c>
      <c r="U249" s="63">
        <f t="shared" ref="U249" si="482">T249+1</f>
        <v>9</v>
      </c>
      <c r="V249" s="63">
        <f t="shared" ref="V249" si="483">U249+1</f>
        <v>10</v>
      </c>
    </row>
    <row r="250" spans="2:22" x14ac:dyDescent="0.2">
      <c r="B250" s="138"/>
      <c r="C250" s="139" t="s">
        <v>798</v>
      </c>
      <c r="D250" s="140" t="s">
        <v>799</v>
      </c>
      <c r="E250" s="141">
        <f>IF($M243&gt;7,$M241/$M243,0)</f>
        <v>0</v>
      </c>
      <c r="F250" s="141">
        <f>IF($M243&gt;6,$M241/$M243,0)</f>
        <v>0</v>
      </c>
      <c r="G250" s="141">
        <f>IF($M243&gt;5,$M241/$M243,0)</f>
        <v>0</v>
      </c>
      <c r="H250" s="141">
        <f>IF($M243&gt;4,$M241/$M243,0)</f>
        <v>0</v>
      </c>
      <c r="I250" s="141">
        <f>IF($M243&gt;3,$M241/$M243,0)</f>
        <v>0</v>
      </c>
      <c r="J250" s="141">
        <f>IF($M243&gt;2,$M241/$M243,0)</f>
        <v>0</v>
      </c>
      <c r="K250" s="141">
        <f>IF($M243&gt;1,$M241/$M243,0)</f>
        <v>0</v>
      </c>
      <c r="L250" s="141">
        <f>$M241/$M243</f>
        <v>0</v>
      </c>
      <c r="M250" s="142">
        <f>MAX(0,M242*(1+M245)*(M243/M244))</f>
        <v>0</v>
      </c>
      <c r="N250" s="142">
        <f>MAX(0,M250*(1+$M245))</f>
        <v>0</v>
      </c>
      <c r="O250" s="142">
        <f t="shared" ref="O250:V250" si="484">MAX(0,N250*(1+$M245))</f>
        <v>0</v>
      </c>
      <c r="P250" s="142">
        <f t="shared" si="484"/>
        <v>0</v>
      </c>
      <c r="Q250" s="142">
        <f t="shared" si="484"/>
        <v>0</v>
      </c>
      <c r="R250" s="142">
        <f t="shared" si="484"/>
        <v>0</v>
      </c>
      <c r="S250" s="142">
        <f t="shared" si="484"/>
        <v>0</v>
      </c>
      <c r="T250" s="142">
        <f t="shared" si="484"/>
        <v>0</v>
      </c>
      <c r="U250" s="142">
        <f t="shared" si="484"/>
        <v>0</v>
      </c>
      <c r="V250" s="142">
        <f t="shared" si="484"/>
        <v>0</v>
      </c>
    </row>
    <row r="251" spans="2:22" x14ac:dyDescent="0.2">
      <c r="D251" s="65" t="s">
        <v>800</v>
      </c>
      <c r="E251" s="143">
        <v>0</v>
      </c>
      <c r="F251" s="143">
        <v>0</v>
      </c>
      <c r="G251" s="143">
        <v>0</v>
      </c>
      <c r="H251" s="143">
        <v>0</v>
      </c>
      <c r="I251" s="143">
        <v>0</v>
      </c>
      <c r="J251" s="143">
        <v>0</v>
      </c>
      <c r="K251" s="143">
        <v>0</v>
      </c>
      <c r="L251" s="143">
        <v>0</v>
      </c>
      <c r="M251" s="144">
        <f t="shared" ref="M251:V251" si="485">IF($M243=7,-F250,IF($M243=6,-G250,IF($M243=5,-H250,IF($M243=4,-I250,IF($M243=3,-J250,IF($M243=2,-K250,IF($M243=1,-L250,"Error Dep Life")))))))</f>
        <v>0</v>
      </c>
      <c r="N251" s="144">
        <f t="shared" si="485"/>
        <v>0</v>
      </c>
      <c r="O251" s="144">
        <f t="shared" si="485"/>
        <v>0</v>
      </c>
      <c r="P251" s="144">
        <f t="shared" si="485"/>
        <v>0</v>
      </c>
      <c r="Q251" s="144">
        <f t="shared" si="485"/>
        <v>0</v>
      </c>
      <c r="R251" s="144">
        <f t="shared" si="485"/>
        <v>0</v>
      </c>
      <c r="S251" s="144">
        <f t="shared" si="485"/>
        <v>0</v>
      </c>
      <c r="T251" s="144">
        <f t="shared" si="485"/>
        <v>0</v>
      </c>
      <c r="U251" s="144">
        <f t="shared" si="485"/>
        <v>0</v>
      </c>
      <c r="V251" s="144">
        <f t="shared" si="485"/>
        <v>0</v>
      </c>
    </row>
    <row r="252" spans="2:22" x14ac:dyDescent="0.2">
      <c r="D252" s="61" t="s">
        <v>801</v>
      </c>
      <c r="E252" s="145">
        <f>E250</f>
        <v>0</v>
      </c>
      <c r="F252" s="145">
        <f>E252+F250+F251</f>
        <v>0</v>
      </c>
      <c r="G252" s="145">
        <f t="shared" ref="G252" si="486">F252+G250+G251</f>
        <v>0</v>
      </c>
      <c r="H252" s="145">
        <f t="shared" ref="H252" si="487">G252+H250+H251</f>
        <v>0</v>
      </c>
      <c r="I252" s="145">
        <f t="shared" ref="I252" si="488">H252+I250+I251</f>
        <v>0</v>
      </c>
      <c r="J252" s="145">
        <f t="shared" ref="J252" si="489">I252+J250+J251</f>
        <v>0</v>
      </c>
      <c r="K252" s="145">
        <f t="shared" ref="K252" si="490">J252+K250+K251</f>
        <v>0</v>
      </c>
      <c r="L252" s="145">
        <f>K252+L250+L251</f>
        <v>0</v>
      </c>
      <c r="M252" s="145">
        <f>L252+M250+M251</f>
        <v>0</v>
      </c>
      <c r="N252" s="145">
        <f t="shared" ref="N252" si="491">M252+N250+N251</f>
        <v>0</v>
      </c>
      <c r="O252" s="145">
        <f t="shared" ref="O252" si="492">N252+O250+O251</f>
        <v>0</v>
      </c>
      <c r="P252" s="145">
        <f t="shared" ref="P252" si="493">O252+P250+P251</f>
        <v>0</v>
      </c>
      <c r="Q252" s="145">
        <f t="shared" ref="Q252" si="494">P252+Q250+Q251</f>
        <v>0</v>
      </c>
      <c r="R252" s="145">
        <f t="shared" ref="R252" si="495">Q252+R250+R251</f>
        <v>0</v>
      </c>
      <c r="S252" s="145">
        <f t="shared" ref="S252" si="496">R252+S250+S251</f>
        <v>0</v>
      </c>
      <c r="T252" s="145">
        <f t="shared" ref="T252" si="497">S252+T250+T251</f>
        <v>0</v>
      </c>
      <c r="U252" s="145">
        <f t="shared" ref="U252" si="498">T252+U250+U251</f>
        <v>0</v>
      </c>
      <c r="V252" s="145">
        <f t="shared" ref="V252" si="499">U252+V250+V251</f>
        <v>0</v>
      </c>
    </row>
    <row r="253" spans="2:22" ht="7.5" customHeight="1" x14ac:dyDescent="0.2">
      <c r="E253" s="143"/>
      <c r="F253" s="143"/>
      <c r="G253" s="143"/>
      <c r="H253" s="143"/>
      <c r="I253" s="143"/>
      <c r="J253" s="143"/>
      <c r="K253" s="143"/>
      <c r="L253" s="143"/>
      <c r="M253" s="144"/>
      <c r="N253" s="144"/>
      <c r="O253" s="144"/>
      <c r="P253" s="144"/>
      <c r="Q253" s="144"/>
      <c r="R253" s="144"/>
      <c r="S253" s="144"/>
      <c r="T253" s="144"/>
      <c r="U253" s="144"/>
      <c r="V253" s="144"/>
    </row>
    <row r="254" spans="2:22" x14ac:dyDescent="0.2">
      <c r="D254" s="65" t="s">
        <v>802</v>
      </c>
      <c r="E254" s="143">
        <f t="shared" ref="E254:V254" si="500">-E250/$M243</f>
        <v>0</v>
      </c>
      <c r="F254" s="143">
        <f t="shared" si="500"/>
        <v>0</v>
      </c>
      <c r="G254" s="143">
        <f t="shared" si="500"/>
        <v>0</v>
      </c>
      <c r="H254" s="143">
        <f t="shared" si="500"/>
        <v>0</v>
      </c>
      <c r="I254" s="143">
        <f t="shared" si="500"/>
        <v>0</v>
      </c>
      <c r="J254" s="143">
        <f t="shared" si="500"/>
        <v>0</v>
      </c>
      <c r="K254" s="143">
        <f t="shared" si="500"/>
        <v>0</v>
      </c>
      <c r="L254" s="143">
        <f t="shared" si="500"/>
        <v>0</v>
      </c>
      <c r="M254" s="144">
        <f t="shared" si="500"/>
        <v>0</v>
      </c>
      <c r="N254" s="144">
        <f t="shared" si="500"/>
        <v>0</v>
      </c>
      <c r="O254" s="144">
        <f t="shared" si="500"/>
        <v>0</v>
      </c>
      <c r="P254" s="144">
        <f t="shared" si="500"/>
        <v>0</v>
      </c>
      <c r="Q254" s="144">
        <f t="shared" si="500"/>
        <v>0</v>
      </c>
      <c r="R254" s="144">
        <f t="shared" si="500"/>
        <v>0</v>
      </c>
      <c r="S254" s="144">
        <f t="shared" si="500"/>
        <v>0</v>
      </c>
      <c r="T254" s="144">
        <f t="shared" si="500"/>
        <v>0</v>
      </c>
      <c r="U254" s="144">
        <f t="shared" si="500"/>
        <v>0</v>
      </c>
      <c r="V254" s="144">
        <f t="shared" si="500"/>
        <v>0</v>
      </c>
    </row>
    <row r="255" spans="2:22" x14ac:dyDescent="0.2">
      <c r="D255" s="65" t="s">
        <v>803</v>
      </c>
      <c r="E255" s="143">
        <v>0</v>
      </c>
      <c r="F255" s="143">
        <v>0</v>
      </c>
      <c r="G255" s="143">
        <v>0</v>
      </c>
      <c r="H255" s="143">
        <v>0</v>
      </c>
      <c r="I255" s="143">
        <v>0</v>
      </c>
      <c r="J255" s="143">
        <v>0</v>
      </c>
      <c r="K255" s="143">
        <v>0</v>
      </c>
      <c r="L255" s="143">
        <v>0</v>
      </c>
      <c r="M255" s="144">
        <f>-M251/$M243</f>
        <v>0</v>
      </c>
      <c r="N255" s="144">
        <f>-N251/$M243</f>
        <v>0</v>
      </c>
      <c r="O255" s="144">
        <f t="shared" ref="O255:V255" si="501">-O251/$M243</f>
        <v>0</v>
      </c>
      <c r="P255" s="144">
        <f t="shared" si="501"/>
        <v>0</v>
      </c>
      <c r="Q255" s="144">
        <f t="shared" si="501"/>
        <v>0</v>
      </c>
      <c r="R255" s="144">
        <f t="shared" si="501"/>
        <v>0</v>
      </c>
      <c r="S255" s="144">
        <f t="shared" si="501"/>
        <v>0</v>
      </c>
      <c r="T255" s="144">
        <f t="shared" si="501"/>
        <v>0</v>
      </c>
      <c r="U255" s="144">
        <f t="shared" si="501"/>
        <v>0</v>
      </c>
      <c r="V255" s="144">
        <f t="shared" si="501"/>
        <v>0</v>
      </c>
    </row>
    <row r="256" spans="2:22" x14ac:dyDescent="0.2">
      <c r="B256" s="138"/>
      <c r="C256" s="139" t="s">
        <v>804</v>
      </c>
      <c r="D256" s="140" t="s">
        <v>805</v>
      </c>
      <c r="E256" s="141">
        <f>E254</f>
        <v>0</v>
      </c>
      <c r="F256" s="141">
        <f>E256+F254+F255</f>
        <v>0</v>
      </c>
      <c r="G256" s="141">
        <f t="shared" ref="G256" si="502">F256+G254+G255</f>
        <v>0</v>
      </c>
      <c r="H256" s="141">
        <f t="shared" ref="H256" si="503">G256+H254+H255</f>
        <v>0</v>
      </c>
      <c r="I256" s="141">
        <f>H256+I254+I255</f>
        <v>0</v>
      </c>
      <c r="J256" s="141">
        <f t="shared" ref="J256" si="504">I256+J254+J255</f>
        <v>0</v>
      </c>
      <c r="K256" s="141">
        <f t="shared" ref="K256" si="505">J256+K254+K255</f>
        <v>0</v>
      </c>
      <c r="L256" s="141">
        <f>K256+L254+L255</f>
        <v>0</v>
      </c>
      <c r="M256" s="142">
        <f>L256+M254+M255</f>
        <v>0</v>
      </c>
      <c r="N256" s="142">
        <f t="shared" ref="N256" si="506">M256+N254+N255</f>
        <v>0</v>
      </c>
      <c r="O256" s="142">
        <f t="shared" ref="O256" si="507">N256+O254+O255</f>
        <v>0</v>
      </c>
      <c r="P256" s="142">
        <f t="shared" ref="P256" si="508">O256+P254+P255</f>
        <v>0</v>
      </c>
      <c r="Q256" s="142">
        <f t="shared" ref="Q256" si="509">P256+Q254+Q255</f>
        <v>0</v>
      </c>
      <c r="R256" s="142">
        <f t="shared" ref="R256" si="510">Q256+R254+R255</f>
        <v>0</v>
      </c>
      <c r="S256" s="142">
        <f t="shared" ref="S256" si="511">R256+S254+S255</f>
        <v>0</v>
      </c>
      <c r="T256" s="142">
        <f t="shared" ref="T256" si="512">S256+T254+T255</f>
        <v>0</v>
      </c>
      <c r="U256" s="142">
        <f t="shared" ref="U256" si="513">T256+U254+U255</f>
        <v>0</v>
      </c>
      <c r="V256" s="142">
        <f t="shared" ref="V256" si="514">U256+V254+V255</f>
        <v>0</v>
      </c>
    </row>
    <row r="257" spans="2:22" ht="7.5" customHeight="1" x14ac:dyDescent="0.2">
      <c r="E257" s="143"/>
      <c r="F257" s="143"/>
      <c r="G257" s="143"/>
      <c r="H257" s="143"/>
      <c r="I257" s="143"/>
      <c r="J257" s="143"/>
      <c r="K257" s="143"/>
      <c r="L257" s="143"/>
      <c r="M257" s="144"/>
      <c r="N257" s="144"/>
      <c r="O257" s="144"/>
      <c r="P257" s="144"/>
      <c r="Q257" s="144"/>
      <c r="R257" s="144"/>
      <c r="S257" s="144"/>
      <c r="T257" s="144"/>
      <c r="U257" s="144"/>
      <c r="V257" s="144"/>
    </row>
    <row r="258" spans="2:22" x14ac:dyDescent="0.2">
      <c r="D258" s="61" t="s">
        <v>806</v>
      </c>
      <c r="E258" s="145">
        <f>E252+E256</f>
        <v>0</v>
      </c>
      <c r="F258" s="145">
        <f>E258+F250+F256</f>
        <v>0</v>
      </c>
      <c r="G258" s="145">
        <f t="shared" ref="G258:H258" si="515">F258+G250+G256</f>
        <v>0</v>
      </c>
      <c r="H258" s="145">
        <f t="shared" si="515"/>
        <v>0</v>
      </c>
      <c r="I258" s="145">
        <f>H258+I250+I256</f>
        <v>0</v>
      </c>
      <c r="J258" s="145">
        <f>I258+J250+J256</f>
        <v>0</v>
      </c>
      <c r="K258" s="145">
        <f t="shared" ref="K258:L258" si="516">J258+K250+K256</f>
        <v>0</v>
      </c>
      <c r="L258" s="145">
        <f t="shared" si="516"/>
        <v>0</v>
      </c>
      <c r="M258" s="145">
        <f>L258+M250+M256</f>
        <v>0</v>
      </c>
      <c r="N258" s="145">
        <f t="shared" ref="N258:V258" si="517">M258+N250+N256</f>
        <v>0</v>
      </c>
      <c r="O258" s="145">
        <f t="shared" si="517"/>
        <v>0</v>
      </c>
      <c r="P258" s="145">
        <f t="shared" si="517"/>
        <v>0</v>
      </c>
      <c r="Q258" s="145">
        <f t="shared" si="517"/>
        <v>0</v>
      </c>
      <c r="R258" s="145">
        <f t="shared" si="517"/>
        <v>0</v>
      </c>
      <c r="S258" s="145">
        <f t="shared" si="517"/>
        <v>0</v>
      </c>
      <c r="T258" s="145">
        <f t="shared" si="517"/>
        <v>0</v>
      </c>
      <c r="U258" s="145">
        <f t="shared" si="517"/>
        <v>0</v>
      </c>
      <c r="V258" s="145">
        <f t="shared" si="517"/>
        <v>0</v>
      </c>
    </row>
    <row r="259" spans="2:22" s="136" customFormat="1" ht="7.5" customHeight="1" x14ac:dyDescent="0.2">
      <c r="E259" s="146"/>
      <c r="F259" s="146"/>
      <c r="G259" s="146"/>
      <c r="H259" s="146"/>
      <c r="I259" s="146"/>
      <c r="J259" s="146"/>
      <c r="K259" s="146"/>
      <c r="L259" s="146"/>
      <c r="M259" s="147"/>
      <c r="N259" s="147"/>
      <c r="O259" s="147"/>
      <c r="P259" s="147"/>
      <c r="Q259" s="147"/>
      <c r="R259" s="147"/>
      <c r="S259" s="147"/>
      <c r="T259" s="147"/>
      <c r="U259" s="147"/>
      <c r="V259" s="147"/>
    </row>
    <row r="260" spans="2:22" x14ac:dyDescent="0.2">
      <c r="D260" s="65" t="s">
        <v>817</v>
      </c>
      <c r="E260" s="144"/>
      <c r="F260" s="144"/>
      <c r="G260" s="144"/>
      <c r="H260" s="144"/>
      <c r="I260" s="144"/>
      <c r="J260" s="144"/>
      <c r="K260" s="144"/>
      <c r="L260" s="144">
        <f>M247</f>
        <v>0</v>
      </c>
      <c r="M260" s="144">
        <f t="shared" ref="M260:V260" si="518">L260*(1+$M245)</f>
        <v>0</v>
      </c>
      <c r="N260" s="144">
        <f t="shared" si="518"/>
        <v>0</v>
      </c>
      <c r="O260" s="144">
        <f t="shared" si="518"/>
        <v>0</v>
      </c>
      <c r="P260" s="144">
        <f t="shared" si="518"/>
        <v>0</v>
      </c>
      <c r="Q260" s="144">
        <f t="shared" si="518"/>
        <v>0</v>
      </c>
      <c r="R260" s="144">
        <f t="shared" si="518"/>
        <v>0</v>
      </c>
      <c r="S260" s="144">
        <f t="shared" si="518"/>
        <v>0</v>
      </c>
      <c r="T260" s="144">
        <f t="shared" si="518"/>
        <v>0</v>
      </c>
      <c r="U260" s="144">
        <f t="shared" si="518"/>
        <v>0</v>
      </c>
      <c r="V260" s="144">
        <f t="shared" si="518"/>
        <v>0</v>
      </c>
    </row>
    <row r="263" spans="2:22" x14ac:dyDescent="0.2">
      <c r="D263" s="80" t="s">
        <v>265</v>
      </c>
      <c r="E263" s="137" t="s">
        <v>791</v>
      </c>
      <c r="F263" s="137" t="s">
        <v>792</v>
      </c>
      <c r="G263" s="137" t="s">
        <v>793</v>
      </c>
      <c r="H263" s="137" t="s">
        <v>794</v>
      </c>
      <c r="I263" s="137" t="s">
        <v>795</v>
      </c>
      <c r="J263" s="137" t="s">
        <v>796</v>
      </c>
      <c r="K263" s="137" t="s">
        <v>797</v>
      </c>
      <c r="L263" s="137" t="s">
        <v>480</v>
      </c>
      <c r="M263" s="63">
        <v>1</v>
      </c>
      <c r="N263" s="63">
        <f>M263+1</f>
        <v>2</v>
      </c>
      <c r="O263" s="63">
        <f t="shared" ref="O263" si="519">N263+1</f>
        <v>3</v>
      </c>
      <c r="P263" s="63">
        <f t="shared" ref="P263" si="520">O263+1</f>
        <v>4</v>
      </c>
      <c r="Q263" s="63">
        <f>P263+1</f>
        <v>5</v>
      </c>
      <c r="R263" s="63">
        <f>Q263+1</f>
        <v>6</v>
      </c>
      <c r="S263" s="63">
        <f>R263+1</f>
        <v>7</v>
      </c>
      <c r="T263" s="63">
        <f t="shared" ref="T263" si="521">S263+1</f>
        <v>8</v>
      </c>
      <c r="U263" s="63">
        <f t="shared" ref="U263" si="522">T263+1</f>
        <v>9</v>
      </c>
      <c r="V263" s="63">
        <f t="shared" ref="V263" si="523">U263+1</f>
        <v>10</v>
      </c>
    </row>
    <row r="264" spans="2:22" x14ac:dyDescent="0.2">
      <c r="D264" s="65" t="s">
        <v>734</v>
      </c>
      <c r="E264" s="69"/>
      <c r="F264" s="69"/>
      <c r="G264" s="69"/>
      <c r="H264" s="69"/>
      <c r="I264" s="69"/>
      <c r="J264" s="69"/>
      <c r="K264" s="69"/>
      <c r="L264" s="69"/>
      <c r="M264" s="69">
        <f>MAX('2a-Consumption Plan Wk1'!E$17,'2b-Consumption Plan Wk2'!E$17,'2c-Consumption Plan Wk3'!E$17)</f>
        <v>0.4</v>
      </c>
      <c r="N264" s="69">
        <f>MAX('2a-Consumption Plan Wk1'!F$17,'2b-Consumption Plan Wk2'!F$17,'2c-Consumption Plan Wk3'!F$17)</f>
        <v>0.8</v>
      </c>
      <c r="O264" s="69">
        <f>MAX('2a-Consumption Plan Wk1'!G$17,'2b-Consumption Plan Wk2'!G$17,'2c-Consumption Plan Wk3'!G$17)</f>
        <v>1</v>
      </c>
      <c r="P264" s="69">
        <f>MAX('2a-Consumption Plan Wk1'!H$17,'2b-Consumption Plan Wk2'!H$17,'2c-Consumption Plan Wk3'!H$17)</f>
        <v>1</v>
      </c>
      <c r="Q264" s="69">
        <f>MAX('2a-Consumption Plan Wk1'!I$17,'2b-Consumption Plan Wk2'!I$17,'2c-Consumption Plan Wk3'!I$17)</f>
        <v>1</v>
      </c>
      <c r="R264" s="69">
        <f>MAX('2a-Consumption Plan Wk1'!J$17,'2b-Consumption Plan Wk2'!J$17,'2c-Consumption Plan Wk3'!J$17)</f>
        <v>1</v>
      </c>
      <c r="S264" s="69">
        <f>MAX('2a-Consumption Plan Wk1'!K$17,'2b-Consumption Plan Wk2'!K$17,'2c-Consumption Plan Wk3'!K$17)</f>
        <v>1</v>
      </c>
      <c r="T264" s="69">
        <f>MAX('2a-Consumption Plan Wk1'!L$17,'2b-Consumption Plan Wk2'!L$17,'2c-Consumption Plan Wk3'!L$17)</f>
        <v>1</v>
      </c>
      <c r="U264" s="69">
        <f>MAX('2a-Consumption Plan Wk1'!M$17,'2b-Consumption Plan Wk2'!M$17,'2c-Consumption Plan Wk3'!M$17)</f>
        <v>1</v>
      </c>
      <c r="V264" s="69">
        <f>MAX('2a-Consumption Plan Wk1'!N$17,'2b-Consumption Plan Wk2'!N$17,'2c-Consumption Plan Wk3'!N$17)</f>
        <v>1</v>
      </c>
    </row>
    <row r="265" spans="2:22" x14ac:dyDescent="0.2">
      <c r="B265" s="138"/>
      <c r="C265" s="139" t="s">
        <v>798</v>
      </c>
      <c r="D265" s="140" t="s">
        <v>799</v>
      </c>
      <c r="E265" s="141">
        <f>IF($M243&gt;7,$M241/$M243,0)</f>
        <v>0</v>
      </c>
      <c r="F265" s="141">
        <f>IF($M243&gt;6,$M241/$M243,0)</f>
        <v>0</v>
      </c>
      <c r="G265" s="141">
        <f>IF($M243&gt;5,$M241/$M243,0)</f>
        <v>0</v>
      </c>
      <c r="H265" s="141">
        <f>IF($M243&gt;4,$M241/$M243,0)</f>
        <v>0</v>
      </c>
      <c r="I265" s="141">
        <f>IF($M243&gt;3,$M241/$M243,0)</f>
        <v>0</v>
      </c>
      <c r="J265" s="141">
        <f>IF($M243&gt;2,$M241/$M243,0)</f>
        <v>0</v>
      </c>
      <c r="K265" s="141">
        <f>IF($M243&gt;1,$M241/$M243,0)</f>
        <v>0</v>
      </c>
      <c r="L265" s="141">
        <f>$M241/$M243</f>
        <v>0</v>
      </c>
      <c r="M265" s="142">
        <f>MAX(0,IF(L267&lt;M241,(M241-L267)*(1-M264)*M246,M242*(1-M264)*M246))</f>
        <v>0</v>
      </c>
      <c r="N265" s="142">
        <f>$M242*(1-N264)*$M246</f>
        <v>0</v>
      </c>
      <c r="O265" s="142">
        <f t="shared" ref="O265" si="524">$M242*(1-O264)*$M246</f>
        <v>0</v>
      </c>
      <c r="P265" s="142">
        <f t="shared" ref="P265" si="525">$M242*(1-P264)*$M246</f>
        <v>0</v>
      </c>
      <c r="Q265" s="142">
        <f t="shared" ref="Q265" si="526">$M242*(1-Q264)*$M246</f>
        <v>0</v>
      </c>
      <c r="R265" s="142">
        <f t="shared" ref="R265" si="527">$M242*(1-R264)*$M246</f>
        <v>0</v>
      </c>
      <c r="S265" s="142">
        <f t="shared" ref="S265" si="528">$M242*(1-S264)*$M246</f>
        <v>0</v>
      </c>
      <c r="T265" s="142">
        <f t="shared" ref="T265" si="529">$M242*(1-T264)*$M246</f>
        <v>0</v>
      </c>
      <c r="U265" s="142">
        <f t="shared" ref="U265" si="530">$M242*(1-U264)*$M246</f>
        <v>0</v>
      </c>
      <c r="V265" s="142">
        <f t="shared" ref="V265" si="531">$M242*(1-V264)*$M246</f>
        <v>0</v>
      </c>
    </row>
    <row r="266" spans="2:22" x14ac:dyDescent="0.2">
      <c r="D266" s="65" t="s">
        <v>800</v>
      </c>
      <c r="E266" s="143">
        <v>0</v>
      </c>
      <c r="F266" s="143">
        <v>0</v>
      </c>
      <c r="G266" s="143">
        <v>0</v>
      </c>
      <c r="H266" s="143">
        <v>0</v>
      </c>
      <c r="I266" s="143">
        <v>0</v>
      </c>
      <c r="J266" s="143">
        <v>0</v>
      </c>
      <c r="K266" s="143">
        <v>0</v>
      </c>
      <c r="L266" s="143">
        <v>0</v>
      </c>
      <c r="M266" s="144">
        <f t="shared" ref="M266:V266" si="532">IF($M243=7,-F265,IF($M243=6,-G265,IF($M243=5,-H265,IF($M243=4,-I265,IF($M243=3,-J265,IF($M243=2,-K265,IF($M243=1,-L265,"Error Dep Life")))))))</f>
        <v>0</v>
      </c>
      <c r="N266" s="144">
        <f t="shared" si="532"/>
        <v>0</v>
      </c>
      <c r="O266" s="144">
        <f t="shared" si="532"/>
        <v>0</v>
      </c>
      <c r="P266" s="144">
        <f t="shared" si="532"/>
        <v>0</v>
      </c>
      <c r="Q266" s="144">
        <f t="shared" si="532"/>
        <v>0</v>
      </c>
      <c r="R266" s="144">
        <f t="shared" si="532"/>
        <v>0</v>
      </c>
      <c r="S266" s="144">
        <f t="shared" si="532"/>
        <v>0</v>
      </c>
      <c r="T266" s="144">
        <f t="shared" si="532"/>
        <v>0</v>
      </c>
      <c r="U266" s="144">
        <f t="shared" si="532"/>
        <v>0</v>
      </c>
      <c r="V266" s="144">
        <f t="shared" si="532"/>
        <v>0</v>
      </c>
    </row>
    <row r="267" spans="2:22" x14ac:dyDescent="0.2">
      <c r="D267" s="61" t="s">
        <v>801</v>
      </c>
      <c r="E267" s="145">
        <f>E265</f>
        <v>0</v>
      </c>
      <c r="F267" s="145">
        <f>E267+F265+F266</f>
        <v>0</v>
      </c>
      <c r="G267" s="145">
        <f t="shared" ref="G267" si="533">F267+G265+G266</f>
        <v>0</v>
      </c>
      <c r="H267" s="145">
        <f t="shared" ref="H267" si="534">G267+H265+H266</f>
        <v>0</v>
      </c>
      <c r="I267" s="145">
        <f t="shared" ref="I267" si="535">H267+I265+I266</f>
        <v>0</v>
      </c>
      <c r="J267" s="145">
        <f t="shared" ref="J267" si="536">I267+J265+J266</f>
        <v>0</v>
      </c>
      <c r="K267" s="145">
        <f t="shared" ref="K267" si="537">J267+K265+K266</f>
        <v>0</v>
      </c>
      <c r="L267" s="145">
        <f>K267+L265+L266</f>
        <v>0</v>
      </c>
      <c r="M267" s="145">
        <f t="shared" ref="M267" si="538">L267+M265+M266</f>
        <v>0</v>
      </c>
      <c r="N267" s="145">
        <f t="shared" ref="N267" si="539">M267+N265+N266</f>
        <v>0</v>
      </c>
      <c r="O267" s="145">
        <f t="shared" ref="O267" si="540">N267+O265+O266</f>
        <v>0</v>
      </c>
      <c r="P267" s="145">
        <f t="shared" ref="P267" si="541">O267+P265+P266</f>
        <v>0</v>
      </c>
      <c r="Q267" s="145">
        <f t="shared" ref="Q267" si="542">P267+Q265+Q266</f>
        <v>0</v>
      </c>
      <c r="R267" s="145">
        <f t="shared" ref="R267" si="543">Q267+R265+R266</f>
        <v>0</v>
      </c>
      <c r="S267" s="145">
        <f t="shared" ref="S267" si="544">R267+S265+S266</f>
        <v>0</v>
      </c>
      <c r="T267" s="145">
        <f t="shared" ref="T267" si="545">S267+T265+T266</f>
        <v>0</v>
      </c>
      <c r="U267" s="145">
        <f t="shared" ref="U267" si="546">T267+U265+U266</f>
        <v>0</v>
      </c>
      <c r="V267" s="145">
        <f t="shared" ref="V267" si="547">U267+V265+V266</f>
        <v>0</v>
      </c>
    </row>
    <row r="268" spans="2:22" ht="7.5" customHeight="1" x14ac:dyDescent="0.2">
      <c r="E268" s="143"/>
      <c r="F268" s="143"/>
      <c r="G268" s="143"/>
      <c r="H268" s="143"/>
      <c r="I268" s="143"/>
      <c r="J268" s="143"/>
      <c r="K268" s="143"/>
      <c r="L268" s="143"/>
      <c r="M268" s="144"/>
      <c r="N268" s="144"/>
      <c r="O268" s="144"/>
      <c r="P268" s="144"/>
      <c r="Q268" s="144"/>
      <c r="R268" s="144"/>
      <c r="S268" s="144"/>
      <c r="T268" s="144"/>
      <c r="U268" s="144"/>
      <c r="V268" s="144"/>
    </row>
    <row r="269" spans="2:22" x14ac:dyDescent="0.2">
      <c r="D269" s="65" t="s">
        <v>802</v>
      </c>
      <c r="E269" s="143">
        <f t="shared" ref="E269:V269" si="548">-E265/$M243</f>
        <v>0</v>
      </c>
      <c r="F269" s="143">
        <f t="shared" si="548"/>
        <v>0</v>
      </c>
      <c r="G269" s="143">
        <f t="shared" si="548"/>
        <v>0</v>
      </c>
      <c r="H269" s="143">
        <f t="shared" si="548"/>
        <v>0</v>
      </c>
      <c r="I269" s="143">
        <f t="shared" si="548"/>
        <v>0</v>
      </c>
      <c r="J269" s="143">
        <f t="shared" si="548"/>
        <v>0</v>
      </c>
      <c r="K269" s="143">
        <f t="shared" si="548"/>
        <v>0</v>
      </c>
      <c r="L269" s="143">
        <f t="shared" si="548"/>
        <v>0</v>
      </c>
      <c r="M269" s="143">
        <f t="shared" si="548"/>
        <v>0</v>
      </c>
      <c r="N269" s="143">
        <f t="shared" si="548"/>
        <v>0</v>
      </c>
      <c r="O269" s="143">
        <f t="shared" si="548"/>
        <v>0</v>
      </c>
      <c r="P269" s="143">
        <f t="shared" si="548"/>
        <v>0</v>
      </c>
      <c r="Q269" s="143">
        <f t="shared" si="548"/>
        <v>0</v>
      </c>
      <c r="R269" s="143">
        <f t="shared" si="548"/>
        <v>0</v>
      </c>
      <c r="S269" s="143">
        <f t="shared" si="548"/>
        <v>0</v>
      </c>
      <c r="T269" s="143">
        <f t="shared" si="548"/>
        <v>0</v>
      </c>
      <c r="U269" s="143">
        <f t="shared" si="548"/>
        <v>0</v>
      </c>
      <c r="V269" s="143">
        <f t="shared" si="548"/>
        <v>0</v>
      </c>
    </row>
    <row r="270" spans="2:22" x14ac:dyDescent="0.2">
      <c r="D270" s="65" t="s">
        <v>803</v>
      </c>
      <c r="E270" s="143">
        <v>0</v>
      </c>
      <c r="F270" s="143">
        <v>0</v>
      </c>
      <c r="G270" s="143">
        <v>0</v>
      </c>
      <c r="H270" s="143">
        <v>0</v>
      </c>
      <c r="I270" s="143">
        <v>0</v>
      </c>
      <c r="J270" s="143">
        <v>0</v>
      </c>
      <c r="K270" s="143">
        <v>0</v>
      </c>
      <c r="L270" s="143">
        <v>0</v>
      </c>
      <c r="M270" s="144">
        <f>-M266/$M243</f>
        <v>0</v>
      </c>
      <c r="N270" s="144">
        <f t="shared" ref="N270:V270" si="549">-N266/$M243</f>
        <v>0</v>
      </c>
      <c r="O270" s="144">
        <f t="shared" si="549"/>
        <v>0</v>
      </c>
      <c r="P270" s="144">
        <f t="shared" si="549"/>
        <v>0</v>
      </c>
      <c r="Q270" s="144">
        <f t="shared" si="549"/>
        <v>0</v>
      </c>
      <c r="R270" s="144">
        <f t="shared" si="549"/>
        <v>0</v>
      </c>
      <c r="S270" s="144">
        <f t="shared" si="549"/>
        <v>0</v>
      </c>
      <c r="T270" s="144">
        <f t="shared" si="549"/>
        <v>0</v>
      </c>
      <c r="U270" s="144">
        <f t="shared" si="549"/>
        <v>0</v>
      </c>
      <c r="V270" s="144">
        <f t="shared" si="549"/>
        <v>0</v>
      </c>
    </row>
    <row r="271" spans="2:22" x14ac:dyDescent="0.2">
      <c r="B271" s="138"/>
      <c r="C271" s="139" t="s">
        <v>804</v>
      </c>
      <c r="D271" s="140" t="s">
        <v>805</v>
      </c>
      <c r="E271" s="141">
        <f>E269</f>
        <v>0</v>
      </c>
      <c r="F271" s="141">
        <f>E271+F269+F270</f>
        <v>0</v>
      </c>
      <c r="G271" s="141">
        <f t="shared" ref="G271" si="550">F271+G269+G270</f>
        <v>0</v>
      </c>
      <c r="H271" s="141">
        <f t="shared" ref="H271" si="551">G271+H269+H270</f>
        <v>0</v>
      </c>
      <c r="I271" s="141">
        <f>H271+I269+I270</f>
        <v>0</v>
      </c>
      <c r="J271" s="141">
        <f t="shared" ref="J271" si="552">I271+J269+J270</f>
        <v>0</v>
      </c>
      <c r="K271" s="141">
        <f t="shared" ref="K271" si="553">J271+K269+K270</f>
        <v>0</v>
      </c>
      <c r="L271" s="141">
        <f>K271+L269+L270</f>
        <v>0</v>
      </c>
      <c r="M271" s="142">
        <f>L271+M269+M270</f>
        <v>0</v>
      </c>
      <c r="N271" s="142">
        <f t="shared" ref="N271" si="554">M271+N269+N270</f>
        <v>0</v>
      </c>
      <c r="O271" s="142">
        <f t="shared" ref="O271" si="555">N271+O269+O270</f>
        <v>0</v>
      </c>
      <c r="P271" s="142">
        <f t="shared" ref="P271" si="556">O271+P269+P270</f>
        <v>0</v>
      </c>
      <c r="Q271" s="142">
        <f>P271+Q269+Q270</f>
        <v>0</v>
      </c>
      <c r="R271" s="142">
        <f t="shared" ref="R271" si="557">Q271+R269+R270</f>
        <v>0</v>
      </c>
      <c r="S271" s="142">
        <f t="shared" ref="S271" si="558">R271+S269+S270</f>
        <v>0</v>
      </c>
      <c r="T271" s="142">
        <f t="shared" ref="T271" si="559">S271+T269+T270</f>
        <v>0</v>
      </c>
      <c r="U271" s="142">
        <f t="shared" ref="U271" si="560">T271+U269+U270</f>
        <v>0</v>
      </c>
      <c r="V271" s="142">
        <f t="shared" ref="V271" si="561">U271+V269+V270</f>
        <v>0</v>
      </c>
    </row>
    <row r="272" spans="2:22" ht="7.5" customHeight="1" x14ac:dyDescent="0.2">
      <c r="E272" s="143"/>
      <c r="F272" s="143"/>
      <c r="G272" s="143"/>
      <c r="H272" s="143"/>
      <c r="I272" s="143"/>
      <c r="J272" s="143"/>
      <c r="K272" s="143"/>
      <c r="L272" s="143"/>
      <c r="M272" s="144"/>
      <c r="N272" s="144"/>
      <c r="O272" s="144"/>
      <c r="P272" s="144"/>
      <c r="Q272" s="144"/>
      <c r="R272" s="144"/>
      <c r="S272" s="144"/>
      <c r="T272" s="144"/>
      <c r="U272" s="144"/>
      <c r="V272" s="144"/>
    </row>
    <row r="273" spans="2:35" x14ac:dyDescent="0.2">
      <c r="D273" s="61" t="s">
        <v>806</v>
      </c>
      <c r="E273" s="145">
        <f>E267+E271</f>
        <v>0</v>
      </c>
      <c r="F273" s="145">
        <f>E273+F265+F271</f>
        <v>0</v>
      </c>
      <c r="G273" s="145">
        <f t="shared" ref="G273:H273" si="562">F273+G265+G271</f>
        <v>0</v>
      </c>
      <c r="H273" s="145">
        <f t="shared" si="562"/>
        <v>0</v>
      </c>
      <c r="I273" s="145">
        <f>H273+I265+I271</f>
        <v>0</v>
      </c>
      <c r="J273" s="145">
        <f>I273+J265+J271</f>
        <v>0</v>
      </c>
      <c r="K273" s="145">
        <f t="shared" ref="K273:L273" si="563">J273+K265+K271</f>
        <v>0</v>
      </c>
      <c r="L273" s="145">
        <f t="shared" si="563"/>
        <v>0</v>
      </c>
      <c r="M273" s="145">
        <f>L273+M265+M271</f>
        <v>0</v>
      </c>
      <c r="N273" s="145">
        <f t="shared" ref="N273:V273" si="564">M273+N265+N271</f>
        <v>0</v>
      </c>
      <c r="O273" s="145">
        <f t="shared" si="564"/>
        <v>0</v>
      </c>
      <c r="P273" s="145">
        <f t="shared" si="564"/>
        <v>0</v>
      </c>
      <c r="Q273" s="145">
        <f t="shared" si="564"/>
        <v>0</v>
      </c>
      <c r="R273" s="145">
        <f t="shared" si="564"/>
        <v>0</v>
      </c>
      <c r="S273" s="145">
        <f t="shared" si="564"/>
        <v>0</v>
      </c>
      <c r="T273" s="145">
        <f t="shared" si="564"/>
        <v>0</v>
      </c>
      <c r="U273" s="145">
        <f t="shared" si="564"/>
        <v>0</v>
      </c>
      <c r="V273" s="145">
        <f t="shared" si="564"/>
        <v>0</v>
      </c>
    </row>
    <row r="274" spans="2:35" s="136" customFormat="1" ht="7.5" customHeight="1" x14ac:dyDescent="0.2">
      <c r="E274" s="146"/>
      <c r="F274" s="146"/>
      <c r="G274" s="146"/>
      <c r="H274" s="146"/>
      <c r="I274" s="146"/>
      <c r="J274" s="146"/>
      <c r="K274" s="146"/>
      <c r="L274" s="146"/>
      <c r="M274" s="147"/>
      <c r="N274" s="147"/>
      <c r="O274" s="147"/>
      <c r="P274" s="147"/>
      <c r="Q274" s="147"/>
      <c r="R274" s="147"/>
      <c r="S274" s="147"/>
      <c r="T274" s="147"/>
      <c r="U274" s="147"/>
      <c r="V274" s="147"/>
    </row>
    <row r="275" spans="2:35" x14ac:dyDescent="0.2">
      <c r="D275" s="65" t="s">
        <v>817</v>
      </c>
      <c r="E275" s="144"/>
      <c r="F275" s="144"/>
      <c r="G275" s="144"/>
      <c r="H275" s="144"/>
      <c r="I275" s="144"/>
      <c r="J275" s="144"/>
      <c r="K275" s="144"/>
      <c r="L275" s="144">
        <f>M247</f>
        <v>0</v>
      </c>
      <c r="M275" s="144">
        <f>$L275*(1-M264)</f>
        <v>0</v>
      </c>
      <c r="N275" s="144">
        <f t="shared" ref="N275:V275" si="565">$L275*(1-N264)</f>
        <v>0</v>
      </c>
      <c r="O275" s="144">
        <f t="shared" si="565"/>
        <v>0</v>
      </c>
      <c r="P275" s="144">
        <f t="shared" si="565"/>
        <v>0</v>
      </c>
      <c r="Q275" s="144">
        <f t="shared" si="565"/>
        <v>0</v>
      </c>
      <c r="R275" s="144">
        <f t="shared" si="565"/>
        <v>0</v>
      </c>
      <c r="S275" s="144">
        <f t="shared" si="565"/>
        <v>0</v>
      </c>
      <c r="T275" s="144">
        <f t="shared" si="565"/>
        <v>0</v>
      </c>
      <c r="U275" s="144">
        <f t="shared" si="565"/>
        <v>0</v>
      </c>
      <c r="V275" s="144">
        <f t="shared" si="565"/>
        <v>0</v>
      </c>
    </row>
    <row r="278" spans="2:35" s="68" customFormat="1" x14ac:dyDescent="0.2">
      <c r="C278" s="133" t="s">
        <v>818</v>
      </c>
    </row>
    <row r="280" spans="2:35" x14ac:dyDescent="0.2">
      <c r="E280" s="148"/>
      <c r="F280" s="148"/>
      <c r="G280" s="148"/>
      <c r="H280" s="148"/>
      <c r="I280" s="148"/>
      <c r="J280" s="148"/>
      <c r="K280" s="148"/>
      <c r="L280" s="148"/>
      <c r="M280" s="149" t="s">
        <v>267</v>
      </c>
      <c r="N280" s="149"/>
      <c r="O280" s="149"/>
      <c r="P280" s="149"/>
      <c r="Q280" s="149"/>
      <c r="R280" s="149"/>
      <c r="S280" s="149"/>
      <c r="T280" s="149"/>
      <c r="U280" s="149"/>
      <c r="V280" s="149"/>
      <c r="W280" s="150"/>
      <c r="Y280" s="149" t="s">
        <v>265</v>
      </c>
      <c r="Z280" s="149"/>
      <c r="AA280" s="149"/>
      <c r="AB280" s="149"/>
      <c r="AC280" s="149"/>
      <c r="AD280" s="149"/>
      <c r="AE280" s="149"/>
      <c r="AF280" s="149"/>
      <c r="AG280" s="149"/>
      <c r="AH280" s="149"/>
      <c r="AI280" s="150"/>
    </row>
    <row r="281" spans="2:35" x14ac:dyDescent="0.2">
      <c r="B281" s="61" t="s">
        <v>331</v>
      </c>
      <c r="D281" s="80"/>
      <c r="E281" s="151"/>
      <c r="F281" s="151"/>
      <c r="G281" s="151"/>
      <c r="H281" s="151"/>
      <c r="I281" s="151"/>
      <c r="J281" s="151"/>
      <c r="K281" s="151"/>
      <c r="L281" s="151"/>
      <c r="M281" s="152">
        <v>1</v>
      </c>
      <c r="N281" s="152">
        <f>M281+1</f>
        <v>2</v>
      </c>
      <c r="O281" s="152">
        <f t="shared" ref="O281:P281" si="566">N281+1</f>
        <v>3</v>
      </c>
      <c r="P281" s="152">
        <f t="shared" si="566"/>
        <v>4</v>
      </c>
      <c r="Q281" s="152">
        <f>P281+1</f>
        <v>5</v>
      </c>
      <c r="R281" s="152">
        <f>Q281+1</f>
        <v>6</v>
      </c>
      <c r="S281" s="152">
        <f>R281+1</f>
        <v>7</v>
      </c>
      <c r="T281" s="152">
        <f t="shared" ref="T281:V281" si="567">S281+1</f>
        <v>8</v>
      </c>
      <c r="U281" s="152">
        <f t="shared" si="567"/>
        <v>9</v>
      </c>
      <c r="V281" s="152">
        <f t="shared" si="567"/>
        <v>10</v>
      </c>
      <c r="W281" s="152" t="s">
        <v>185</v>
      </c>
      <c r="Y281" s="152">
        <v>1</v>
      </c>
      <c r="Z281" s="152">
        <f>Y281+1</f>
        <v>2</v>
      </c>
      <c r="AA281" s="152">
        <f t="shared" ref="AA281" si="568">Z281+1</f>
        <v>3</v>
      </c>
      <c r="AB281" s="152">
        <f t="shared" ref="AB281" si="569">AA281+1</f>
        <v>4</v>
      </c>
      <c r="AC281" s="152">
        <f>AB281+1</f>
        <v>5</v>
      </c>
      <c r="AD281" s="152">
        <f>AC281+1</f>
        <v>6</v>
      </c>
      <c r="AE281" s="152">
        <f>AD281+1</f>
        <v>7</v>
      </c>
      <c r="AF281" s="152">
        <f t="shared" ref="AF281" si="570">AE281+1</f>
        <v>8</v>
      </c>
      <c r="AG281" s="152">
        <f t="shared" ref="AG281" si="571">AF281+1</f>
        <v>9</v>
      </c>
      <c r="AH281" s="152">
        <f t="shared" ref="AH281" si="572">AG281+1</f>
        <v>10</v>
      </c>
      <c r="AI281" s="152" t="s">
        <v>185</v>
      </c>
    </row>
    <row r="282" spans="2:35" x14ac:dyDescent="0.2">
      <c r="B282" s="153" t="s">
        <v>338</v>
      </c>
      <c r="E282" s="147"/>
      <c r="F282" s="147"/>
      <c r="G282" s="147"/>
      <c r="H282" s="147"/>
      <c r="I282" s="147"/>
      <c r="J282" s="147"/>
      <c r="K282" s="147"/>
      <c r="L282" s="147"/>
      <c r="M282" s="144" t="e">
        <f>-SUM(M22,M100,M178)</f>
        <v>#DIV/0!</v>
      </c>
      <c r="N282" s="144" t="e">
        <f t="shared" ref="N282:V282" si="573">-SUM(N22,N100,N178)</f>
        <v>#DIV/0!</v>
      </c>
      <c r="O282" s="144" t="e">
        <f t="shared" si="573"/>
        <v>#DIV/0!</v>
      </c>
      <c r="P282" s="144" t="e">
        <f t="shared" si="573"/>
        <v>#DIV/0!</v>
      </c>
      <c r="Q282" s="144" t="e">
        <f t="shared" si="573"/>
        <v>#DIV/0!</v>
      </c>
      <c r="R282" s="144" t="e">
        <f t="shared" si="573"/>
        <v>#DIV/0!</v>
      </c>
      <c r="S282" s="144" t="e">
        <f t="shared" si="573"/>
        <v>#DIV/0!</v>
      </c>
      <c r="T282" s="144" t="e">
        <f t="shared" si="573"/>
        <v>#DIV/0!</v>
      </c>
      <c r="U282" s="144" t="e">
        <f t="shared" si="573"/>
        <v>#DIV/0!</v>
      </c>
      <c r="V282" s="144" t="e">
        <f t="shared" si="573"/>
        <v>#DIV/0!</v>
      </c>
      <c r="W282" s="144" t="e">
        <f>SUM(M282:V282)</f>
        <v>#DIV/0!</v>
      </c>
      <c r="Y282" s="144" t="e">
        <f>-SUM(M37,M115,M193)</f>
        <v>#DIV/0!</v>
      </c>
      <c r="Z282" s="144" t="e">
        <f t="shared" ref="Z282:AH282" si="574">-SUM(N37,N115,N193)</f>
        <v>#DIV/0!</v>
      </c>
      <c r="AA282" s="144" t="e">
        <f t="shared" si="574"/>
        <v>#DIV/0!</v>
      </c>
      <c r="AB282" s="144" t="e">
        <f t="shared" si="574"/>
        <v>#DIV/0!</v>
      </c>
      <c r="AC282" s="144" t="e">
        <f t="shared" si="574"/>
        <v>#DIV/0!</v>
      </c>
      <c r="AD282" s="144" t="e">
        <f t="shared" si="574"/>
        <v>#DIV/0!</v>
      </c>
      <c r="AE282" s="144" t="e">
        <f t="shared" si="574"/>
        <v>#DIV/0!</v>
      </c>
      <c r="AF282" s="144" t="e">
        <f t="shared" si="574"/>
        <v>#DIV/0!</v>
      </c>
      <c r="AG282" s="144" t="e">
        <f t="shared" si="574"/>
        <v>#DIV/0!</v>
      </c>
      <c r="AH282" s="144" t="e">
        <f t="shared" si="574"/>
        <v>#DIV/0!</v>
      </c>
      <c r="AI282" s="144" t="e">
        <f>SUM(Y282:AH282)</f>
        <v>#DIV/0!</v>
      </c>
    </row>
    <row r="283" spans="2:35" x14ac:dyDescent="0.2">
      <c r="B283" s="153" t="s">
        <v>339</v>
      </c>
      <c r="E283" s="147"/>
      <c r="F283" s="147"/>
      <c r="G283" s="147"/>
      <c r="H283" s="147"/>
      <c r="I283" s="147"/>
      <c r="J283" s="147"/>
      <c r="K283" s="147"/>
      <c r="L283" s="147"/>
      <c r="M283" s="144" t="e">
        <f>SUM(M26,M104,M182)</f>
        <v>#DIV/0!</v>
      </c>
      <c r="N283" s="144" t="e">
        <f t="shared" ref="N283:V283" si="575">SUM(N26,N104,N182)</f>
        <v>#DIV/0!</v>
      </c>
      <c r="O283" s="144" t="e">
        <f t="shared" si="575"/>
        <v>#DIV/0!</v>
      </c>
      <c r="P283" s="144" t="e">
        <f t="shared" si="575"/>
        <v>#DIV/0!</v>
      </c>
      <c r="Q283" s="144" t="e">
        <f t="shared" si="575"/>
        <v>#DIV/0!</v>
      </c>
      <c r="R283" s="144" t="e">
        <f t="shared" si="575"/>
        <v>#DIV/0!</v>
      </c>
      <c r="S283" s="144" t="e">
        <f t="shared" si="575"/>
        <v>#DIV/0!</v>
      </c>
      <c r="T283" s="144" t="e">
        <f t="shared" si="575"/>
        <v>#DIV/0!</v>
      </c>
      <c r="U283" s="144" t="e">
        <f t="shared" si="575"/>
        <v>#DIV/0!</v>
      </c>
      <c r="V283" s="144" t="e">
        <f t="shared" si="575"/>
        <v>#DIV/0!</v>
      </c>
      <c r="W283" s="144" t="e">
        <f>SUM(M283:V283)</f>
        <v>#DIV/0!</v>
      </c>
      <c r="Y283" s="144" t="e">
        <f>SUM(M41,M119,M197)</f>
        <v>#DIV/0!</v>
      </c>
      <c r="Z283" s="144" t="e">
        <f t="shared" ref="Z283:AH283" si="576">SUM(N41,N119,N197)</f>
        <v>#DIV/0!</v>
      </c>
      <c r="AA283" s="144" t="e">
        <f t="shared" si="576"/>
        <v>#DIV/0!</v>
      </c>
      <c r="AB283" s="144" t="e">
        <f t="shared" si="576"/>
        <v>#DIV/0!</v>
      </c>
      <c r="AC283" s="144" t="e">
        <f t="shared" si="576"/>
        <v>#DIV/0!</v>
      </c>
      <c r="AD283" s="144" t="e">
        <f t="shared" si="576"/>
        <v>#DIV/0!</v>
      </c>
      <c r="AE283" s="144" t="e">
        <f t="shared" si="576"/>
        <v>#DIV/0!</v>
      </c>
      <c r="AF283" s="144" t="e">
        <f t="shared" si="576"/>
        <v>#DIV/0!</v>
      </c>
      <c r="AG283" s="144" t="e">
        <f t="shared" si="576"/>
        <v>#DIV/0!</v>
      </c>
      <c r="AH283" s="144" t="e">
        <f t="shared" si="576"/>
        <v>#DIV/0!</v>
      </c>
      <c r="AI283" s="144" t="e">
        <f>SUM(Y283:AH283)</f>
        <v>#DIV/0!</v>
      </c>
    </row>
    <row r="284" spans="2:35" x14ac:dyDescent="0.2">
      <c r="B284" s="153" t="s">
        <v>340</v>
      </c>
      <c r="E284" s="147"/>
      <c r="F284" s="147"/>
      <c r="G284" s="147"/>
      <c r="H284" s="147"/>
      <c r="I284" s="147"/>
      <c r="J284" s="147"/>
      <c r="K284" s="147"/>
      <c r="L284" s="147"/>
      <c r="M284" s="144">
        <f>-SUM(M60,M138,M216)</f>
        <v>0</v>
      </c>
      <c r="N284" s="144">
        <f t="shared" ref="N284:V284" si="577">-SUM(N60,N138,N216)</f>
        <v>0</v>
      </c>
      <c r="O284" s="144">
        <f t="shared" si="577"/>
        <v>0</v>
      </c>
      <c r="P284" s="144">
        <f t="shared" si="577"/>
        <v>0</v>
      </c>
      <c r="Q284" s="144">
        <f t="shared" si="577"/>
        <v>0</v>
      </c>
      <c r="R284" s="144">
        <f t="shared" si="577"/>
        <v>0</v>
      </c>
      <c r="S284" s="144">
        <f t="shared" si="577"/>
        <v>0</v>
      </c>
      <c r="T284" s="144">
        <f t="shared" si="577"/>
        <v>0</v>
      </c>
      <c r="U284" s="144">
        <f t="shared" si="577"/>
        <v>0</v>
      </c>
      <c r="V284" s="144">
        <f t="shared" si="577"/>
        <v>0</v>
      </c>
      <c r="W284" s="144">
        <f t="shared" ref="W284:W287" si="578">SUM(M284:V284)</f>
        <v>0</v>
      </c>
      <c r="Y284" s="144">
        <f>-SUM(M75,M153,M231)</f>
        <v>0</v>
      </c>
      <c r="Z284" s="144">
        <f t="shared" ref="Z284:AH284" si="579">-SUM(N75,N153,N231)</f>
        <v>0</v>
      </c>
      <c r="AA284" s="144">
        <f t="shared" si="579"/>
        <v>0</v>
      </c>
      <c r="AB284" s="144">
        <f t="shared" si="579"/>
        <v>0</v>
      </c>
      <c r="AC284" s="144">
        <f t="shared" si="579"/>
        <v>0</v>
      </c>
      <c r="AD284" s="144">
        <f t="shared" si="579"/>
        <v>0</v>
      </c>
      <c r="AE284" s="144">
        <f t="shared" si="579"/>
        <v>0</v>
      </c>
      <c r="AF284" s="144">
        <f t="shared" si="579"/>
        <v>0</v>
      </c>
      <c r="AG284" s="144">
        <f t="shared" si="579"/>
        <v>0</v>
      </c>
      <c r="AH284" s="144">
        <f t="shared" si="579"/>
        <v>0</v>
      </c>
      <c r="AI284" s="144">
        <f t="shared" ref="AI284:AI287" si="580">SUM(Y284:AH284)</f>
        <v>0</v>
      </c>
    </row>
    <row r="285" spans="2:35" x14ac:dyDescent="0.2">
      <c r="B285" s="153" t="s">
        <v>341</v>
      </c>
      <c r="E285" s="147"/>
      <c r="F285" s="147"/>
      <c r="G285" s="147"/>
      <c r="H285" s="147"/>
      <c r="I285" s="147"/>
      <c r="J285" s="147"/>
      <c r="K285" s="147"/>
      <c r="L285" s="147"/>
      <c r="M285" s="144">
        <f>SUM(M64,M142,M220)</f>
        <v>0</v>
      </c>
      <c r="N285" s="144">
        <f t="shared" ref="N285:V285" si="581">SUM(N64,N142,N220)</f>
        <v>0</v>
      </c>
      <c r="O285" s="144">
        <f t="shared" si="581"/>
        <v>0</v>
      </c>
      <c r="P285" s="144">
        <f t="shared" si="581"/>
        <v>0</v>
      </c>
      <c r="Q285" s="144">
        <f t="shared" si="581"/>
        <v>0</v>
      </c>
      <c r="R285" s="144">
        <f t="shared" si="581"/>
        <v>0</v>
      </c>
      <c r="S285" s="144">
        <f t="shared" si="581"/>
        <v>0</v>
      </c>
      <c r="T285" s="144">
        <f t="shared" si="581"/>
        <v>0</v>
      </c>
      <c r="U285" s="144">
        <f t="shared" si="581"/>
        <v>0</v>
      </c>
      <c r="V285" s="144">
        <f t="shared" si="581"/>
        <v>0</v>
      </c>
      <c r="W285" s="144">
        <f t="shared" si="578"/>
        <v>0</v>
      </c>
      <c r="Y285" s="144">
        <f>SUM(M79,M157,M235)</f>
        <v>0</v>
      </c>
      <c r="Z285" s="144">
        <f t="shared" ref="Z285:AH285" si="582">SUM(N79,N157,N235)</f>
        <v>0</v>
      </c>
      <c r="AA285" s="144">
        <f t="shared" si="582"/>
        <v>0</v>
      </c>
      <c r="AB285" s="144">
        <f t="shared" si="582"/>
        <v>0</v>
      </c>
      <c r="AC285" s="144">
        <f t="shared" si="582"/>
        <v>0</v>
      </c>
      <c r="AD285" s="144">
        <f t="shared" si="582"/>
        <v>0</v>
      </c>
      <c r="AE285" s="144">
        <f t="shared" si="582"/>
        <v>0</v>
      </c>
      <c r="AF285" s="144">
        <f t="shared" si="582"/>
        <v>0</v>
      </c>
      <c r="AG285" s="144">
        <f t="shared" si="582"/>
        <v>0</v>
      </c>
      <c r="AH285" s="144">
        <f t="shared" si="582"/>
        <v>0</v>
      </c>
      <c r="AI285" s="144">
        <f t="shared" si="580"/>
        <v>0</v>
      </c>
    </row>
    <row r="286" spans="2:35" x14ac:dyDescent="0.2">
      <c r="B286" s="153" t="s">
        <v>344</v>
      </c>
      <c r="E286" s="147"/>
      <c r="F286" s="147"/>
      <c r="G286" s="147"/>
      <c r="H286" s="147"/>
      <c r="I286" s="147"/>
      <c r="J286" s="147"/>
      <c r="K286" s="147"/>
      <c r="L286" s="147"/>
      <c r="M286" s="144">
        <f>-M256</f>
        <v>0</v>
      </c>
      <c r="N286" s="144">
        <f t="shared" ref="N286:V286" si="583">-N256</f>
        <v>0</v>
      </c>
      <c r="O286" s="144">
        <f t="shared" si="583"/>
        <v>0</v>
      </c>
      <c r="P286" s="144">
        <f t="shared" si="583"/>
        <v>0</v>
      </c>
      <c r="Q286" s="144">
        <f t="shared" si="583"/>
        <v>0</v>
      </c>
      <c r="R286" s="144">
        <f t="shared" si="583"/>
        <v>0</v>
      </c>
      <c r="S286" s="144">
        <f t="shared" si="583"/>
        <v>0</v>
      </c>
      <c r="T286" s="144">
        <f t="shared" si="583"/>
        <v>0</v>
      </c>
      <c r="U286" s="144">
        <f t="shared" si="583"/>
        <v>0</v>
      </c>
      <c r="V286" s="144">
        <f t="shared" si="583"/>
        <v>0</v>
      </c>
      <c r="W286" s="144">
        <f t="shared" si="578"/>
        <v>0</v>
      </c>
      <c r="Y286" s="144">
        <f>-M271</f>
        <v>0</v>
      </c>
      <c r="Z286" s="144">
        <f t="shared" ref="Z286:AH286" si="584">-N271</f>
        <v>0</v>
      </c>
      <c r="AA286" s="144">
        <f t="shared" si="584"/>
        <v>0</v>
      </c>
      <c r="AB286" s="144">
        <f t="shared" si="584"/>
        <v>0</v>
      </c>
      <c r="AC286" s="144">
        <f t="shared" si="584"/>
        <v>0</v>
      </c>
      <c r="AD286" s="144">
        <f t="shared" si="584"/>
        <v>0</v>
      </c>
      <c r="AE286" s="144">
        <f t="shared" si="584"/>
        <v>0</v>
      </c>
      <c r="AF286" s="144">
        <f t="shared" si="584"/>
        <v>0</v>
      </c>
      <c r="AG286" s="144">
        <f t="shared" si="584"/>
        <v>0</v>
      </c>
      <c r="AH286" s="144">
        <f t="shared" si="584"/>
        <v>0</v>
      </c>
      <c r="AI286" s="144">
        <f t="shared" si="580"/>
        <v>0</v>
      </c>
    </row>
    <row r="287" spans="2:35" x14ac:dyDescent="0.2">
      <c r="B287" s="153" t="s">
        <v>345</v>
      </c>
      <c r="E287" s="147"/>
      <c r="F287" s="147"/>
      <c r="G287" s="147"/>
      <c r="H287" s="147"/>
      <c r="I287" s="147"/>
      <c r="J287" s="147"/>
      <c r="K287" s="147"/>
      <c r="L287" s="147"/>
      <c r="M287" s="144">
        <f>M260</f>
        <v>0</v>
      </c>
      <c r="N287" s="144">
        <f t="shared" ref="N287:V287" si="585">N260</f>
        <v>0</v>
      </c>
      <c r="O287" s="144">
        <f t="shared" si="585"/>
        <v>0</v>
      </c>
      <c r="P287" s="144">
        <f t="shared" si="585"/>
        <v>0</v>
      </c>
      <c r="Q287" s="144">
        <f t="shared" si="585"/>
        <v>0</v>
      </c>
      <c r="R287" s="144">
        <f t="shared" si="585"/>
        <v>0</v>
      </c>
      <c r="S287" s="144">
        <f t="shared" si="585"/>
        <v>0</v>
      </c>
      <c r="T287" s="144">
        <f t="shared" si="585"/>
        <v>0</v>
      </c>
      <c r="U287" s="144">
        <f t="shared" si="585"/>
        <v>0</v>
      </c>
      <c r="V287" s="144">
        <f t="shared" si="585"/>
        <v>0</v>
      </c>
      <c r="W287" s="144">
        <f t="shared" si="578"/>
        <v>0</v>
      </c>
      <c r="Y287" s="144">
        <f>M275</f>
        <v>0</v>
      </c>
      <c r="Z287" s="144">
        <f t="shared" ref="Z287:AH287" si="586">N275</f>
        <v>0</v>
      </c>
      <c r="AA287" s="144">
        <f t="shared" si="586"/>
        <v>0</v>
      </c>
      <c r="AB287" s="144">
        <f t="shared" si="586"/>
        <v>0</v>
      </c>
      <c r="AC287" s="144">
        <f t="shared" si="586"/>
        <v>0</v>
      </c>
      <c r="AD287" s="144">
        <f t="shared" si="586"/>
        <v>0</v>
      </c>
      <c r="AE287" s="144">
        <f t="shared" si="586"/>
        <v>0</v>
      </c>
      <c r="AF287" s="144">
        <f t="shared" si="586"/>
        <v>0</v>
      </c>
      <c r="AG287" s="144">
        <f t="shared" si="586"/>
        <v>0</v>
      </c>
      <c r="AH287" s="144">
        <f t="shared" si="586"/>
        <v>0</v>
      </c>
      <c r="AI287" s="144">
        <f t="shared" si="580"/>
        <v>0</v>
      </c>
    </row>
    <row r="288" spans="2:35" x14ac:dyDescent="0.2">
      <c r="E288" s="136"/>
      <c r="F288" s="136"/>
      <c r="G288" s="136"/>
      <c r="H288" s="136"/>
      <c r="I288" s="136"/>
      <c r="J288" s="136"/>
      <c r="K288" s="136"/>
      <c r="L288" s="136"/>
    </row>
    <row r="289" spans="2:35" x14ac:dyDescent="0.2">
      <c r="E289" s="148"/>
      <c r="F289" s="148"/>
      <c r="G289" s="148"/>
      <c r="H289" s="148"/>
      <c r="I289" s="148"/>
      <c r="J289" s="148"/>
      <c r="K289" s="148"/>
      <c r="L289" s="148"/>
      <c r="M289" s="149" t="s">
        <v>267</v>
      </c>
      <c r="N289" s="149"/>
      <c r="O289" s="149"/>
      <c r="P289" s="149"/>
      <c r="Q289" s="149"/>
      <c r="R289" s="149"/>
      <c r="S289" s="149"/>
      <c r="T289" s="149"/>
      <c r="U289" s="149"/>
      <c r="V289" s="149"/>
      <c r="W289" s="150"/>
      <c r="Y289" s="149" t="s">
        <v>265</v>
      </c>
      <c r="Z289" s="149"/>
      <c r="AA289" s="149"/>
      <c r="AB289" s="149"/>
      <c r="AC289" s="149"/>
      <c r="AD289" s="149"/>
      <c r="AE289" s="149"/>
      <c r="AF289" s="149"/>
      <c r="AG289" s="149"/>
      <c r="AH289" s="149"/>
      <c r="AI289" s="150"/>
    </row>
    <row r="290" spans="2:35" x14ac:dyDescent="0.2">
      <c r="B290" s="61" t="s">
        <v>514</v>
      </c>
      <c r="D290" s="80"/>
      <c r="E290" s="151"/>
      <c r="F290" s="151"/>
      <c r="G290" s="151"/>
      <c r="H290" s="151"/>
      <c r="I290" s="151"/>
      <c r="J290" s="151"/>
      <c r="K290" s="151"/>
      <c r="L290" s="151"/>
      <c r="M290" s="152">
        <v>1</v>
      </c>
      <c r="N290" s="152">
        <f>M290+1</f>
        <v>2</v>
      </c>
      <c r="O290" s="152">
        <f t="shared" ref="O290" si="587">N290+1</f>
        <v>3</v>
      </c>
      <c r="P290" s="152">
        <f t="shared" ref="P290" si="588">O290+1</f>
        <v>4</v>
      </c>
      <c r="Q290" s="152">
        <f>P290+1</f>
        <v>5</v>
      </c>
      <c r="R290" s="152">
        <f>Q290+1</f>
        <v>6</v>
      </c>
      <c r="S290" s="152">
        <f>R290+1</f>
        <v>7</v>
      </c>
      <c r="T290" s="152">
        <f t="shared" ref="T290" si="589">S290+1</f>
        <v>8</v>
      </c>
      <c r="U290" s="152">
        <f t="shared" ref="U290" si="590">T290+1</f>
        <v>9</v>
      </c>
      <c r="V290" s="152">
        <f t="shared" ref="V290" si="591">U290+1</f>
        <v>10</v>
      </c>
      <c r="W290" s="152" t="s">
        <v>185</v>
      </c>
      <c r="Y290" s="152">
        <v>1</v>
      </c>
      <c r="Z290" s="152">
        <f>Y290+1</f>
        <v>2</v>
      </c>
      <c r="AA290" s="152">
        <f t="shared" ref="AA290" si="592">Z290+1</f>
        <v>3</v>
      </c>
      <c r="AB290" s="152">
        <f t="shared" ref="AB290" si="593">AA290+1</f>
        <v>4</v>
      </c>
      <c r="AC290" s="152">
        <f>AB290+1</f>
        <v>5</v>
      </c>
      <c r="AD290" s="152">
        <f>AC290+1</f>
        <v>6</v>
      </c>
      <c r="AE290" s="152">
        <f>AD290+1</f>
        <v>7</v>
      </c>
      <c r="AF290" s="152">
        <f t="shared" ref="AF290" si="594">AE290+1</f>
        <v>8</v>
      </c>
      <c r="AG290" s="152">
        <f t="shared" ref="AG290" si="595">AF290+1</f>
        <v>9</v>
      </c>
      <c r="AH290" s="152">
        <f t="shared" ref="AH290" si="596">AG290+1</f>
        <v>10</v>
      </c>
      <c r="AI290" s="152" t="s">
        <v>185</v>
      </c>
    </row>
    <row r="291" spans="2:35" x14ac:dyDescent="0.2">
      <c r="B291" s="153" t="s">
        <v>376</v>
      </c>
      <c r="E291" s="147"/>
      <c r="F291" s="147"/>
      <c r="G291" s="147"/>
      <c r="H291" s="147"/>
      <c r="I291" s="147"/>
      <c r="J291" s="147"/>
      <c r="K291" s="147"/>
      <c r="L291" s="147"/>
      <c r="M291" s="144" t="e">
        <f>SUM(M16,M94,M172)</f>
        <v>#DIV/0!</v>
      </c>
      <c r="N291" s="144" t="e">
        <f t="shared" ref="N291:V291" si="597">SUM(N16,N94,N172)</f>
        <v>#DIV/0!</v>
      </c>
      <c r="O291" s="144" t="e">
        <f t="shared" si="597"/>
        <v>#DIV/0!</v>
      </c>
      <c r="P291" s="144" t="e">
        <f t="shared" si="597"/>
        <v>#DIV/0!</v>
      </c>
      <c r="Q291" s="144" t="e">
        <f t="shared" si="597"/>
        <v>#DIV/0!</v>
      </c>
      <c r="R291" s="144" t="e">
        <f t="shared" si="597"/>
        <v>#DIV/0!</v>
      </c>
      <c r="S291" s="144" t="e">
        <f t="shared" si="597"/>
        <v>#DIV/0!</v>
      </c>
      <c r="T291" s="144" t="e">
        <f t="shared" si="597"/>
        <v>#DIV/0!</v>
      </c>
      <c r="U291" s="144" t="e">
        <f t="shared" si="597"/>
        <v>#DIV/0!</v>
      </c>
      <c r="V291" s="144" t="e">
        <f t="shared" si="597"/>
        <v>#DIV/0!</v>
      </c>
      <c r="W291" s="144" t="e">
        <f>SUM(M291:V291)</f>
        <v>#DIV/0!</v>
      </c>
      <c r="Y291" s="144" t="e">
        <f>SUM(M31,M109,M187)</f>
        <v>#DIV/0!</v>
      </c>
      <c r="Z291" s="144" t="e">
        <f t="shared" ref="Z291:AH291" si="598">SUM(N31,N109,N187)</f>
        <v>#DIV/0!</v>
      </c>
      <c r="AA291" s="144" t="e">
        <f t="shared" si="598"/>
        <v>#DIV/0!</v>
      </c>
      <c r="AB291" s="144" t="e">
        <f t="shared" si="598"/>
        <v>#DIV/0!</v>
      </c>
      <c r="AC291" s="144" t="e">
        <f t="shared" si="598"/>
        <v>#DIV/0!</v>
      </c>
      <c r="AD291" s="144" t="e">
        <f t="shared" si="598"/>
        <v>#DIV/0!</v>
      </c>
      <c r="AE291" s="144" t="e">
        <f t="shared" si="598"/>
        <v>#DIV/0!</v>
      </c>
      <c r="AF291" s="144" t="e">
        <f t="shared" si="598"/>
        <v>#DIV/0!</v>
      </c>
      <c r="AG291" s="144" t="e">
        <f t="shared" si="598"/>
        <v>#DIV/0!</v>
      </c>
      <c r="AH291" s="144" t="e">
        <f t="shared" si="598"/>
        <v>#DIV/0!</v>
      </c>
      <c r="AI291" s="144" t="e">
        <f>SUM(Y291:AH291)</f>
        <v>#DIV/0!</v>
      </c>
    </row>
    <row r="292" spans="2:35" x14ac:dyDescent="0.2">
      <c r="B292" s="153" t="s">
        <v>339</v>
      </c>
      <c r="E292" s="147"/>
      <c r="F292" s="147"/>
      <c r="G292" s="147"/>
      <c r="H292" s="147"/>
      <c r="I292" s="147"/>
      <c r="J292" s="147"/>
      <c r="K292" s="147"/>
      <c r="L292" s="147"/>
      <c r="M292" s="144" t="e">
        <f>M283</f>
        <v>#DIV/0!</v>
      </c>
      <c r="N292" s="144" t="e">
        <f t="shared" ref="N292:V292" si="599">N283</f>
        <v>#DIV/0!</v>
      </c>
      <c r="O292" s="144" t="e">
        <f t="shared" si="599"/>
        <v>#DIV/0!</v>
      </c>
      <c r="P292" s="144" t="e">
        <f t="shared" si="599"/>
        <v>#DIV/0!</v>
      </c>
      <c r="Q292" s="144" t="e">
        <f t="shared" si="599"/>
        <v>#DIV/0!</v>
      </c>
      <c r="R292" s="144" t="e">
        <f t="shared" si="599"/>
        <v>#DIV/0!</v>
      </c>
      <c r="S292" s="144" t="e">
        <f t="shared" si="599"/>
        <v>#DIV/0!</v>
      </c>
      <c r="T292" s="144" t="e">
        <f t="shared" si="599"/>
        <v>#DIV/0!</v>
      </c>
      <c r="U292" s="144" t="e">
        <f t="shared" si="599"/>
        <v>#DIV/0!</v>
      </c>
      <c r="V292" s="144" t="e">
        <f t="shared" si="599"/>
        <v>#DIV/0!</v>
      </c>
      <c r="W292" s="144" t="e">
        <f>SUM(M292:V292)</f>
        <v>#DIV/0!</v>
      </c>
      <c r="Y292" s="144" t="e">
        <f>Y283</f>
        <v>#DIV/0!</v>
      </c>
      <c r="Z292" s="144" t="e">
        <f t="shared" ref="Z292:AH292" si="600">Z283</f>
        <v>#DIV/0!</v>
      </c>
      <c r="AA292" s="144" t="e">
        <f t="shared" si="600"/>
        <v>#DIV/0!</v>
      </c>
      <c r="AB292" s="144" t="e">
        <f t="shared" si="600"/>
        <v>#DIV/0!</v>
      </c>
      <c r="AC292" s="144" t="e">
        <f t="shared" si="600"/>
        <v>#DIV/0!</v>
      </c>
      <c r="AD292" s="144" t="e">
        <f t="shared" si="600"/>
        <v>#DIV/0!</v>
      </c>
      <c r="AE292" s="144" t="e">
        <f t="shared" si="600"/>
        <v>#DIV/0!</v>
      </c>
      <c r="AF292" s="144" t="e">
        <f t="shared" si="600"/>
        <v>#DIV/0!</v>
      </c>
      <c r="AG292" s="144" t="e">
        <f t="shared" si="600"/>
        <v>#DIV/0!</v>
      </c>
      <c r="AH292" s="144" t="e">
        <f t="shared" si="600"/>
        <v>#DIV/0!</v>
      </c>
      <c r="AI292" s="144" t="e">
        <f>SUM(Y292:AH292)</f>
        <v>#DIV/0!</v>
      </c>
    </row>
    <row r="293" spans="2:35" x14ac:dyDescent="0.2">
      <c r="B293" s="153" t="s">
        <v>377</v>
      </c>
      <c r="E293" s="147"/>
      <c r="F293" s="147"/>
      <c r="G293" s="147"/>
      <c r="H293" s="147"/>
      <c r="I293" s="147"/>
      <c r="J293" s="147"/>
      <c r="K293" s="147"/>
      <c r="L293" s="147"/>
      <c r="M293" s="144">
        <f>SUM(M54,M132,M210)</f>
        <v>0</v>
      </c>
      <c r="N293" s="144">
        <f t="shared" ref="N293:V293" si="601">SUM(N54,N132,N210)</f>
        <v>0</v>
      </c>
      <c r="O293" s="144">
        <f t="shared" si="601"/>
        <v>0</v>
      </c>
      <c r="P293" s="144">
        <f t="shared" si="601"/>
        <v>0</v>
      </c>
      <c r="Q293" s="144">
        <f t="shared" si="601"/>
        <v>0</v>
      </c>
      <c r="R293" s="144">
        <f t="shared" si="601"/>
        <v>0</v>
      </c>
      <c r="S293" s="144">
        <f t="shared" si="601"/>
        <v>0</v>
      </c>
      <c r="T293" s="144">
        <f t="shared" si="601"/>
        <v>0</v>
      </c>
      <c r="U293" s="144">
        <f t="shared" si="601"/>
        <v>0</v>
      </c>
      <c r="V293" s="144">
        <f t="shared" si="601"/>
        <v>0</v>
      </c>
      <c r="W293" s="144">
        <f t="shared" ref="W293:W296" si="602">SUM(M293:V293)</f>
        <v>0</v>
      </c>
      <c r="Y293" s="144">
        <f>SUM(M69,M147,M225)</f>
        <v>0</v>
      </c>
      <c r="Z293" s="144">
        <f t="shared" ref="Z293:AH293" si="603">SUM(N69,N147,N225)</f>
        <v>0</v>
      </c>
      <c r="AA293" s="144">
        <f t="shared" si="603"/>
        <v>0</v>
      </c>
      <c r="AB293" s="144">
        <f t="shared" si="603"/>
        <v>0</v>
      </c>
      <c r="AC293" s="144">
        <f t="shared" si="603"/>
        <v>0</v>
      </c>
      <c r="AD293" s="144">
        <f t="shared" si="603"/>
        <v>0</v>
      </c>
      <c r="AE293" s="144">
        <f t="shared" si="603"/>
        <v>0</v>
      </c>
      <c r="AF293" s="144">
        <f t="shared" si="603"/>
        <v>0</v>
      </c>
      <c r="AG293" s="144">
        <f t="shared" si="603"/>
        <v>0</v>
      </c>
      <c r="AH293" s="144">
        <f t="shared" si="603"/>
        <v>0</v>
      </c>
      <c r="AI293" s="144">
        <f t="shared" ref="AI293:AI296" si="604">SUM(Y293:AH293)</f>
        <v>0</v>
      </c>
    </row>
    <row r="294" spans="2:35" x14ac:dyDescent="0.2">
      <c r="B294" s="153" t="s">
        <v>341</v>
      </c>
      <c r="E294" s="147"/>
      <c r="F294" s="147"/>
      <c r="G294" s="147"/>
      <c r="H294" s="147"/>
      <c r="I294" s="147"/>
      <c r="J294" s="147"/>
      <c r="K294" s="147"/>
      <c r="L294" s="147"/>
      <c r="M294" s="144">
        <f>M285</f>
        <v>0</v>
      </c>
      <c r="N294" s="144">
        <f t="shared" ref="N294:V294" si="605">N285</f>
        <v>0</v>
      </c>
      <c r="O294" s="144">
        <f t="shared" si="605"/>
        <v>0</v>
      </c>
      <c r="P294" s="144">
        <f t="shared" si="605"/>
        <v>0</v>
      </c>
      <c r="Q294" s="144">
        <f t="shared" si="605"/>
        <v>0</v>
      </c>
      <c r="R294" s="144">
        <f t="shared" si="605"/>
        <v>0</v>
      </c>
      <c r="S294" s="144">
        <f t="shared" si="605"/>
        <v>0</v>
      </c>
      <c r="T294" s="144">
        <f t="shared" si="605"/>
        <v>0</v>
      </c>
      <c r="U294" s="144">
        <f t="shared" si="605"/>
        <v>0</v>
      </c>
      <c r="V294" s="144">
        <f t="shared" si="605"/>
        <v>0</v>
      </c>
      <c r="W294" s="144">
        <f t="shared" si="602"/>
        <v>0</v>
      </c>
      <c r="Y294" s="144">
        <f>Y285</f>
        <v>0</v>
      </c>
      <c r="Z294" s="144">
        <f t="shared" ref="Z294:AH294" si="606">Z285</f>
        <v>0</v>
      </c>
      <c r="AA294" s="144">
        <f t="shared" si="606"/>
        <v>0</v>
      </c>
      <c r="AB294" s="144">
        <f t="shared" si="606"/>
        <v>0</v>
      </c>
      <c r="AC294" s="144">
        <f t="shared" si="606"/>
        <v>0</v>
      </c>
      <c r="AD294" s="144">
        <f t="shared" si="606"/>
        <v>0</v>
      </c>
      <c r="AE294" s="144">
        <f t="shared" si="606"/>
        <v>0</v>
      </c>
      <c r="AF294" s="144">
        <f t="shared" si="606"/>
        <v>0</v>
      </c>
      <c r="AG294" s="144">
        <f t="shared" si="606"/>
        <v>0</v>
      </c>
      <c r="AH294" s="144">
        <f t="shared" si="606"/>
        <v>0</v>
      </c>
      <c r="AI294" s="144">
        <f t="shared" si="604"/>
        <v>0</v>
      </c>
    </row>
    <row r="295" spans="2:35" x14ac:dyDescent="0.2">
      <c r="B295" s="153" t="s">
        <v>819</v>
      </c>
      <c r="E295" s="147"/>
      <c r="F295" s="147"/>
      <c r="G295" s="147"/>
      <c r="H295" s="147"/>
      <c r="I295" s="147"/>
      <c r="J295" s="147"/>
      <c r="K295" s="147"/>
      <c r="L295" s="147"/>
      <c r="M295" s="144">
        <f>M250</f>
        <v>0</v>
      </c>
      <c r="N295" s="144">
        <f t="shared" ref="N295:V295" si="607">N250</f>
        <v>0</v>
      </c>
      <c r="O295" s="144">
        <f t="shared" si="607"/>
        <v>0</v>
      </c>
      <c r="P295" s="144">
        <f t="shared" si="607"/>
        <v>0</v>
      </c>
      <c r="Q295" s="144">
        <f t="shared" si="607"/>
        <v>0</v>
      </c>
      <c r="R295" s="144">
        <f t="shared" si="607"/>
        <v>0</v>
      </c>
      <c r="S295" s="144">
        <f t="shared" si="607"/>
        <v>0</v>
      </c>
      <c r="T295" s="144">
        <f t="shared" si="607"/>
        <v>0</v>
      </c>
      <c r="U295" s="144">
        <f t="shared" si="607"/>
        <v>0</v>
      </c>
      <c r="V295" s="144">
        <f t="shared" si="607"/>
        <v>0</v>
      </c>
      <c r="W295" s="144">
        <f t="shared" si="602"/>
        <v>0</v>
      </c>
      <c r="Y295" s="144">
        <f>M265</f>
        <v>0</v>
      </c>
      <c r="Z295" s="144">
        <f t="shared" ref="Z295:AH295" si="608">N265</f>
        <v>0</v>
      </c>
      <c r="AA295" s="144">
        <f t="shared" si="608"/>
        <v>0</v>
      </c>
      <c r="AB295" s="144">
        <f t="shared" si="608"/>
        <v>0</v>
      </c>
      <c r="AC295" s="144">
        <f t="shared" si="608"/>
        <v>0</v>
      </c>
      <c r="AD295" s="144">
        <f t="shared" si="608"/>
        <v>0</v>
      </c>
      <c r="AE295" s="144">
        <f t="shared" si="608"/>
        <v>0</v>
      </c>
      <c r="AF295" s="144">
        <f t="shared" si="608"/>
        <v>0</v>
      </c>
      <c r="AG295" s="144">
        <f t="shared" si="608"/>
        <v>0</v>
      </c>
      <c r="AH295" s="144">
        <f t="shared" si="608"/>
        <v>0</v>
      </c>
      <c r="AI295" s="144">
        <f t="shared" si="604"/>
        <v>0</v>
      </c>
    </row>
    <row r="296" spans="2:35" x14ac:dyDescent="0.2">
      <c r="B296" s="153" t="s">
        <v>345</v>
      </c>
      <c r="E296" s="147"/>
      <c r="F296" s="147"/>
      <c r="G296" s="147"/>
      <c r="H296" s="147"/>
      <c r="I296" s="147"/>
      <c r="J296" s="147"/>
      <c r="K296" s="147"/>
      <c r="L296" s="147"/>
      <c r="M296" s="144">
        <f>M287</f>
        <v>0</v>
      </c>
      <c r="N296" s="144">
        <f t="shared" ref="N296:V296" si="609">N287</f>
        <v>0</v>
      </c>
      <c r="O296" s="144">
        <f t="shared" si="609"/>
        <v>0</v>
      </c>
      <c r="P296" s="144">
        <f t="shared" si="609"/>
        <v>0</v>
      </c>
      <c r="Q296" s="144">
        <f t="shared" si="609"/>
        <v>0</v>
      </c>
      <c r="R296" s="144">
        <f t="shared" si="609"/>
        <v>0</v>
      </c>
      <c r="S296" s="144">
        <f t="shared" si="609"/>
        <v>0</v>
      </c>
      <c r="T296" s="144">
        <f t="shared" si="609"/>
        <v>0</v>
      </c>
      <c r="U296" s="144">
        <f t="shared" si="609"/>
        <v>0</v>
      </c>
      <c r="V296" s="144">
        <f t="shared" si="609"/>
        <v>0</v>
      </c>
      <c r="W296" s="144">
        <f t="shared" si="602"/>
        <v>0</v>
      </c>
      <c r="Y296" s="144">
        <f>Y287</f>
        <v>0</v>
      </c>
      <c r="Z296" s="144">
        <f t="shared" ref="Z296:AH296" si="610">Z287</f>
        <v>0</v>
      </c>
      <c r="AA296" s="144">
        <f t="shared" si="610"/>
        <v>0</v>
      </c>
      <c r="AB296" s="144">
        <f t="shared" si="610"/>
        <v>0</v>
      </c>
      <c r="AC296" s="144">
        <f t="shared" si="610"/>
        <v>0</v>
      </c>
      <c r="AD296" s="144">
        <f t="shared" si="610"/>
        <v>0</v>
      </c>
      <c r="AE296" s="144">
        <f t="shared" si="610"/>
        <v>0</v>
      </c>
      <c r="AF296" s="144">
        <f t="shared" si="610"/>
        <v>0</v>
      </c>
      <c r="AG296" s="144">
        <f t="shared" si="610"/>
        <v>0</v>
      </c>
      <c r="AH296" s="144">
        <f t="shared" si="610"/>
        <v>0</v>
      </c>
      <c r="AI296" s="144">
        <f t="shared" si="604"/>
        <v>0</v>
      </c>
    </row>
  </sheetData>
  <phoneticPr fontId="21" type="noConversion"/>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51D89-607C-4EFD-80BB-10D6E83D69F8}">
  <sheetPr codeName="Sheet18">
    <tabColor theme="2" tint="-0.249977111117893"/>
  </sheetPr>
  <dimension ref="B1:E21"/>
  <sheetViews>
    <sheetView showGridLines="0" zoomScaleNormal="100" workbookViewId="0">
      <selection sqref="A1:XFD1048576"/>
    </sheetView>
  </sheetViews>
  <sheetFormatPr baseColWidth="10" defaultColWidth="8.83203125" defaultRowHeight="13" x14ac:dyDescent="0.2"/>
  <cols>
    <col min="1" max="1" width="2" style="60" customWidth="1"/>
    <col min="2" max="2" width="47.5" style="60" customWidth="1"/>
    <col min="3" max="4" width="13.83203125" style="60" customWidth="1"/>
    <col min="5" max="16384" width="8.83203125" style="60"/>
  </cols>
  <sheetData>
    <row r="1" spans="2:5" s="65" customFormat="1" ht="14" x14ac:dyDescent="0.2"/>
    <row r="2" spans="2:5" s="65" customFormat="1" ht="15" x14ac:dyDescent="0.2">
      <c r="B2" s="59" t="s">
        <v>820</v>
      </c>
    </row>
    <row r="4" spans="2:5" ht="14" x14ac:dyDescent="0.2">
      <c r="B4" s="136"/>
      <c r="C4" s="154" t="s">
        <v>57</v>
      </c>
      <c r="D4" s="154" t="s">
        <v>821</v>
      </c>
      <c r="E4" s="65"/>
    </row>
    <row r="5" spans="2:5" ht="14" x14ac:dyDescent="0.2">
      <c r="B5" s="136"/>
      <c r="C5" s="154"/>
      <c r="D5" s="154"/>
      <c r="E5" s="65"/>
    </row>
    <row r="6" spans="2:5" ht="14" x14ac:dyDescent="0.2">
      <c r="B6" s="136" t="s">
        <v>822</v>
      </c>
      <c r="C6" s="155">
        <f>IF('1-Client Variables'!D153="Yes",'1-Client Variables'!D160,0)</f>
        <v>0</v>
      </c>
      <c r="D6" s="154">
        <f>C6*'1-Client Variables'!$D$11</f>
        <v>0</v>
      </c>
      <c r="E6" s="65"/>
    </row>
    <row r="7" spans="2:5" ht="14" x14ac:dyDescent="0.2">
      <c r="B7" s="136" t="s">
        <v>823</v>
      </c>
      <c r="C7" s="155">
        <f>C6*12</f>
        <v>0</v>
      </c>
      <c r="D7" s="154">
        <f>C7*'1-Client Variables'!$D$11</f>
        <v>0</v>
      </c>
      <c r="E7" s="65"/>
    </row>
    <row r="8" spans="2:5" ht="14" x14ac:dyDescent="0.2">
      <c r="B8" s="156" t="s">
        <v>824</v>
      </c>
      <c r="C8" s="157">
        <f>C7*'1-Client Variables'!D163</f>
        <v>0</v>
      </c>
      <c r="D8" s="158">
        <f>C8*'1-Client Variables'!$D$11</f>
        <v>0</v>
      </c>
      <c r="E8" s="65"/>
    </row>
    <row r="9" spans="2:5" ht="14" x14ac:dyDescent="0.2">
      <c r="B9" s="156" t="s">
        <v>825</v>
      </c>
      <c r="C9" s="157">
        <f>C7-C8</f>
        <v>0</v>
      </c>
      <c r="D9" s="158">
        <f>C9*'1-Client Variables'!$D$11</f>
        <v>0</v>
      </c>
      <c r="E9" s="65"/>
    </row>
    <row r="10" spans="2:5" ht="14" x14ac:dyDescent="0.2">
      <c r="B10" s="136"/>
      <c r="C10" s="155"/>
      <c r="D10" s="154"/>
      <c r="E10" s="65"/>
    </row>
    <row r="11" spans="2:5" ht="14" x14ac:dyDescent="0.2">
      <c r="B11" s="159" t="s">
        <v>826</v>
      </c>
      <c r="C11" s="155"/>
      <c r="D11" s="154"/>
      <c r="E11" s="65"/>
    </row>
    <row r="12" spans="2:5" ht="14" x14ac:dyDescent="0.2">
      <c r="B12" s="136" t="s">
        <v>827</v>
      </c>
      <c r="C12" s="155">
        <f>C9+C8/(1+'1-Client Variables'!$D$156)</f>
        <v>0</v>
      </c>
      <c r="D12" s="154">
        <f>C12*'1-Client Variables'!$D$11</f>
        <v>0</v>
      </c>
      <c r="E12" s="65"/>
    </row>
    <row r="13" spans="2:5" ht="14" x14ac:dyDescent="0.2">
      <c r="B13" s="136" t="s">
        <v>828</v>
      </c>
      <c r="C13" s="155">
        <f>(C8/(1+'1-Client Variables'!$D$156))*'1-Client Variables'!$D$156</f>
        <v>0</v>
      </c>
      <c r="D13" s="154">
        <f>C13*'1-Client Variables'!$D$11</f>
        <v>0</v>
      </c>
      <c r="E13" s="65"/>
    </row>
    <row r="14" spans="2:5" ht="14" x14ac:dyDescent="0.2">
      <c r="B14" s="71" t="s">
        <v>829</v>
      </c>
      <c r="C14" s="160">
        <f>C12+C13</f>
        <v>0</v>
      </c>
      <c r="D14" s="161">
        <f>C14*'1-Client Variables'!$D$11</f>
        <v>0</v>
      </c>
      <c r="E14" s="65"/>
    </row>
    <row r="15" spans="2:5" ht="14" x14ac:dyDescent="0.2">
      <c r="B15" s="136"/>
      <c r="C15" s="155"/>
      <c r="D15" s="154"/>
      <c r="E15" s="65"/>
    </row>
    <row r="16" spans="2:5" ht="14" x14ac:dyDescent="0.2">
      <c r="B16" s="159" t="s">
        <v>830</v>
      </c>
      <c r="C16" s="155"/>
      <c r="D16" s="154"/>
      <c r="E16" s="65"/>
    </row>
    <row r="17" spans="2:5" ht="14" x14ac:dyDescent="0.2">
      <c r="B17" s="136" t="s">
        <v>827</v>
      </c>
      <c r="C17" s="155">
        <f>C9+C8/(1+'1-Client Variables'!$D$156)</f>
        <v>0</v>
      </c>
      <c r="D17" s="154">
        <f>C17*'1-Client Variables'!$D$11</f>
        <v>0</v>
      </c>
      <c r="E17" s="65"/>
    </row>
    <row r="18" spans="2:5" ht="14" x14ac:dyDescent="0.2">
      <c r="B18" s="136" t="s">
        <v>831</v>
      </c>
      <c r="C18" s="155">
        <f>(C8/(1+'1-Client Variables'!$D$157))*'1-Client Variables'!$D$157</f>
        <v>0</v>
      </c>
      <c r="D18" s="154">
        <f>C18*'1-Client Variables'!$D$11</f>
        <v>0</v>
      </c>
      <c r="E18" s="65"/>
    </row>
    <row r="19" spans="2:5" ht="14" x14ac:dyDescent="0.2">
      <c r="B19" s="162" t="s">
        <v>829</v>
      </c>
      <c r="C19" s="163">
        <f>C17+C18</f>
        <v>0</v>
      </c>
      <c r="D19" s="164">
        <f>C19*'1-Client Variables'!$D$11</f>
        <v>0</v>
      </c>
      <c r="E19" s="65"/>
    </row>
    <row r="20" spans="2:5" ht="14" x14ac:dyDescent="0.2">
      <c r="B20" s="136"/>
      <c r="C20" s="155"/>
      <c r="D20" s="154"/>
      <c r="E20" s="65"/>
    </row>
    <row r="21" spans="2:5" ht="14" x14ac:dyDescent="0.2">
      <c r="B21" s="165" t="s">
        <v>832</v>
      </c>
      <c r="C21" s="166">
        <f>C19-C14</f>
        <v>0</v>
      </c>
      <c r="D21" s="167">
        <f>C21*'1-Client Variables'!$D$11</f>
        <v>0</v>
      </c>
      <c r="E21" s="65"/>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C5259-1AF3-4AC4-8310-C5652B88BEE4}">
  <sheetPr codeName="Sheet22">
    <tabColor theme="1"/>
  </sheetPr>
  <dimension ref="A1"/>
  <sheetViews>
    <sheetView workbookViewId="0">
      <selection activeCell="M40" sqref="M40"/>
    </sheetView>
  </sheetViews>
  <sheetFormatPr baseColWidth="10" defaultColWidth="8.83203125" defaultRowHeight="15" x14ac:dyDescent="0.2"/>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C922-14EC-474E-98FD-473F5082B576}">
  <sheetPr codeName="Sheet21">
    <tabColor theme="1"/>
  </sheetPr>
  <dimension ref="C1:P11"/>
  <sheetViews>
    <sheetView showGridLines="0" workbookViewId="0">
      <selection activeCell="M40" sqref="M40"/>
    </sheetView>
  </sheetViews>
  <sheetFormatPr baseColWidth="10" defaultColWidth="9" defaultRowHeight="15" x14ac:dyDescent="0.2"/>
  <cols>
    <col min="1" max="1" width="9" style="58"/>
    <col min="2" max="2" width="10.5" style="58" bestFit="1" customWidth="1"/>
    <col min="3" max="3" width="37.5" style="58" customWidth="1"/>
    <col min="4" max="4" width="14" style="58" customWidth="1"/>
    <col min="5" max="11" width="20.5" style="58" customWidth="1"/>
    <col min="12" max="12" width="9" style="58"/>
    <col min="13" max="13" width="19.83203125" style="58" bestFit="1" customWidth="1"/>
    <col min="14" max="16384" width="9" style="58"/>
  </cols>
  <sheetData>
    <row r="1" spans="3:16" x14ac:dyDescent="0.2">
      <c r="C1" s="591"/>
      <c r="D1" s="592" t="s">
        <v>833</v>
      </c>
      <c r="E1" s="592" t="s">
        <v>834</v>
      </c>
      <c r="F1" s="592" t="s">
        <v>835</v>
      </c>
      <c r="G1" s="592" t="s">
        <v>836</v>
      </c>
      <c r="H1" s="592" t="s">
        <v>837</v>
      </c>
      <c r="I1" s="592" t="s">
        <v>838</v>
      </c>
      <c r="J1" s="593" t="s">
        <v>839</v>
      </c>
      <c r="K1" s="592" t="s">
        <v>648</v>
      </c>
    </row>
    <row r="2" spans="3:16" ht="45" customHeight="1" x14ac:dyDescent="0.2">
      <c r="C2" s="802" t="s">
        <v>840</v>
      </c>
      <c r="D2" s="577" t="str">
        <f>'1-Client Variables'!D35</f>
        <v>DC Move</v>
      </c>
      <c r="E2" s="594">
        <f>'1-Client Variables'!D39</f>
        <v>0</v>
      </c>
      <c r="F2" s="594">
        <f>'1-Client Variables'!D44</f>
        <v>0</v>
      </c>
      <c r="G2" s="594">
        <f>'1-Client Variables'!D49</f>
        <v>0</v>
      </c>
      <c r="H2" s="594">
        <f>H8-H5</f>
        <v>0</v>
      </c>
      <c r="I2" s="594" t="e">
        <f>I8-I5</f>
        <v>#DIV/0!</v>
      </c>
      <c r="J2" s="594">
        <f>J8-J5</f>
        <v>0</v>
      </c>
      <c r="K2" s="595"/>
      <c r="M2" s="803" t="s">
        <v>841</v>
      </c>
      <c r="N2" s="591" t="e">
        <f t="shared" ref="N2:P4" si="0">E2/H2</f>
        <v>#DIV/0!</v>
      </c>
      <c r="O2" s="591" t="e">
        <f t="shared" si="0"/>
        <v>#DIV/0!</v>
      </c>
      <c r="P2" s="591" t="e">
        <f t="shared" si="0"/>
        <v>#DIV/0!</v>
      </c>
    </row>
    <row r="3" spans="3:16" ht="45" customHeight="1" x14ac:dyDescent="0.2">
      <c r="C3" s="802"/>
      <c r="D3" s="577">
        <f>'1-Client Variables'!D75</f>
        <v>0</v>
      </c>
      <c r="E3" s="594">
        <f>'1-Client Variables'!D79</f>
        <v>0</v>
      </c>
      <c r="F3" s="594">
        <f>'1-Client Variables'!D84</f>
        <v>0</v>
      </c>
      <c r="G3" s="594">
        <f>'1-Client Variables'!D89</f>
        <v>0</v>
      </c>
      <c r="H3" s="594">
        <f t="shared" ref="H3:J3" si="1">H9-H6</f>
        <v>0</v>
      </c>
      <c r="I3" s="594" t="e">
        <f t="shared" si="1"/>
        <v>#DIV/0!</v>
      </c>
      <c r="J3" s="594">
        <f t="shared" si="1"/>
        <v>0</v>
      </c>
      <c r="K3" s="595"/>
      <c r="M3" s="803"/>
      <c r="N3" s="591" t="e">
        <f t="shared" si="0"/>
        <v>#DIV/0!</v>
      </c>
      <c r="O3" s="591" t="e">
        <f t="shared" si="0"/>
        <v>#DIV/0!</v>
      </c>
      <c r="P3" s="591" t="e">
        <f t="shared" si="0"/>
        <v>#DIV/0!</v>
      </c>
    </row>
    <row r="4" spans="3:16" ht="50.25" customHeight="1" x14ac:dyDescent="0.2">
      <c r="C4" s="802"/>
      <c r="D4" s="577">
        <f>'1-Client Variables'!D114</f>
        <v>0</v>
      </c>
      <c r="E4" s="594">
        <f>'1-Client Variables'!D118</f>
        <v>0</v>
      </c>
      <c r="F4" s="594">
        <f>'1-Client Variables'!D123</f>
        <v>0</v>
      </c>
      <c r="G4" s="594">
        <f>'1-Client Variables'!D128</f>
        <v>0</v>
      </c>
      <c r="H4" s="594">
        <f t="shared" ref="H4:J4" si="2">H10-H7</f>
        <v>0</v>
      </c>
      <c r="I4" s="594" t="e">
        <f t="shared" si="2"/>
        <v>#DIV/0!</v>
      </c>
      <c r="J4" s="594">
        <f t="shared" si="2"/>
        <v>0</v>
      </c>
      <c r="K4" s="595"/>
      <c r="M4" s="803"/>
      <c r="N4" s="591" t="e">
        <f t="shared" si="0"/>
        <v>#DIV/0!</v>
      </c>
      <c r="O4" s="591" t="e">
        <f t="shared" si="0"/>
        <v>#DIV/0!</v>
      </c>
      <c r="P4" s="591" t="e">
        <f t="shared" si="0"/>
        <v>#DIV/0!</v>
      </c>
    </row>
    <row r="5" spans="3:16" ht="45" customHeight="1" x14ac:dyDescent="0.2">
      <c r="C5" s="802" t="s">
        <v>842</v>
      </c>
      <c r="D5" s="577" t="str">
        <f>D2</f>
        <v>DC Move</v>
      </c>
      <c r="E5" s="595"/>
      <c r="F5" s="595"/>
      <c r="G5" s="595"/>
      <c r="H5" s="594">
        <f>'1-Client Variables'!D40</f>
        <v>0</v>
      </c>
      <c r="I5" s="594">
        <f>'1-Client Variables'!D45</f>
        <v>0</v>
      </c>
      <c r="J5" s="594">
        <f>'1-Client Variables'!D50</f>
        <v>0</v>
      </c>
      <c r="K5" s="595"/>
    </row>
    <row r="6" spans="3:16" ht="45" customHeight="1" x14ac:dyDescent="0.2">
      <c r="C6" s="802"/>
      <c r="D6" s="577">
        <f t="shared" ref="D6:D10" si="3">D3</f>
        <v>0</v>
      </c>
      <c r="E6" s="595"/>
      <c r="F6" s="595"/>
      <c r="G6" s="595"/>
      <c r="H6" s="594">
        <f>'1-Client Variables'!D80</f>
        <v>0</v>
      </c>
      <c r="I6" s="594">
        <f>'1-Client Variables'!D85</f>
        <v>0</v>
      </c>
      <c r="J6" s="594">
        <f>'1-Client Variables'!D90</f>
        <v>0</v>
      </c>
      <c r="K6" s="595"/>
    </row>
    <row r="7" spans="3:16" ht="50.25" customHeight="1" x14ac:dyDescent="0.2">
      <c r="C7" s="802"/>
      <c r="D7" s="577">
        <f t="shared" si="3"/>
        <v>0</v>
      </c>
      <c r="E7" s="595"/>
      <c r="F7" s="595"/>
      <c r="G7" s="595"/>
      <c r="H7" s="594">
        <f>'1-Client Variables'!D119</f>
        <v>0</v>
      </c>
      <c r="I7" s="594">
        <f>'1-Client Variables'!D124</f>
        <v>0</v>
      </c>
      <c r="J7" s="594">
        <f>'1-Client Variables'!D129</f>
        <v>0</v>
      </c>
      <c r="K7" s="595"/>
    </row>
    <row r="8" spans="3:16" ht="45" customHeight="1" x14ac:dyDescent="0.2">
      <c r="C8" s="802" t="s">
        <v>843</v>
      </c>
      <c r="D8" s="577" t="str">
        <f t="shared" si="3"/>
        <v>DC Move</v>
      </c>
      <c r="E8" s="594">
        <f>E2+E5</f>
        <v>0</v>
      </c>
      <c r="F8" s="594">
        <f>F2+F5</f>
        <v>0</v>
      </c>
      <c r="G8" s="594">
        <f>G2+G5</f>
        <v>0</v>
      </c>
      <c r="H8" s="594">
        <f>'1-Client Variables'!D42</f>
        <v>0</v>
      </c>
      <c r="I8" s="594" t="e">
        <f>'1-Client Variables'!D47</f>
        <v>#DIV/0!</v>
      </c>
      <c r="J8" s="594">
        <f>'1-Client Variables'!D52</f>
        <v>0</v>
      </c>
      <c r="K8" s="594">
        <f>'1-Client Variables'!D54</f>
        <v>0</v>
      </c>
    </row>
    <row r="9" spans="3:16" ht="45" customHeight="1" x14ac:dyDescent="0.2">
      <c r="C9" s="802"/>
      <c r="D9" s="577">
        <f t="shared" si="3"/>
        <v>0</v>
      </c>
      <c r="E9" s="594">
        <f t="shared" ref="E9:G9" si="4">E3+E6</f>
        <v>0</v>
      </c>
      <c r="F9" s="594">
        <f t="shared" si="4"/>
        <v>0</v>
      </c>
      <c r="G9" s="594">
        <f t="shared" si="4"/>
        <v>0</v>
      </c>
      <c r="H9" s="594">
        <f>'1-Client Variables'!D82</f>
        <v>0</v>
      </c>
      <c r="I9" s="594" t="e">
        <f>'1-Client Variables'!D87</f>
        <v>#DIV/0!</v>
      </c>
      <c r="J9" s="594">
        <f>'1-Client Variables'!D92</f>
        <v>0</v>
      </c>
      <c r="K9" s="596"/>
    </row>
    <row r="10" spans="3:16" ht="50.25" customHeight="1" x14ac:dyDescent="0.2">
      <c r="C10" s="802"/>
      <c r="D10" s="577">
        <f t="shared" si="3"/>
        <v>0</v>
      </c>
      <c r="E10" s="594">
        <f t="shared" ref="E10:G10" si="5">E4+E7</f>
        <v>0</v>
      </c>
      <c r="F10" s="594">
        <f t="shared" si="5"/>
        <v>0</v>
      </c>
      <c r="G10" s="594">
        <f t="shared" si="5"/>
        <v>0</v>
      </c>
      <c r="H10" s="594">
        <f>'1-Client Variables'!D121</f>
        <v>0</v>
      </c>
      <c r="I10" s="594" t="e">
        <f>'1-Client Variables'!D126</f>
        <v>#DIV/0!</v>
      </c>
      <c r="J10" s="594">
        <f>'1-Client Variables'!D131</f>
        <v>0</v>
      </c>
      <c r="K10" s="596"/>
    </row>
    <row r="11" spans="3:16" ht="50.25" customHeight="1" x14ac:dyDescent="0.2">
      <c r="C11" s="802"/>
      <c r="D11" s="597" t="s">
        <v>640</v>
      </c>
      <c r="E11" s="598">
        <f>SUM(E8:E10)</f>
        <v>0</v>
      </c>
      <c r="F11" s="598">
        <f t="shared" ref="F11:K11" si="6">SUM(F8:F10)</f>
        <v>0</v>
      </c>
      <c r="G11" s="598">
        <f t="shared" si="6"/>
        <v>0</v>
      </c>
      <c r="H11" s="598">
        <f t="shared" si="6"/>
        <v>0</v>
      </c>
      <c r="I11" s="598" t="e">
        <f t="shared" si="6"/>
        <v>#DIV/0!</v>
      </c>
      <c r="J11" s="598">
        <f t="shared" si="6"/>
        <v>0</v>
      </c>
      <c r="K11" s="598">
        <f t="shared" si="6"/>
        <v>0</v>
      </c>
    </row>
  </sheetData>
  <mergeCells count="4">
    <mergeCell ref="C2:C4"/>
    <mergeCell ref="C8:C11"/>
    <mergeCell ref="C5:C7"/>
    <mergeCell ref="M2:M4"/>
  </mergeCells>
  <phoneticPr fontId="21"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B4C82-AEAC-4BEA-82D8-199C3544A205}">
  <sheetPr codeName="Sheet20">
    <tabColor theme="1"/>
  </sheetPr>
  <dimension ref="B1:L16"/>
  <sheetViews>
    <sheetView showGridLines="0" workbookViewId="0">
      <selection activeCell="M40" sqref="M40"/>
    </sheetView>
  </sheetViews>
  <sheetFormatPr baseColWidth="10" defaultColWidth="10.5" defaultRowHeight="15" x14ac:dyDescent="0.2"/>
  <cols>
    <col min="1" max="1" width="10.5" style="58"/>
    <col min="2" max="3" width="18.5" style="577" customWidth="1"/>
    <col min="4" max="4" width="1.5" style="58" customWidth="1"/>
    <col min="5" max="6" width="18.5" style="577" customWidth="1"/>
    <col min="7" max="7" width="5.83203125" style="58" customWidth="1"/>
    <col min="8" max="9" width="18.5" style="58" customWidth="1"/>
    <col min="10" max="10" width="1.5" style="58" customWidth="1"/>
    <col min="11" max="12" width="18.5" style="58" customWidth="1"/>
    <col min="13" max="14" width="10.5" style="58"/>
    <col min="15" max="15" width="38" style="58" bestFit="1" customWidth="1"/>
    <col min="16" max="16" width="4.5" style="58" bestFit="1" customWidth="1"/>
    <col min="17" max="17" width="5" style="58" bestFit="1" customWidth="1"/>
    <col min="18" max="18" width="9" style="58" bestFit="1" customWidth="1"/>
    <col min="19" max="19" width="14.5" style="58" bestFit="1" customWidth="1"/>
    <col min="20" max="20" width="5.5" style="58" bestFit="1" customWidth="1"/>
    <col min="21" max="21" width="9" style="58" bestFit="1" customWidth="1"/>
    <col min="22" max="22" width="7.5" style="58" bestFit="1" customWidth="1"/>
    <col min="23" max="16384" width="10.5" style="58"/>
  </cols>
  <sheetData>
    <row r="1" spans="2:12" ht="16" thickBot="1" x14ac:dyDescent="0.25">
      <c r="B1" s="576" t="s">
        <v>844</v>
      </c>
      <c r="E1" s="576" t="s">
        <v>845</v>
      </c>
      <c r="G1" s="577"/>
      <c r="H1" s="585" t="s">
        <v>846</v>
      </c>
      <c r="I1" s="577"/>
      <c r="K1" s="585" t="s">
        <v>847</v>
      </c>
      <c r="L1" s="577"/>
    </row>
    <row r="2" spans="2:12" ht="30" customHeight="1" x14ac:dyDescent="0.2">
      <c r="B2" s="808" t="e">
        <f>'Summary Financial Case'!M29</f>
        <v>#DIV/0!</v>
      </c>
      <c r="C2" s="809"/>
      <c r="E2" s="808" t="e">
        <f>'Summary Financial Case'!N29</f>
        <v>#DIV/0!</v>
      </c>
      <c r="F2" s="809"/>
      <c r="G2" s="579"/>
      <c r="H2" s="817" t="e">
        <f>'Summary Financial Case'!M44</f>
        <v>#DIV/0!</v>
      </c>
      <c r="I2" s="817"/>
      <c r="K2" s="817" t="e">
        <f>'Summary Financial Case'!N44</f>
        <v>#DIV/0!</v>
      </c>
      <c r="L2" s="817"/>
    </row>
    <row r="3" spans="2:12" ht="30" customHeight="1" x14ac:dyDescent="0.2">
      <c r="B3" s="806" t="s">
        <v>848</v>
      </c>
      <c r="C3" s="807"/>
      <c r="E3" s="806" t="s">
        <v>849</v>
      </c>
      <c r="F3" s="807"/>
      <c r="G3" s="580"/>
      <c r="H3" s="818" t="s">
        <v>848</v>
      </c>
      <c r="I3" s="818"/>
      <c r="K3" s="818" t="s">
        <v>849</v>
      </c>
      <c r="L3" s="818"/>
    </row>
    <row r="4" spans="2:12" ht="30" customHeight="1" x14ac:dyDescent="0.2">
      <c r="B4" s="810" t="e">
        <f>'Summary Financial Case'!M19</f>
        <v>#DIV/0!</v>
      </c>
      <c r="C4" s="811"/>
      <c r="E4" s="812" t="e">
        <f>'Summary Financial Case'!N28</f>
        <v>#DIV/0!</v>
      </c>
      <c r="F4" s="813"/>
      <c r="G4" s="581"/>
      <c r="H4" s="814" t="e">
        <f>'Summary Financial Case'!M35</f>
        <v>#DIV/0!</v>
      </c>
      <c r="I4" s="814"/>
      <c r="K4" s="815" t="e">
        <f>'Summary Financial Case'!N43</f>
        <v>#DIV/0!</v>
      </c>
      <c r="L4" s="815"/>
    </row>
    <row r="5" spans="2:12" ht="30" customHeight="1" x14ac:dyDescent="0.2">
      <c r="B5" s="806" t="s">
        <v>850</v>
      </c>
      <c r="C5" s="807"/>
      <c r="E5" s="806" t="e">
        <f>IF(E4&gt;0,"Additional CF over 10 years","Saved over 10 years")</f>
        <v>#DIV/0!</v>
      </c>
      <c r="F5" s="807" t="str">
        <f t="shared" ref="F5" si="0">IF(F4&gt;0,"Increase","Saved")</f>
        <v>Saved</v>
      </c>
      <c r="G5" s="580"/>
      <c r="H5" s="818" t="s">
        <v>850</v>
      </c>
      <c r="I5" s="818"/>
      <c r="K5" s="818" t="e">
        <f>IF(K4&gt;0,"Additional Cost over 10 years","Saved over 10 years")</f>
        <v>#DIV/0!</v>
      </c>
      <c r="L5" s="818" t="str">
        <f t="shared" ref="L5" si="1">IF(L4&gt;0,"Increase","Saved")</f>
        <v>Saved</v>
      </c>
    </row>
    <row r="6" spans="2:12" ht="30" customHeight="1" x14ac:dyDescent="0.2">
      <c r="B6" s="810" t="e">
        <f>'Summary Financial Case'!M26</f>
        <v>#DIV/0!</v>
      </c>
      <c r="C6" s="811"/>
      <c r="E6" s="812" t="e">
        <f>SUM('Summary Financial Case'!D28:H28)</f>
        <v>#DIV/0!</v>
      </c>
      <c r="F6" s="813"/>
      <c r="G6" s="581"/>
      <c r="H6" s="814" t="e">
        <f>'Summary Financial Case'!M41</f>
        <v>#DIV/0!</v>
      </c>
      <c r="I6" s="814"/>
      <c r="K6" s="815" t="e">
        <f>SUM('Summary Financial Case'!D43:H43)</f>
        <v>#DIV/0!</v>
      </c>
      <c r="L6" s="815"/>
    </row>
    <row r="7" spans="2:12" ht="30" customHeight="1" thickBot="1" x14ac:dyDescent="0.25">
      <c r="B7" s="804" t="str">
        <f>"Azure case run rate, of which Azure consumption "&amp; TEXT('Summary Financial Case'!M23,"#,##0.000,,""M""") &amp;" (end state)"</f>
        <v>Azure case run rate, of which Azure consumption 0.000M (end state)</v>
      </c>
      <c r="C7" s="805"/>
      <c r="E7" s="804" t="e">
        <f>IF(E6&gt;0,"Additional CF over 5 years","Saved over 5 years")</f>
        <v>#DIV/0!</v>
      </c>
      <c r="F7" s="805" t="str">
        <f t="shared" ref="F7" si="2">IF(F6&gt;0,"Increase","Saved")</f>
        <v>Saved</v>
      </c>
      <c r="G7" s="580"/>
      <c r="H7" s="816" t="str">
        <f>"Azure case run rate, of which Azure consumption "&amp; TEXT('Summary Financial Case'!M38,"#,##0.000,,""M""") &amp;" (end state)"</f>
        <v>Azure case run rate, of which Azure consumption 0.000M (end state)</v>
      </c>
      <c r="I7" s="816"/>
      <c r="K7" s="816" t="e">
        <f>IF(K6&gt;0,"Additional Cost over 5 years","Saved over 5 years")</f>
        <v>#DIV/0!</v>
      </c>
      <c r="L7" s="816" t="str">
        <f t="shared" ref="L7" si="3">IF(L6&gt;0,"Increase","Saved")</f>
        <v>Saved</v>
      </c>
    </row>
    <row r="8" spans="2:12" ht="65.5" customHeight="1" x14ac:dyDescent="0.2">
      <c r="E8" s="586" t="s">
        <v>851</v>
      </c>
      <c r="F8" s="587"/>
      <c r="G8" s="588"/>
      <c r="H8" s="587"/>
      <c r="I8" s="587"/>
      <c r="J8" s="588"/>
      <c r="K8" s="586" t="s">
        <v>851</v>
      </c>
      <c r="L8" s="577"/>
    </row>
    <row r="9" spans="2:12" ht="22" customHeight="1" x14ac:dyDescent="0.2">
      <c r="B9" s="578" t="s">
        <v>852</v>
      </c>
      <c r="C9" s="578"/>
      <c r="D9" s="578"/>
      <c r="E9" s="578" t="s">
        <v>853</v>
      </c>
      <c r="F9" s="578"/>
      <c r="G9" s="578"/>
      <c r="H9" s="578" t="s">
        <v>854</v>
      </c>
    </row>
    <row r="10" spans="2:12" ht="30" customHeight="1" x14ac:dyDescent="0.2">
      <c r="B10" s="582" t="e">
        <f>'Summary Financial Case'!D29</f>
        <v>#DIV/0!</v>
      </c>
      <c r="C10" s="583" t="e">
        <f>'Summary Financial Case'!D28</f>
        <v>#DIV/0!</v>
      </c>
      <c r="D10" s="520"/>
      <c r="E10" s="582" t="e">
        <f>'Summary Financial Case'!E29</f>
        <v>#DIV/0!</v>
      </c>
      <c r="F10" s="583" t="e">
        <f>'Summary Financial Case'!E28</f>
        <v>#DIV/0!</v>
      </c>
      <c r="G10" s="579"/>
      <c r="H10" s="822" t="e">
        <f>'5Y CF with Payback'!I30</f>
        <v>#DIV/0!</v>
      </c>
      <c r="I10" s="826">
        <f>'5Y CF with Payback'!I31</f>
        <v>0</v>
      </c>
      <c r="J10" s="827"/>
      <c r="K10" s="828"/>
      <c r="L10" s="829" t="e">
        <f>'5Y CF with Payback'!I32</f>
        <v>#DIV/0!</v>
      </c>
    </row>
    <row r="11" spans="2:12" ht="30" customHeight="1" x14ac:dyDescent="0.2">
      <c r="B11" s="607" t="s">
        <v>855</v>
      </c>
      <c r="C11" s="607" t="e">
        <f>IF(C10&gt;0,"Additional CF","Saved")</f>
        <v>#DIV/0!</v>
      </c>
      <c r="D11" s="64"/>
      <c r="E11" s="607" t="s">
        <v>855</v>
      </c>
      <c r="F11" s="607" t="e">
        <f>IF(F10&gt;0,"Additional CF","Saved")</f>
        <v>#DIV/0!</v>
      </c>
      <c r="G11" s="580"/>
      <c r="H11" s="822"/>
      <c r="I11" s="826"/>
      <c r="J11" s="827"/>
      <c r="K11" s="828"/>
      <c r="L11" s="829"/>
    </row>
    <row r="12" spans="2:12" ht="30" customHeight="1" x14ac:dyDescent="0.2">
      <c r="B12" s="583" t="e">
        <f>'Summary Financial Case'!D19</f>
        <v>#DIV/0!</v>
      </c>
      <c r="C12" s="583" t="e">
        <f>'Summary Financial Case'!D26</f>
        <v>#DIV/0!</v>
      </c>
      <c r="D12" s="520"/>
      <c r="E12" s="583" t="e">
        <f>'Summary Financial Case'!E19</f>
        <v>#DIV/0!</v>
      </c>
      <c r="F12" s="583" t="e">
        <f>'Summary Financial Case'!E26</f>
        <v>#DIV/0!</v>
      </c>
      <c r="G12" s="581"/>
      <c r="H12" s="608" t="s">
        <v>304</v>
      </c>
      <c r="I12" s="823" t="s">
        <v>236</v>
      </c>
      <c r="J12" s="824"/>
      <c r="K12" s="825"/>
      <c r="L12" s="609" t="s">
        <v>856</v>
      </c>
    </row>
    <row r="13" spans="2:12" ht="30" customHeight="1" x14ac:dyDescent="0.2">
      <c r="B13" s="607" t="s">
        <v>850</v>
      </c>
      <c r="C13" s="607" t="str">
        <f>"Azure Case run rate, of which Azure "&amp; TEXT('Summary Financial Case'!D23,"#,##0.000,,""M""")</f>
        <v>Azure Case run rate, of which Azure 0.000M</v>
      </c>
      <c r="D13" s="64"/>
      <c r="E13" s="607" t="s">
        <v>850</v>
      </c>
      <c r="F13" s="607" t="str">
        <f>"Azure Case run rate, of which Azure "&amp; TEXT('Summary Financial Case'!E23,"#,##0.000,,""M""")</f>
        <v>Azure Case run rate, of which Azure 0.000M</v>
      </c>
      <c r="G13" s="580"/>
      <c r="H13" s="616" t="s">
        <v>857</v>
      </c>
      <c r="I13" s="819" t="s">
        <v>858</v>
      </c>
      <c r="J13" s="820"/>
      <c r="K13" s="821"/>
      <c r="L13" s="610" t="str">
        <f>"Including " &amp; TEXT(-'5Y CF with Payback'!I24,"(#,##0.000,,""M"")") &amp; " migration cost"</f>
        <v>Including (0.000M) migration cost</v>
      </c>
    </row>
    <row r="14" spans="2:12" ht="14.5" customHeight="1" x14ac:dyDescent="0.2">
      <c r="E14" s="584"/>
      <c r="H14" s="584" t="str">
        <f>"(2) Includes Cost of Capital " &amp; TEXT('5Y CF with Payback'!I4,"0.0%")</f>
        <v>(2) Includes Cost of Capital 7.0%</v>
      </c>
      <c r="I14" s="577"/>
      <c r="K14" s="584"/>
      <c r="L14" s="577"/>
    </row>
    <row r="15" spans="2:12" ht="30" customHeight="1" x14ac:dyDescent="0.2"/>
    <row r="16" spans="2:12" ht="30" customHeight="1" x14ac:dyDescent="0.2"/>
  </sheetData>
  <mergeCells count="29">
    <mergeCell ref="I13:K13"/>
    <mergeCell ref="H10:H11"/>
    <mergeCell ref="I12:K12"/>
    <mergeCell ref="I10:K11"/>
    <mergeCell ref="L10:L11"/>
    <mergeCell ref="H6:I6"/>
    <mergeCell ref="K6:L6"/>
    <mergeCell ref="H7:I7"/>
    <mergeCell ref="K7:L7"/>
    <mergeCell ref="H2:I2"/>
    <mergeCell ref="K2:L2"/>
    <mergeCell ref="H3:I3"/>
    <mergeCell ref="K3:L3"/>
    <mergeCell ref="H4:I4"/>
    <mergeCell ref="K4:L4"/>
    <mergeCell ref="H5:I5"/>
    <mergeCell ref="K5:L5"/>
    <mergeCell ref="E7:F7"/>
    <mergeCell ref="B3:C3"/>
    <mergeCell ref="B2:C2"/>
    <mergeCell ref="B4:C4"/>
    <mergeCell ref="B5:C5"/>
    <mergeCell ref="B6:C6"/>
    <mergeCell ref="B7:C7"/>
    <mergeCell ref="E2:F2"/>
    <mergeCell ref="E3:F3"/>
    <mergeCell ref="E4:F4"/>
    <mergeCell ref="E5:F5"/>
    <mergeCell ref="E6:F6"/>
  </mergeCells>
  <conditionalFormatting sqref="C10 F10 E6:F6 E4:F4 K4:L4 K6:L6 K2:L2 H2:I2 E2:F2 B2:C2 B10 E10">
    <cfRule type="cellIs" dxfId="1" priority="2" operator="greaterThan">
      <formula>0</formula>
    </cfRule>
  </conditionalFormatting>
  <conditionalFormatting sqref="E6:F6 E4:F4 K4:L4 K6:L6 K2:L2 H2:I2 E2:F2 B2:C2 B10:C10 E10:F10">
    <cfRule type="cellIs" dxfId="0" priority="1" operator="lessThan">
      <formula>0</formula>
    </cfRule>
  </conditionalFormatting>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B2A40-92B6-47AC-BD6B-CB175B9981EA}">
  <sheetPr codeName="Sheet23">
    <tabColor theme="1"/>
  </sheetPr>
  <dimension ref="A1:K76"/>
  <sheetViews>
    <sheetView showGridLines="0" workbookViewId="0">
      <selection activeCell="M40" sqref="M40"/>
    </sheetView>
  </sheetViews>
  <sheetFormatPr baseColWidth="10" defaultColWidth="9" defaultRowHeight="15" x14ac:dyDescent="0.2"/>
  <cols>
    <col min="1" max="1" width="67" style="58" customWidth="1"/>
    <col min="2" max="2" width="15.83203125" style="577" customWidth="1"/>
    <col min="3" max="11" width="15.83203125" style="58" customWidth="1"/>
    <col min="12" max="16384" width="9" style="58"/>
  </cols>
  <sheetData>
    <row r="1" spans="1:3" ht="16" x14ac:dyDescent="0.2">
      <c r="A1" s="617" t="s">
        <v>859</v>
      </c>
    </row>
    <row r="2" spans="1:3" x14ac:dyDescent="0.2">
      <c r="A2" s="590" t="s">
        <v>860</v>
      </c>
      <c r="B2" s="577" t="str">
        <f>'1-Client Variables'!$D$10</f>
        <v>USD</v>
      </c>
    </row>
    <row r="3" spans="1:3" x14ac:dyDescent="0.2">
      <c r="A3" s="590" t="s">
        <v>861</v>
      </c>
      <c r="B3" s="599">
        <f>'1-Client Variables'!D11</f>
        <v>1</v>
      </c>
    </row>
    <row r="4" spans="1:3" x14ac:dyDescent="0.2">
      <c r="A4" s="590" t="s">
        <v>862</v>
      </c>
      <c r="B4" s="600">
        <f>WACC</f>
        <v>7.0000000000000007E-2</v>
      </c>
    </row>
    <row r="5" spans="1:3" x14ac:dyDescent="0.2">
      <c r="A5" s="590" t="s">
        <v>863</v>
      </c>
      <c r="B5" s="577" t="str">
        <f>'2a-Consumption Plan Wk1'!E35</f>
        <v>No</v>
      </c>
    </row>
    <row r="6" spans="1:3" x14ac:dyDescent="0.2">
      <c r="A6" s="590" t="s">
        <v>864</v>
      </c>
      <c r="B6" s="577" t="str">
        <f>'2a-Consumption Plan Wk1'!E42</f>
        <v>No</v>
      </c>
    </row>
    <row r="7" spans="1:3" x14ac:dyDescent="0.2">
      <c r="A7" s="590"/>
    </row>
    <row r="8" spans="1:3" ht="16" x14ac:dyDescent="0.2">
      <c r="A8" s="617" t="s">
        <v>865</v>
      </c>
    </row>
    <row r="9" spans="1:3" x14ac:dyDescent="0.2">
      <c r="A9" s="590" t="s">
        <v>866</v>
      </c>
      <c r="B9" s="601">
        <f>'Benchmark Assumptions'!K54</f>
        <v>1.56</v>
      </c>
    </row>
    <row r="10" spans="1:3" x14ac:dyDescent="0.2">
      <c r="A10" s="590" t="s">
        <v>867</v>
      </c>
      <c r="B10" s="602" t="e">
        <f>'Status Quo Estimation'!I77</f>
        <v>#DIV/0!</v>
      </c>
      <c r="C10" s="58" t="s">
        <v>868</v>
      </c>
    </row>
    <row r="11" spans="1:3" x14ac:dyDescent="0.2">
      <c r="A11" s="590" t="s">
        <v>869</v>
      </c>
      <c r="B11" s="602" t="e">
        <f>'Status Quo Estimation'!C59</f>
        <v>#DIV/0!</v>
      </c>
      <c r="C11" s="576" t="str">
        <f>'1-Client Variables'!$D$10</f>
        <v>USD</v>
      </c>
    </row>
    <row r="12" spans="1:3" x14ac:dyDescent="0.2">
      <c r="A12" s="590" t="s">
        <v>870</v>
      </c>
      <c r="B12" s="602" t="e">
        <f>'Status Quo Estimation'!C60</f>
        <v>#DIV/0!</v>
      </c>
      <c r="C12" s="576" t="str">
        <f>'1-Client Variables'!$D$10</f>
        <v>USD</v>
      </c>
    </row>
    <row r="13" spans="1:3" x14ac:dyDescent="0.2">
      <c r="A13" s="590" t="s">
        <v>871</v>
      </c>
      <c r="B13" s="577" t="str">
        <f>'1-Client Variables'!D19</f>
        <v>Proportional</v>
      </c>
    </row>
    <row r="14" spans="1:3" x14ac:dyDescent="0.2">
      <c r="A14" s="590" t="s">
        <v>872</v>
      </c>
      <c r="B14" s="577">
        <f>'1-Client Variables'!D18</f>
        <v>0</v>
      </c>
    </row>
    <row r="15" spans="1:3" x14ac:dyDescent="0.2">
      <c r="A15" s="590"/>
    </row>
    <row r="16" spans="1:3" ht="17" thickBot="1" x14ac:dyDescent="0.25">
      <c r="A16" s="617" t="s">
        <v>873</v>
      </c>
      <c r="B16" s="603" t="s">
        <v>874</v>
      </c>
      <c r="C16" s="603" t="s">
        <v>875</v>
      </c>
    </row>
    <row r="17" spans="1:3" ht="16" thickTop="1" x14ac:dyDescent="0.2">
      <c r="A17" s="590" t="s">
        <v>876</v>
      </c>
      <c r="B17" s="602" t="e">
        <f>SUM('Status Quo Estimation'!I43:I45)</f>
        <v>#DIV/0!</v>
      </c>
      <c r="C17" s="602" t="e">
        <f>'Status Quo Estimation'!I$47</f>
        <v>#DIV/0!</v>
      </c>
    </row>
    <row r="18" spans="1:3" x14ac:dyDescent="0.2">
      <c r="A18" s="590" t="s">
        <v>877</v>
      </c>
      <c r="B18" s="602">
        <f>SUM('Status Quo Estimation'!J$43:J$45)</f>
        <v>0</v>
      </c>
      <c r="C18" s="602">
        <f>'Status Quo Estimation'!J$47</f>
        <v>0</v>
      </c>
    </row>
    <row r="19" spans="1:3" x14ac:dyDescent="0.2">
      <c r="A19" s="590" t="s">
        <v>878</v>
      </c>
      <c r="B19" s="602">
        <f>SUM('Status Quo Estimation'!K$43:K$45)</f>
        <v>0</v>
      </c>
      <c r="C19" s="602">
        <f>'Status Quo Estimation'!K$47</f>
        <v>0</v>
      </c>
    </row>
    <row r="20" spans="1:3" x14ac:dyDescent="0.2">
      <c r="A20" s="590" t="s">
        <v>879</v>
      </c>
      <c r="B20" s="602">
        <f>SUM('Status Quo Estimation'!L$43:L$45)</f>
        <v>0</v>
      </c>
      <c r="C20" s="602">
        <f>'Status Quo Estimation'!L$47</f>
        <v>0</v>
      </c>
    </row>
    <row r="21" spans="1:3" x14ac:dyDescent="0.2">
      <c r="A21" s="590" t="s">
        <v>880</v>
      </c>
      <c r="B21" s="602">
        <f>SUM('Status Quo Estimation'!M$43:M$45)</f>
        <v>0</v>
      </c>
      <c r="C21" s="602">
        <f>'Status Quo Estimation'!M$47</f>
        <v>0</v>
      </c>
    </row>
    <row r="22" spans="1:3" x14ac:dyDescent="0.2">
      <c r="A22" s="590"/>
    </row>
    <row r="23" spans="1:3" ht="16" thickBot="1" x14ac:dyDescent="0.25">
      <c r="A23" s="590"/>
      <c r="B23" s="603" t="s">
        <v>881</v>
      </c>
      <c r="C23" s="603" t="s">
        <v>875</v>
      </c>
    </row>
    <row r="24" spans="1:3" ht="16" thickTop="1" x14ac:dyDescent="0.2">
      <c r="A24" s="590" t="s">
        <v>677</v>
      </c>
      <c r="B24" s="602">
        <f>SUM('Status Quo Estimation'!I50:I52)</f>
        <v>0</v>
      </c>
      <c r="C24" s="602">
        <f>'Status Quo Estimation'!I54</f>
        <v>0</v>
      </c>
    </row>
    <row r="25" spans="1:3" x14ac:dyDescent="0.2">
      <c r="A25" s="590" t="s">
        <v>678</v>
      </c>
      <c r="B25" s="602">
        <f>SUM('Status Quo Estimation'!J50:J52)</f>
        <v>0</v>
      </c>
      <c r="C25" s="602">
        <f>'Status Quo Estimation'!J54</f>
        <v>0</v>
      </c>
    </row>
    <row r="26" spans="1:3" x14ac:dyDescent="0.2">
      <c r="A26" s="590"/>
    </row>
    <row r="27" spans="1:3" ht="16" x14ac:dyDescent="0.2">
      <c r="A27" s="617" t="s">
        <v>882</v>
      </c>
    </row>
    <row r="28" spans="1:3" x14ac:dyDescent="0.2">
      <c r="A28" s="590" t="s">
        <v>883</v>
      </c>
      <c r="B28" s="602">
        <f>'Status Quo Estimation'!I88</f>
        <v>0</v>
      </c>
    </row>
    <row r="29" spans="1:3" x14ac:dyDescent="0.2">
      <c r="A29" s="590" t="s">
        <v>884</v>
      </c>
      <c r="B29" s="602">
        <f>'Status Quo Estimation'!I90</f>
        <v>0</v>
      </c>
      <c r="C29" s="576" t="str">
        <f>'1-Client Variables'!$D$10</f>
        <v>USD</v>
      </c>
    </row>
    <row r="30" spans="1:3" x14ac:dyDescent="0.2">
      <c r="A30" s="590"/>
    </row>
    <row r="31" spans="1:3" ht="16" x14ac:dyDescent="0.2">
      <c r="A31" s="617" t="s">
        <v>885</v>
      </c>
    </row>
    <row r="32" spans="1:3" x14ac:dyDescent="0.2">
      <c r="A32" s="590" t="s">
        <v>886</v>
      </c>
      <c r="B32" s="577" t="str">
        <f>'1-Client Variables'!D31</f>
        <v>Yes</v>
      </c>
    </row>
    <row r="33" spans="1:6" x14ac:dyDescent="0.2">
      <c r="A33" s="590" t="s">
        <v>887</v>
      </c>
      <c r="B33" s="602">
        <f>'Retained Costs Estimation'!C333+'Retained Costs Estimation'!C346+'Retained Costs Estimation'!C359</f>
        <v>0</v>
      </c>
      <c r="C33" s="58" t="s">
        <v>888</v>
      </c>
    </row>
    <row r="34" spans="1:6" x14ac:dyDescent="0.2">
      <c r="A34" s="590" t="s">
        <v>889</v>
      </c>
      <c r="B34" s="602">
        <f>'Retained Costs Estimation'!M338+'Retained Costs Estimation'!M351+'Retained Costs Estimation'!M364</f>
        <v>0</v>
      </c>
      <c r="C34" s="58" t="s">
        <v>888</v>
      </c>
    </row>
    <row r="36" spans="1:6" ht="16" x14ac:dyDescent="0.2">
      <c r="A36" s="617" t="s">
        <v>890</v>
      </c>
    </row>
    <row r="37" spans="1:6" x14ac:dyDescent="0.2">
      <c r="A37" s="590" t="s">
        <v>74</v>
      </c>
      <c r="B37" s="602">
        <f>'1-Client Variables'!D24</f>
        <v>5</v>
      </c>
      <c r="C37" s="58" t="s">
        <v>891</v>
      </c>
    </row>
    <row r="38" spans="1:6" x14ac:dyDescent="0.2">
      <c r="A38" s="590" t="s">
        <v>76</v>
      </c>
      <c r="B38" s="602">
        <f>'1-Client Variables'!D25</f>
        <v>5</v>
      </c>
      <c r="C38" s="58" t="s">
        <v>891</v>
      </c>
    </row>
    <row r="39" spans="1:6" x14ac:dyDescent="0.2">
      <c r="A39" s="590" t="s">
        <v>892</v>
      </c>
      <c r="B39" s="604">
        <f>'1-Client Variables'!D26</f>
        <v>0.1</v>
      </c>
    </row>
    <row r="40" spans="1:6" x14ac:dyDescent="0.2">
      <c r="A40" s="58" t="s">
        <v>79</v>
      </c>
      <c r="B40" s="604">
        <f>'1-Client Variables'!D27</f>
        <v>0.1</v>
      </c>
    </row>
    <row r="42" spans="1:6" ht="16" x14ac:dyDescent="0.2">
      <c r="A42" s="617" t="s">
        <v>893</v>
      </c>
    </row>
    <row r="43" spans="1:6" x14ac:dyDescent="0.2">
      <c r="A43" s="590" t="s">
        <v>894</v>
      </c>
      <c r="B43" s="602">
        <f>SUM('Status Quo Estimation'!I35:K35)</f>
        <v>0</v>
      </c>
    </row>
    <row r="44" spans="1:6" x14ac:dyDescent="0.2">
      <c r="A44" s="590" t="s">
        <v>895</v>
      </c>
      <c r="B44" s="602">
        <f>SUM('Status Quo Estimation'!L35)</f>
        <v>0</v>
      </c>
      <c r="F44" s="577"/>
    </row>
    <row r="45" spans="1:6" x14ac:dyDescent="0.2">
      <c r="A45" s="590" t="s">
        <v>896</v>
      </c>
      <c r="B45" s="602">
        <f>SUM('Status Quo Estimation'!M35)</f>
        <v>0</v>
      </c>
    </row>
    <row r="46" spans="1:6" x14ac:dyDescent="0.2">
      <c r="A46" s="58" t="s">
        <v>897</v>
      </c>
      <c r="B46" s="602">
        <f>SUM('Status Quo Estimation'!N35)</f>
        <v>0</v>
      </c>
    </row>
    <row r="47" spans="1:6" x14ac:dyDescent="0.2">
      <c r="A47" s="590" t="s">
        <v>898</v>
      </c>
      <c r="B47" s="602">
        <f>SUM('Status Quo Estimation'!O35)</f>
        <v>0</v>
      </c>
    </row>
    <row r="48" spans="1:6" x14ac:dyDescent="0.2">
      <c r="A48" s="590" t="s">
        <v>899</v>
      </c>
      <c r="B48" s="604">
        <f>'Status Quo Estimation'!J114</f>
        <v>0.1</v>
      </c>
    </row>
    <row r="49" spans="1:11" x14ac:dyDescent="0.2">
      <c r="A49" s="590"/>
    </row>
    <row r="50" spans="1:11" ht="17" thickBot="1" x14ac:dyDescent="0.25">
      <c r="A50" s="617" t="s">
        <v>900</v>
      </c>
      <c r="B50" s="603" t="s">
        <v>901</v>
      </c>
      <c r="C50" s="603" t="s">
        <v>902</v>
      </c>
      <c r="D50" s="603" t="s">
        <v>903</v>
      </c>
      <c r="E50" s="603" t="s">
        <v>185</v>
      </c>
    </row>
    <row r="51" spans="1:11" ht="16" thickTop="1" x14ac:dyDescent="0.2">
      <c r="A51" s="590" t="str">
        <f>CONCATENATE("Avg. acquisition cost per server in ",'1-Client Variables'!$D$10)</f>
        <v>Avg. acquisition cost per server in USD</v>
      </c>
      <c r="B51" s="602" t="e">
        <f>'Status Quo Estimation'!J11/'Status Quo Estimation'!J22</f>
        <v>#DIV/0!</v>
      </c>
      <c r="C51" s="602" t="e">
        <f>'Status Quo Estimation'!K11/'Status Quo Estimation'!K22</f>
        <v>#DIV/0!</v>
      </c>
      <c r="D51" s="602" t="e">
        <f>'Status Quo Estimation'!L11/'Status Quo Estimation'!L22</f>
        <v>#DIV/0!</v>
      </c>
      <c r="E51" s="602" t="e">
        <f>SUM(B51:D51)</f>
        <v>#DIV/0!</v>
      </c>
    </row>
    <row r="52" spans="1:11" x14ac:dyDescent="0.2">
      <c r="A52" s="590" t="str">
        <f>CONCATENATE("Servers’ yearly depreciation in ",'1-Client Variables'!$D$10)</f>
        <v>Servers’ yearly depreciation in USD</v>
      </c>
      <c r="B52" s="602" t="e">
        <f>'Status Quo Estimation'!J11/'Status Quo Estimation'!$D$7</f>
        <v>#DIV/0!</v>
      </c>
      <c r="C52" s="602" t="e">
        <f>'Status Quo Estimation'!K11/'Status Quo Estimation'!$D$7</f>
        <v>#DIV/0!</v>
      </c>
      <c r="D52" s="602" t="e">
        <f>'Status Quo Estimation'!L11/'Status Quo Estimation'!$D$7</f>
        <v>#DIV/0!</v>
      </c>
      <c r="E52" s="602" t="e">
        <f>SUM(B52:D52)</f>
        <v>#DIV/0!</v>
      </c>
    </row>
    <row r="53" spans="1:11" x14ac:dyDescent="0.2">
      <c r="A53" s="590" t="s">
        <v>904</v>
      </c>
      <c r="B53" s="605">
        <f>'Status Quo Estimation'!K98</f>
        <v>0.05</v>
      </c>
      <c r="C53" s="605">
        <f>'Status Quo Estimation'!L98</f>
        <v>0.05</v>
      </c>
      <c r="D53" s="605">
        <f>'Status Quo Estimation'!M98</f>
        <v>0.05</v>
      </c>
      <c r="E53" s="605">
        <f>AVERAGE(B53:D53)</f>
        <v>5.000000000000001E-2</v>
      </c>
    </row>
    <row r="54" spans="1:11" x14ac:dyDescent="0.2">
      <c r="A54" s="58" t="str">
        <f>CONCATENATE("Storage hardware yearly depreciation in ",'1-Client Variables'!$D$10)</f>
        <v>Storage hardware yearly depreciation in USD</v>
      </c>
      <c r="B54" s="602">
        <f>'Status Quo Estimation'!J27/'Status Quo Estimation'!$D$19</f>
        <v>0</v>
      </c>
      <c r="C54" s="602">
        <f>'Status Quo Estimation'!K27/'Status Quo Estimation'!$D$19</f>
        <v>0</v>
      </c>
      <c r="D54" s="602">
        <f>'Status Quo Estimation'!L27/'Status Quo Estimation'!$D$19</f>
        <v>0</v>
      </c>
      <c r="E54" s="602">
        <f>SUM(B54:D54)</f>
        <v>0</v>
      </c>
    </row>
    <row r="55" spans="1:11" x14ac:dyDescent="0.2">
      <c r="A55" s="590" t="s">
        <v>905</v>
      </c>
      <c r="B55" s="605">
        <f>'Status Quo Estimation'!K106</f>
        <v>0.1</v>
      </c>
      <c r="C55" s="605">
        <f>'Status Quo Estimation'!L106</f>
        <v>0.1</v>
      </c>
      <c r="D55" s="605">
        <f>'Status Quo Estimation'!M106</f>
        <v>0.1</v>
      </c>
      <c r="E55" s="605">
        <f>AVERAGE(B55:D55)</f>
        <v>0.10000000000000002</v>
      </c>
    </row>
    <row r="57" spans="1:11" ht="17" thickBot="1" x14ac:dyDescent="0.25">
      <c r="A57" s="617" t="s">
        <v>906</v>
      </c>
      <c r="B57" s="603" t="s">
        <v>901</v>
      </c>
      <c r="C57" s="603" t="s">
        <v>902</v>
      </c>
      <c r="D57" s="603" t="s">
        <v>903</v>
      </c>
    </row>
    <row r="58" spans="1:11" ht="16" thickTop="1" x14ac:dyDescent="0.2">
      <c r="A58" s="58" t="s">
        <v>835</v>
      </c>
      <c r="B58" s="605">
        <f>'2a-Consumption Plan Wk1'!$I8</f>
        <v>0</v>
      </c>
      <c r="C58" s="605">
        <f>'2b-Consumption Plan Wk2'!$I8</f>
        <v>0</v>
      </c>
      <c r="D58" s="605">
        <f>'2c-Consumption Plan Wk3'!$I8</f>
        <v>0</v>
      </c>
    </row>
    <row r="59" spans="1:11" x14ac:dyDescent="0.2">
      <c r="A59" s="58" t="s">
        <v>907</v>
      </c>
      <c r="B59" s="605">
        <f>'2a-Consumption Plan Wk1'!$I9</f>
        <v>0</v>
      </c>
      <c r="C59" s="605">
        <f>'2b-Consumption Plan Wk2'!$I9</f>
        <v>0</v>
      </c>
      <c r="D59" s="605">
        <f>'2c-Consumption Plan Wk3'!$I9</f>
        <v>0</v>
      </c>
    </row>
    <row r="60" spans="1:11" x14ac:dyDescent="0.2">
      <c r="A60" s="58" t="s">
        <v>648</v>
      </c>
      <c r="B60" s="605">
        <f>'2a-Consumption Plan Wk1'!$I10</f>
        <v>0</v>
      </c>
      <c r="C60" s="605">
        <f>'2b-Consumption Plan Wk2'!$I10</f>
        <v>0</v>
      </c>
      <c r="D60" s="605">
        <f>'2c-Consumption Plan Wk3'!$I10</f>
        <v>0</v>
      </c>
    </row>
    <row r="62" spans="1:11" ht="17" thickBot="1" x14ac:dyDescent="0.25">
      <c r="A62" s="617" t="s">
        <v>908</v>
      </c>
      <c r="B62" s="603" t="s">
        <v>299</v>
      </c>
      <c r="C62" s="603" t="s">
        <v>300</v>
      </c>
      <c r="D62" s="603" t="s">
        <v>301</v>
      </c>
      <c r="E62" s="603" t="s">
        <v>302</v>
      </c>
      <c r="F62" s="603" t="s">
        <v>303</v>
      </c>
      <c r="G62" s="603" t="s">
        <v>909</v>
      </c>
      <c r="H62" s="603" t="s">
        <v>910</v>
      </c>
      <c r="I62" s="603" t="s">
        <v>911</v>
      </c>
      <c r="J62" s="603" t="s">
        <v>912</v>
      </c>
      <c r="K62" s="603" t="s">
        <v>913</v>
      </c>
    </row>
    <row r="63" spans="1:11" ht="16" thickTop="1" x14ac:dyDescent="0.2">
      <c r="A63" s="58" t="s">
        <v>901</v>
      </c>
      <c r="B63" s="604">
        <f>'2a-Consumption Plan Wk1'!E$17</f>
        <v>0.4</v>
      </c>
      <c r="C63" s="604">
        <f>'2a-Consumption Plan Wk1'!F$17</f>
        <v>0.8</v>
      </c>
      <c r="D63" s="604">
        <f>'2a-Consumption Plan Wk1'!G$17</f>
        <v>1</v>
      </c>
      <c r="E63" s="604">
        <f>'2a-Consumption Plan Wk1'!H$17</f>
        <v>1</v>
      </c>
      <c r="F63" s="604">
        <f>'2a-Consumption Plan Wk1'!I$17</f>
        <v>1</v>
      </c>
      <c r="G63" s="604">
        <f>'2a-Consumption Plan Wk1'!J$17</f>
        <v>1</v>
      </c>
      <c r="H63" s="604">
        <f>'2a-Consumption Plan Wk1'!K$17</f>
        <v>1</v>
      </c>
      <c r="I63" s="604">
        <f>'2a-Consumption Plan Wk1'!L$17</f>
        <v>1</v>
      </c>
      <c r="J63" s="604">
        <f>'2a-Consumption Plan Wk1'!M$17</f>
        <v>1</v>
      </c>
      <c r="K63" s="604">
        <f>'2a-Consumption Plan Wk1'!N$17</f>
        <v>1</v>
      </c>
    </row>
    <row r="64" spans="1:11" x14ac:dyDescent="0.2">
      <c r="A64" s="58" t="s">
        <v>902</v>
      </c>
      <c r="B64" s="604">
        <f>'2b-Consumption Plan Wk2'!E$17</f>
        <v>0</v>
      </c>
      <c r="C64" s="604">
        <f>'2b-Consumption Plan Wk2'!F$17</f>
        <v>0</v>
      </c>
      <c r="D64" s="604">
        <f>'2b-Consumption Plan Wk2'!G$17</f>
        <v>0</v>
      </c>
      <c r="E64" s="604">
        <f>'2b-Consumption Plan Wk2'!H$17</f>
        <v>0</v>
      </c>
      <c r="F64" s="604">
        <f>'2b-Consumption Plan Wk2'!I$17</f>
        <v>0</v>
      </c>
      <c r="G64" s="604">
        <f>'2b-Consumption Plan Wk2'!J$17</f>
        <v>0</v>
      </c>
      <c r="H64" s="604">
        <f>'2b-Consumption Plan Wk2'!K$17</f>
        <v>0</v>
      </c>
      <c r="I64" s="604">
        <f>'2b-Consumption Plan Wk2'!L$17</f>
        <v>0</v>
      </c>
      <c r="J64" s="604">
        <f>'2b-Consumption Plan Wk2'!M$17</f>
        <v>0</v>
      </c>
      <c r="K64" s="604">
        <f>'2b-Consumption Plan Wk2'!N$17</f>
        <v>0</v>
      </c>
    </row>
    <row r="65" spans="1:11" x14ac:dyDescent="0.2">
      <c r="A65" s="58" t="s">
        <v>903</v>
      </c>
      <c r="B65" s="604">
        <f>'2c-Consumption Plan Wk3'!E$17</f>
        <v>0</v>
      </c>
      <c r="C65" s="604">
        <f>'2c-Consumption Plan Wk3'!F$17</f>
        <v>0</v>
      </c>
      <c r="D65" s="604">
        <f>'2c-Consumption Plan Wk3'!G$17</f>
        <v>0</v>
      </c>
      <c r="E65" s="604">
        <f>'2c-Consumption Plan Wk3'!H$17</f>
        <v>0</v>
      </c>
      <c r="F65" s="604">
        <f>'2c-Consumption Plan Wk3'!I$17</f>
        <v>0</v>
      </c>
      <c r="G65" s="604">
        <f>'2c-Consumption Plan Wk3'!J$17</f>
        <v>0</v>
      </c>
      <c r="H65" s="604">
        <f>'2c-Consumption Plan Wk3'!K$17</f>
        <v>0</v>
      </c>
      <c r="I65" s="604">
        <f>'2c-Consumption Plan Wk3'!L$17</f>
        <v>0</v>
      </c>
      <c r="J65" s="604">
        <f>'2c-Consumption Plan Wk3'!M$17</f>
        <v>0</v>
      </c>
      <c r="K65" s="604">
        <f>'2c-Consumption Plan Wk3'!N$17</f>
        <v>0</v>
      </c>
    </row>
    <row r="67" spans="1:11" ht="16" x14ac:dyDescent="0.2">
      <c r="A67" s="617" t="s">
        <v>914</v>
      </c>
    </row>
    <row r="68" spans="1:11" x14ac:dyDescent="0.2">
      <c r="A68" s="58" t="s">
        <v>915</v>
      </c>
      <c r="B68" s="602">
        <f>SUM('Summary Financial Case'!D23:F23)</f>
        <v>0</v>
      </c>
      <c r="C68" s="576" t="str">
        <f>'1-Client Variables'!$D$10</f>
        <v>USD</v>
      </c>
    </row>
    <row r="69" spans="1:11" x14ac:dyDescent="0.2">
      <c r="A69" s="58" t="s">
        <v>916</v>
      </c>
      <c r="B69" s="602">
        <f>SUM('Summary Financial Case'!D23:H23)</f>
        <v>0</v>
      </c>
      <c r="C69" s="576" t="str">
        <f>'1-Client Variables'!$D$10</f>
        <v>USD</v>
      </c>
    </row>
    <row r="71" spans="1:11" ht="16" x14ac:dyDescent="0.2">
      <c r="A71" s="617" t="str">
        <f>IF(SUM(B72:B73)=0,"","Microsoft funding (incorporated) Assumptions:")</f>
        <v/>
      </c>
    </row>
    <row r="72" spans="1:11" x14ac:dyDescent="0.2">
      <c r="A72" s="58" t="str">
        <f>IF(B72&gt;0,"ACO","")</f>
        <v/>
      </c>
      <c r="B72" s="606">
        <f>'2a-Consumption Plan Wk1'!D21+'2b-Consumption Plan Wk2'!D21+'2c-Consumption Plan Wk3'!D21</f>
        <v>0</v>
      </c>
    </row>
    <row r="73" spans="1:11" x14ac:dyDescent="0.2">
      <c r="A73" s="58" t="str">
        <f>IF(B73&gt;0,"ECIF","")</f>
        <v/>
      </c>
      <c r="B73" s="606">
        <f>'2a-Consumption Plan Wk1'!D22+'2b-Consumption Plan Wk2'!D22+'2c-Consumption Plan Wk3'!D22</f>
        <v>0</v>
      </c>
    </row>
    <row r="76" spans="1:11" s="314" customFormat="1" ht="22" x14ac:dyDescent="0.3">
      <c r="A76" s="618" t="s">
        <v>917</v>
      </c>
      <c r="B76" s="611"/>
    </row>
  </sheetData>
  <phoneticPr fontId="21" type="noConversion"/>
  <pageMargins left="0.7" right="0.7" top="0.75" bottom="0.75" header="0.3" footer="0.3"/>
  <pageSetup orientation="portrait" r:id="rId1"/>
  <ignoredErrors>
    <ignoredError sqref="E53:E54"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opic_x0028_s_x0029_Overview xmlns="96839d9b-0c72-457e-84ff-44c3385b9f50" xsi:nil="true"/>
    <lf5e2b23a6b24bbdafa6ef4b113458b8 xmlns="96839d9b-0c72-457e-84ff-44c3385b9f50">
      <Terms xmlns="http://schemas.microsoft.com/office/infopath/2007/PartnerControls"/>
    </lf5e2b23a6b24bbdafa6ef4b113458b8>
    <_ip_UnifiedCompliancePolicyUIAction xmlns="http://schemas.microsoft.com/sharepoint/v3" xsi:nil="true"/>
    <_ip_UnifiedCompliancePolicyProperties xmlns="http://schemas.microsoft.com/sharepoint/v3" xsi:nil="true"/>
    <lcf76f155ced4ddcb4097134ff3c332f xmlns="96839d9b-0c72-457e-84ff-44c3385b9f50">
      <Terms xmlns="http://schemas.microsoft.com/office/infopath/2007/PartnerControls"/>
    </lcf76f155ced4ddcb4097134ff3c332f>
    <TaxCatchAll xmlns="7ee68b0a-ecaf-45fb-a887-73497681d8dc" xsi:nil="true"/>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C3D0787EE687E540A9414CA99BEE1502" ma:contentTypeVersion="19" ma:contentTypeDescription="Create a new document." ma:contentTypeScope="" ma:versionID="fdf539fc3dd5662bd58bae86eabd4c96">
  <xsd:schema xmlns:xsd="http://www.w3.org/2001/XMLSchema" xmlns:xs="http://www.w3.org/2001/XMLSchema" xmlns:p="http://schemas.microsoft.com/office/2006/metadata/properties" xmlns:ns1="http://schemas.microsoft.com/sharepoint/v3" xmlns:ns2="96839d9b-0c72-457e-84ff-44c3385b9f50" xmlns:ns3="7ee68b0a-ecaf-45fb-a887-73497681d8dc" targetNamespace="http://schemas.microsoft.com/office/2006/metadata/properties" ma:root="true" ma:fieldsID="02fc81184e5be6ab30cd86fd03cb884b" ns1:_="" ns2:_="" ns3:_="">
    <xsd:import namespace="http://schemas.microsoft.com/sharepoint/v3"/>
    <xsd:import namespace="96839d9b-0c72-457e-84ff-44c3385b9f50"/>
    <xsd:import namespace="7ee68b0a-ecaf-45fb-a887-73497681d8d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MediaServiceBillingMetadata"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LengthInSeconds" minOccurs="0"/>
                <xsd:element ref="ns2:Topic_x0028_s_x0029_Overview" minOccurs="0"/>
                <xsd:element ref="ns2:lf5e2b23a6b24bbdafa6ef4b113458b8"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6839d9b-0c72-457e-84ff-44c3385b9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BillingMetadata" ma:index="14" nillable="true" ma:displayName="MediaServiceBillingMetadata" ma:hidden="true" ma:internalName="MediaServiceBillingMetadata" ma:readOnly="true">
      <xsd:simpleType>
        <xsd:restriction base="dms:Note"/>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LengthInSeconds" ma:index="22" nillable="true" ma:displayName="MediaLengthInSeconds" ma:hidden="true" ma:internalName="MediaLengthInSeconds" ma:readOnly="true">
      <xsd:simpleType>
        <xsd:restriction base="dms:Unknown"/>
      </xsd:simpleType>
    </xsd:element>
    <xsd:element name="Topic_x0028_s_x0029_Overview" ma:index="23" nillable="true" ma:displayName="Topic(s) Overview" ma:format="Dropdown" ma:internalName="Topic_x0028_s_x0029_Overview">
      <xsd:simpleType>
        <xsd:restriction base="dms:Note">
          <xsd:maxLength value="255"/>
        </xsd:restriction>
      </xsd:simpleType>
    </xsd:element>
    <xsd:element name="lf5e2b23a6b24bbdafa6ef4b113458b8" ma:index="25" nillable="true" ma:taxonomy="true" ma:internalName="lf5e2b23a6b24bbdafa6ef4b113458b8" ma:taxonomyFieldName="Services_x0020_Tag" ma:displayName="Services Tag" ma:default="" ma:fieldId="{5f5e2b23-a6b2-4bbd-afa6-ef4b113458b8}" ma:taxonomyMulti="true" ma:sspId="e385fb40-52d4-4fae-9c5b-3e8ff8a5878e" ma:termSetId="16c02491-188d-4547-bf02-d4964c4ddb54" ma:anchorId="00000000-0000-0000-0000-000000000000" ma:open="false" ma:isKeyword="false">
      <xsd:complexType>
        <xsd:sequence>
          <xsd:element ref="pc:Terms" minOccurs="0" maxOccurs="1"/>
        </xsd:sequence>
      </xsd:complexType>
    </xsd:element>
    <xsd:element name="MediaServiceDocTags" ma:index="26"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ee68b0a-ecaf-45fb-a887-73497681d8dc"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25852f2-158b-48e5-97f9-2b1c76f57ecd}" ma:internalName="TaxCatchAll" ma:showField="CatchAllData" ma:web="7ee68b0a-ecaf-45fb-a887-73497681d8d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494B0D3-50F3-4DDE-9160-8DCDC9458F66}">
  <ds:schemaRefs>
    <ds:schemaRef ds:uri="http://schemas.microsoft.com/office/infopath/2007/PartnerControls"/>
    <ds:schemaRef ds:uri="http://schemas.microsoft.com/office/2006/documentManagement/types"/>
    <ds:schemaRef ds:uri="7ee68b0a-ecaf-45fb-a887-73497681d8dc"/>
    <ds:schemaRef ds:uri="http://schemas.openxmlformats.org/package/2006/metadata/core-properties"/>
    <ds:schemaRef ds:uri="http://purl.org/dc/dcmitype/"/>
    <ds:schemaRef ds:uri="http://purl.org/dc/elements/1.1/"/>
    <ds:schemaRef ds:uri="http://purl.org/dc/terms/"/>
    <ds:schemaRef ds:uri="96839d9b-0c72-457e-84ff-44c3385b9f50"/>
    <ds:schemaRef ds:uri="http://schemas.microsoft.com/sharepoint/v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9174889D-D29E-4F6A-ABAC-560A553D8F7C}">
  <ds:schemaRefs>
    <ds:schemaRef ds:uri="http://schemas.microsoft.com/DataMashup"/>
  </ds:schemaRefs>
</ds:datastoreItem>
</file>

<file path=customXml/itemProps3.xml><?xml version="1.0" encoding="utf-8"?>
<ds:datastoreItem xmlns:ds="http://schemas.openxmlformats.org/officeDocument/2006/customXml" ds:itemID="{9936A71F-9426-44AB-B7ED-F5B5A4ECCEAF}">
  <ds:schemaRefs>
    <ds:schemaRef ds:uri="http://schemas.microsoft.com/sharepoint/v3/contenttype/forms"/>
  </ds:schemaRefs>
</ds:datastoreItem>
</file>

<file path=customXml/itemProps4.xml><?xml version="1.0" encoding="utf-8"?>
<ds:datastoreItem xmlns:ds="http://schemas.openxmlformats.org/officeDocument/2006/customXml" ds:itemID="{AC14CCEE-590A-4521-8D77-EE9B1DBD50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6839d9b-0c72-457e-84ff-44c3385b9f50"/>
    <ds:schemaRef ds:uri="7ee68b0a-ecaf-45fb-a887-73497681d8d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Privilege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User Guide</vt:lpstr>
      <vt:lpstr>1-Client Variables</vt:lpstr>
      <vt:lpstr>2a-Consumption Plan Wk1</vt:lpstr>
      <vt:lpstr>2b-Consumption Plan Wk2</vt:lpstr>
      <vt:lpstr>2c-Consumption Plan Wk3</vt:lpstr>
      <vt:lpstr>Summary Financial Case</vt:lpstr>
      <vt:lpstr>5Y CF with Payback</vt:lpstr>
      <vt:lpstr>Cost per VM</vt:lpstr>
      <vt:lpstr>Cost per CPU</vt:lpstr>
      <vt:lpstr>Transfo Value Waterfall</vt:lpstr>
      <vt:lpstr>IT Productivity</vt:lpstr>
      <vt:lpstr>Net Interest Income</vt:lpstr>
      <vt:lpstr>Payback Analysis</vt:lpstr>
      <vt:lpstr>AVS Output</vt:lpstr>
      <vt:lpstr>Cash Flow Output - Detailed</vt:lpstr>
      <vt:lpstr>Detailed Financial Case</vt:lpstr>
      <vt:lpstr>Benchmark Assumptions</vt:lpstr>
      <vt:lpstr>Status Quo Estimation</vt:lpstr>
      <vt:lpstr>Retained Costs Estimation</vt:lpstr>
      <vt:lpstr>Depreciation Schedule</vt:lpstr>
      <vt:lpstr>Azure Run Rate</vt:lpstr>
      <vt:lpstr>VBA_Do_Not_Delete &gt;&gt;</vt:lpstr>
      <vt:lpstr>Slide 4</vt:lpstr>
      <vt:lpstr>Slide 5</vt:lpstr>
      <vt:lpstr>Appendix</vt:lpstr>
      <vt:lpstr>WACC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Monica Finnegan</dc:creator>
  <cp:keywords/>
  <dc:description/>
  <cp:lastModifiedBy>Ozzie Diaz</cp:lastModifiedBy>
  <cp:revision>1</cp:revision>
  <dcterms:created xsi:type="dcterms:W3CDTF">2025-05-06T14:45:52Z</dcterms:created>
  <dcterms:modified xsi:type="dcterms:W3CDTF">2026-04-02T19:46:32Z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ediaServiceImageTags">
    <vt:lpwstr/>
  </property>
  <property fmtid="{D5CDD505-2E9C-101B-9397-08002B2CF9AE}" pid="4" name="ContentTypeId">
    <vt:lpwstr>0x010100C3D0787EE687E540A9414CA99BEE1502</vt:lpwstr>
  </property>
  <property fmtid="{D5CDD505-2E9C-101B-9397-08002B2CF9AE}" pid="5" name="MSIP_Label_f42aa342-8706-4288-bd11-ebb85995028c_SetDate">
    <vt:lpwstr>2020-07-10T21:35:39Z</vt:lpwstr>
  </property>
  <property fmtid="{D5CDD505-2E9C-101B-9397-08002B2CF9AE}" pid="6" name="MSIP_Label_f42aa342-8706-4288-bd11-ebb85995028c_Method">
    <vt:lpwstr>Standard</vt:lpwstr>
  </property>
  <property fmtid="{D5CDD505-2E9C-101B-9397-08002B2CF9AE}" pid="7" name="MSIP_Label_f42aa342-8706-4288-bd11-ebb85995028c_Name">
    <vt:lpwstr>Internal</vt:lpwstr>
  </property>
  <property fmtid="{D5CDD505-2E9C-101B-9397-08002B2CF9AE}" pid="8" name="MSIP_Label_f42aa342-8706-4288-bd11-ebb85995028c_SiteId">
    <vt:lpwstr>72f988bf-86f1-41af-91ab-2d7cd011db47</vt:lpwstr>
  </property>
  <property fmtid="{D5CDD505-2E9C-101B-9397-08002B2CF9AE}" pid="9" name="MSIP_Label_f42aa342-8706-4288-bd11-ebb85995028c_ContentBits">
    <vt:lpwstr>0</vt:lpwstr>
  </property>
  <property fmtid="{D5CDD505-2E9C-101B-9397-08002B2CF9AE}" pid="10" name="Services Tag">
    <vt:lpwstr/>
  </property>
  <property fmtid="{D5CDD505-2E9C-101B-9397-08002B2CF9AE}" pid="11" name="MSIP_Label_f42aa342-8706-4288-bd11-ebb85995028c_ActionId">
    <vt:lpwstr>c039b180-2f28-4684-86db-465f73c4f167</vt:lpwstr>
  </property>
  <property fmtid="{D5CDD505-2E9C-101B-9397-08002B2CF9AE}" pid="12" name="Services_x0020_Tag">
    <vt:lpwstr/>
  </property>
</Properties>
</file>